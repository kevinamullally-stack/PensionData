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B1" sheetId="1" state="visible" r:id="rId3"/>
    <sheet name="Table B2" sheetId="2" state="visible" r:id="rId4"/>
    <sheet name="Table B3" sheetId="3" state="visible" r:id="rId5"/>
    <sheet name="Table B4" sheetId="4" state="visible" r:id="rId6"/>
    <sheet name="Table B5" sheetId="5" state="visible" r:id="rId7"/>
    <sheet name="Estima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<sst xmlns="http://schemas.openxmlformats.org/spreadsheetml/2006/main" count="796" uniqueCount="141">
  <si>
    <t xml:space="preserve">Table B1: Policy Benchmark Returns of Conflicted and Unconflicted CIOs</t>
  </si>
  <si>
    <t xml:space="preserve">This table reports results of tests that regress the return of a plan's total-fund policy benchmark on Conflicted CIO, which is equal to 1 for all years prior to the plan's investment officer's departure for a position with a pension plan vendor and 0 otherwise. The dependent variable is the fiscal-year return of the plan's policy benchmark, in percent, as reported in the plan's financial statements. All columns include fiscal-year-end date fixed effects, so plans are compared only with plans whose fiscal year covers the same twelve months. Columns 2 to 4 add the plan's target allocation to each asset class (cash omitted), and Columns 3 and 4 add the control variables of Table III. Column 4 adds plan fixed effects. The standard errors are double clustered by plan and year. Coefficients marked with ***, **, and * are significant at the 1%, 5%, and 10% level, respectively.</t>
  </si>
  <si>
    <t xml:space="preserve">(1)</t>
  </si>
  <si>
    <t xml:space="preserve">(2)</t>
  </si>
  <si>
    <t xml:space="preserve">(3)</t>
  </si>
  <si>
    <t xml:space="preserve">(4)</t>
  </si>
  <si>
    <t xml:space="preserve">Benchmark Ret. (t)</t>
  </si>
  <si>
    <t xml:space="preserve">Conflicted CIO (0/1)</t>
  </si>
  <si>
    <t xml:space="preserve">Equity Target Allocation (%)</t>
  </si>
  <si>
    <t xml:space="preserve">Fixed Income Target Allocation (%)</t>
  </si>
  <si>
    <t xml:space="preserve">Real Estate Target Allocation (%)</t>
  </si>
  <si>
    <t xml:space="preserve">Private Equity Target Allocation (%)</t>
  </si>
  <si>
    <t xml:space="preserve">Hedge Fund Target Allocation (%)</t>
  </si>
  <si>
    <t xml:space="preserve">Misc. Alternatives Target Allocation (%)</t>
  </si>
  <si>
    <t xml:space="preserve">Commodities Target Allocation (%)</t>
  </si>
  <si>
    <t xml:space="preserve">Investment Return (t - 1)</t>
  </si>
  <si>
    <t xml:space="preserve">Log (Plan Size) (t-1)</t>
  </si>
  <si>
    <t xml:space="preserve">Funding Ratio (t-1)</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</si>
  <si>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</si>
  <si>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</si>
  <si>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</si>
  <si>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</si>
  <si>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</si>
  <si>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</si>
  <si>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</si>
  <si>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</si>
  <si>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</si>
  <si>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Target Allocation Controls</t>
  </si>
  <si>
    <t xml:space="preserve">No</t>
  </si>
  <si>
    <t xml:space="preserve">Yes</t>
  </si>
  <si>
    <t xml:space="preserve">Table III Controls</t>
  </si>
  <si>
    <t xml:space="preserve">Plan FE</t>
  </si>
  <si>
    <t xml:space="preserve">Fiscal-Year-End FE</t>
  </si>
  <si>
    <t xml:space="preserve">Table B2: Policy Benchmark Returns of Conflicted CIOs by Cross-Sectional Group</t>
  </si>
  <si>
    <t xml:space="preserve">This table reports results of tests that divide the sample into the cross-sectional groups of Tables V to VII and regress the return of a plan's total-fund policy benchmark, in percent, on Conflicted CIO interacted with the group indicator. Each row is a separate regression in which all control variables are also interacted with the group indicator, as in Tables V to VII. Panel A uses the control variables of the corresponding table in the paper. Panel B adds the plan's target allocation to each asset class, interacted with the group indicator. All regressions include fiscal-year-end date fixed effects. The last column reports the p-value of a test that the two coefficients are equal. The standard errors are double clustered by plan and year. Coefficients marked with ***, **, and * are significant at the 1%, 5%, and 10% level, respectively.</t>
  </si>
  <si>
    <t xml:space="preserve">Panel A. Without target allocation controls</t>
  </si>
  <si>
    <t xml:space="preserve">Group x Conflicted</t>
  </si>
  <si>
    <t xml:space="preserve">Other Group x Conflicted</t>
  </si>
  <si>
    <t xml:space="preserve">p-value: equal</t>
  </si>
  <si>
    <t xml:space="preserve">Adj. R-squared</t>
  </si>
  <si>
    <t xml:space="preserve">Underpaid: Underpaid vs. Not Underpaid</t>
  </si>
  <si>
    <t xml:space="preserve">Young: Young vs. Not Young</t>
  </si>
  <si>
    <t xml:space="preserve">High funding: High Funding vs. Lower Funding</t>
  </si>
  <si>
    <t xml:space="preserve">Financial center: Financial Center vs. Non-Financial Center</t>
  </si>
  <si>
    <t xml:space="preserve">Prior private experience: Prior Private Exp. vs. No Prior Private Exp.</t>
  </si>
  <si>
    <t xml:space="preserve">High discount rate: High Discount Rate vs. Not High Discount Rate</t>
  </si>
  <si>
    <t xml:space="preserve">Panel B. With target allocation controls</t>
  </si>
  <si>
    <t xml:space="preserve">Table B3: Policy Benchmark Returns among Conflicted CIOs, by Cross-Sectional Group</t>
  </si>
  <si>
    <t xml:space="preserve">This table restricts the sample to plan-years run by conflicted CIOs and regresses the return of the plan's total-fund policy benchmark, in percent, on the cross-sectional group indicator. Column 1 includes only fiscal-year-end date fixed effects; Column 2 adds the plan's target allocation to each asset class; Column 3 adds the control variables of Table III. A negative coefficient means that conflicted CIOs in the group run plans whose policy benchmarks returned less than those of other conflicted CIOs with the same fiscal-year end. The standard errors are double clustered by plan and year. Coefficients marked with ***, **, and * are significant at the 1%, 5%, and 10% level, respectively.</t>
  </si>
  <si>
    <t xml:space="preserve">Underpaid (0/1)</t>
  </si>
  <si>
    <t xml:space="preserve">   Observations</t>
  </si>
  <si>
    <t xml:space="preserve">Young (0/1)</t>
  </si>
  <si>
    <t xml:space="preserve">High Funding (0/1)</t>
  </si>
  <si>
    <t xml:space="preserve">Prior Private Exp. (0/1)</t>
  </si>
  <si>
    <t xml:space="preserve">High Discount Rate (0/1)</t>
  </si>
  <si>
    <t xml:space="preserve">Table B4: Asset-Class Benchmark Returns of Conflicted and Unconflicted CIOs</t>
  </si>
  <si>
    <t xml:space="preserve">This table regresses the fiscal-year return of the benchmark index each plan designates for an asset class, in percent, on Conflicted CIO. Asset-class benchmark returns are collected from plans' financial reports. Column 1 includes only fiscal-year-end date fixed effects; Column 2 adds the plan's target allocation to each asset class and the control variables of Table III. A negative coefficient means that conflicted CIOs' plans designate indexes for that asset class that returned less than the indexes designated by other plans with the same fiscal-year end. The standard errors are double clustered by plan and year. Coefficients marked with ***, **, and * are significant at the 1%, 5%, and 10% level, respectively.</t>
  </si>
  <si>
    <t xml:space="preserve">(1) No controls</t>
  </si>
  <si>
    <t xml:space="preserve">(2) With controls</t>
  </si>
  <si>
    <t xml:space="preserve">U.S. equity</t>
  </si>
  <si>
    <t xml:space="preserve">Intl equity</t>
  </si>
  <si>
    <t xml:space="preserve">Fixed income</t>
  </si>
  <si>
    <t xml:space="preserve">Real estate</t>
  </si>
  <si>
    <t xml:space="preserve">Private equity</t>
  </si>
  <si>
    <t xml:space="preserve">Hedge funds</t>
  </si>
  <si>
    <t xml:space="preserve">Total fund (collected file)</t>
  </si>
  <si>
    <t xml:space="preserve">Table B5: Asset-Class Benchmark Returns of Conflicted CIOs by Cross-Sectional Group</t>
  </si>
  <si>
    <t xml:space="preserve">This table repeats the tests of Table B4 within the cross-sectional groups of Tables V to VII. Each row is a separate regression of the asset-class benchmark return, in percent, on Conflicted CIO interacted with the group indicator, with the plan's target allocations and the corresponding table's control variables also interacted with the group indicator, and fiscal-year-end date fixed effects. The last column reports the p-value of a test that the two coefficients are equal. The standard errors are double clustered by plan and year. Coefficients marked with ***, **, and * are significant at the 1%, 5%, and 10% level, respectively.</t>
  </si>
  <si>
    <t xml:space="preserve">Panel: Underpaid</t>
  </si>
  <si>
    <t xml:space="preserve">Underpaid x Conflicted</t>
  </si>
  <si>
    <t xml:space="preserve">Not Underpaid x Conflicted</t>
  </si>
  <si>
    <t xml:space="preserve">Panel: Young</t>
  </si>
  <si>
    <t xml:space="preserve">Young x Conflicted</t>
  </si>
  <si>
    <t xml:space="preserve">Not Young x Conflicted</t>
  </si>
  <si>
    <t xml:space="preserve">Panel: High funding</t>
  </si>
  <si>
    <t xml:space="preserve">High Funding x Conflicted</t>
  </si>
  <si>
    <t xml:space="preserve">Lower Funding x Conflicted</t>
  </si>
  <si>
    <t xml:space="preserve">Panel: Financial center</t>
  </si>
  <si>
    <t xml:space="preserve">Financial Center x Conflicted</t>
  </si>
  <si>
    <t xml:space="preserve">Non-Financial Center x Conflicted</t>
  </si>
  <si>
    <t xml:space="preserve">Panel: Prior private experience</t>
  </si>
  <si>
    <t xml:space="preserve">Prior Private Exp. x Conflicted</t>
  </si>
  <si>
    <t xml:space="preserve">No Prior Private Exp. x Conflicted</t>
  </si>
  <si>
    <t xml:space="preserve">Estimates behind the tables: blue = regression output (coefficient, SE, min cluster count); t, p and stars in the tables are formulas. SE double clustered by plan and fiscal year, PSD-corrected; p from t distribution with (min clusters - 1) df.</t>
  </si>
  <si>
    <t xml:space="preserve">Table</t>
  </si>
  <si>
    <t xml:space="preserve">Row</t>
  </si>
  <si>
    <t xml:space="preserve">Column</t>
  </si>
  <si>
    <t xml:space="preserve">Coefficient</t>
  </si>
  <si>
    <t xml:space="preserve">SE</t>
  </si>
  <si>
    <t xml:space="preserve">Clusters (min)</t>
  </si>
  <si>
    <t xml:space="preserve">t</t>
  </si>
  <si>
    <t xml:space="preserve">p</t>
  </si>
  <si>
    <t xml:space="preserve">B1</t>
  </si>
  <si>
    <t xml:space="preserve">B2A</t>
  </si>
  <si>
    <t xml:space="preserve">Underpaid</t>
  </si>
  <si>
    <t xml:space="preserve">group x conf</t>
  </si>
  <si>
    <t xml:space="preserve">other x conf</t>
  </si>
  <si>
    <t xml:space="preserve">difference</t>
  </si>
  <si>
    <t xml:space="preserve">Young</t>
  </si>
  <si>
    <t xml:space="preserve">High funding</t>
  </si>
  <si>
    <t xml:space="preserve">Financial center</t>
  </si>
  <si>
    <t xml:space="preserve">Prior private experience</t>
  </si>
  <si>
    <t xml:space="preserve">High discount rate</t>
  </si>
  <si>
    <t xml:space="preserve">B2B</t>
  </si>
  <si>
    <t xml:space="preserve">B3</t>
  </si>
  <si>
    <t xml:space="preserve">High Funding</t>
  </si>
  <si>
    <t xml:space="preserve">Financial Center</t>
  </si>
  <si>
    <t xml:space="preserve">Prior Private Exp.</t>
  </si>
  <si>
    <t xml:space="preserve">High Discount Rate</t>
  </si>
  <si>
    <t xml:space="preserve">B4</t>
  </si>
  <si>
    <t xml:space="preserve">B5</t>
  </si>
  <si>
    <t xml:space="preserve">Underpaid: U.S. equity</t>
  </si>
  <si>
    <t xml:space="preserve">Underpaid: Intl equity</t>
  </si>
  <si>
    <t xml:space="preserve">Underpaid: Fixed income</t>
  </si>
  <si>
    <t xml:space="preserve">Underpaid: Real estate</t>
  </si>
  <si>
    <t xml:space="preserve">Underpaid: Private equity</t>
  </si>
  <si>
    <t xml:space="preserve">Underpaid: Hedge funds</t>
  </si>
  <si>
    <t xml:space="preserve">Young: U.S. equity</t>
  </si>
  <si>
    <t xml:space="preserve">Young: Intl equity</t>
  </si>
  <si>
    <t xml:space="preserve">Young: Fixed income</t>
  </si>
  <si>
    <t xml:space="preserve">Young: Real estate</t>
  </si>
  <si>
    <t xml:space="preserve">Young: Private equity</t>
  </si>
  <si>
    <t xml:space="preserve">Young: Hedge funds</t>
  </si>
  <si>
    <t xml:space="preserve">High funding: U.S. equity</t>
  </si>
  <si>
    <t xml:space="preserve">High funding: Intl equity</t>
  </si>
  <si>
    <t xml:space="preserve">High funding: Fixed income</t>
  </si>
  <si>
    <t xml:space="preserve">High funding: Real estate</t>
  </si>
  <si>
    <t xml:space="preserve">High funding: Private equity</t>
  </si>
  <si>
    <t xml:space="preserve">High funding: Hedge funds</t>
  </si>
  <si>
    <t xml:space="preserve">Financial center: U.S. equity</t>
  </si>
  <si>
    <t xml:space="preserve">Financial center: Intl equity</t>
  </si>
  <si>
    <t xml:space="preserve">Financial center: Fixed income</t>
  </si>
  <si>
    <t xml:space="preserve">Financial center: Real estate</t>
  </si>
  <si>
    <t xml:space="preserve">Financial center: Private equity</t>
  </si>
  <si>
    <t xml:space="preserve">Financial center: Hedge funds</t>
  </si>
  <si>
    <t xml:space="preserve">Prior private experience: U.S. equity</t>
  </si>
  <si>
    <t xml:space="preserve">Prior private experience: Intl equity</t>
  </si>
  <si>
    <t xml:space="preserve">Prior private experience: Fixed income</t>
  </si>
  <si>
    <t xml:space="preserve">Prior private experience: Real estate</t>
  </si>
  <si>
    <t xml:space="preserve">Prior private experience: Private equity</t>
  </si>
  <si>
    <t xml:space="preserve">Prior private experience: Hedge funds</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</si>
</sst>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5"/>
  </cols>
  <sheetData>
    <row r="1" customFormat="false" ht="15" hidden="false" customHeight="false" outlineLevel="0" collapsed="false">
      <c r="A1" s="1" t="s">
        <v>0</v>
      </c>
    </row>
    <row r="2" customFormat="false" ht="150" hidden="false" customHeight="true" outlineLevel="0" collapsed="false">
      <c r="A2" s="2" t="s">
        <v>1</v>
      </c>
      <c r="B2" s="2"/>
      <c r="C2" s="2"/>
      <c r="D2" s="2"/>
      <c r="E2" s="2"/>
    </row>
    <row r="4" customFormat="false" ht="15" hidden="false" customHeight="false" outlineLevel="0" collapsed="false">
      <c r="A4" s="3"/>
      <c r="B4" s="4" t="s">
        <v>2</v>
      </c>
      <c r="C4" s="4" t="s">
        <v>3</v>
      </c>
      <c r="D4" s="4" t="s">
        <v>4</v>
      </c>
      <c r="E4" s="4" t="s">
        <v>5</v>
      </c>
    </row>
    <row r="5" customFormat="false" ht="23.85" hidden="false" customHeight="false" outlineLevel="0" collapsed="false">
      <c r="A5" s="5"/>
      <c r="B5" s="6" t="s">
        <v>6</v>
      </c>
      <c r="C5" s="6" t="s">
        <v>6</v>
      </c>
      <c r="D5" s="6" t="s">
        <v>6</v>
      </c>
      <c r="E5" s="6" t="s">
        <v>6</v>
      </c>
    </row>
    <row r="6" customFormat="false" ht="15" hidden="false" customHeight="false" outlineLevel="0" collapsed="false">
      <c r="A6" s="7" t="s">
        <v>7</v>
      </c>
      <c r="B6" s="8" t="str">
        <f aca="false">IF(Estimates!H4="","n/a",TEXT(Estimates!D4,"0.000")&amp;IF(Estimates!H4&lt;0.01,"***",IF(Estimates!H4&lt;0.05,"**",IF(Estimates!H4&lt;0.1,"*",""))))</f>
        <v>-0.153</v>
      </c>
      <c r="C6" s="8" t="str">
        <f aca="false">IF(Estimates!H5="","n/a",TEXT(Estimates!D5,"0.000")&amp;IF(Estimates!H5&lt;0.01,"***",IF(Estimates!H5&lt;0.05,"**",IF(Estimates!H5&lt;0.1,"*",""))))</f>
        <v>0.002</v>
      </c>
      <c r="D6" s="8" t="str">
        <f aca="false">IF(Estimates!H6="","n/a",TEXT(Estimates!D6,"0.000")&amp;IF(Estimates!H6&lt;0.01,"***",IF(Estimates!H6&lt;0.05,"**",IF(Estimates!H6&lt;0.1,"*",""))))</f>
        <v>0.000</v>
      </c>
      <c r="E6" s="8" t="str">
        <f aca="false">IF(Estimates!H7="","n/a",TEXT(Estimates!D7,"0.000")&amp;IF(Estimates!H7&lt;0.01,"***",IF(Estimates!H7&lt;0.05,"**",IF(Estimates!H7&lt;0.1,"*",""))))</f>
        <v>-0.096</v>
      </c>
    </row>
    <row r="7" customFormat="false" ht="15" hidden="false" customHeight="false" outlineLevel="0" collapsed="false">
      <c r="B7" s="8" t="str">
        <f aca="false">IF(Estimates!G4="","","("&amp;TEXT(Estimates!G4,"0.00")&amp;")")</f>
        <v>(-0.56)</v>
      </c>
      <c r="C7" s="8" t="str">
        <f aca="false">IF(Estimates!G5="","","("&amp;TEXT(Estimates!G5,"0.00")&amp;")")</f>
        <v>(0.01)</v>
      </c>
      <c r="D7" s="8" t="str">
        <f aca="false">IF(Estimates!G6="","","("&amp;TEXT(Estimates!G6,"0.00")&amp;")")</f>
        <v>(0.00)</v>
      </c>
      <c r="E7" s="8" t="str">
        <f aca="false">IF(Estimates!G7="","","("&amp;TEXT(Estimates!G7,"0.00")&amp;")")</f>
        <v>(-0.15)</v>
      </c>
    </row>
    <row r="8" customFormat="false" ht="15" hidden="false" customHeight="false" outlineLevel="0" collapsed="false">
      <c r="A8" s="7" t="s">
        <v>8</v>
      </c>
      <c r="C8" s="8" t="str">
        <f aca="false">IF(Estimates!H8="","n/a",TEXT(Estimates!D8,"0.000")&amp;IF(Estimates!H8&lt;0.01,"***",IF(Estimates!H8&lt;0.05,"**",IF(Estimates!H8&lt;0.1,"*",""))))</f>
        <v>0.141*</v>
      </c>
      <c r="D8" s="8" t="str">
        <f aca="false">IF(Estimates!H9="","n/a",TEXT(Estimates!D9,"0.000")&amp;IF(Estimates!H9&lt;0.01,"***",IF(Estimates!H9&lt;0.05,"**",IF(Estimates!H9&lt;0.1,"*",""))))</f>
        <v>0.167**</v>
      </c>
      <c r="E8" s="8" t="str">
        <f aca="false">IF(Estimates!H10="","n/a",TEXT(Estimates!D10,"0.000")&amp;IF(Estimates!H10&lt;0.01,"***",IF(Estimates!H10&lt;0.05,"**",IF(Estimates!H10&lt;0.1,"*",""))))</f>
        <v>0.181*</v>
      </c>
    </row>
    <row r="9" customFormat="false" ht="15" hidden="false" customHeight="false" outlineLevel="0" collapsed="false">
      <c r="C9" s="8" t="str">
        <f aca="false">IF(Estimates!G8="","","("&amp;TEXT(Estimates!G8,"0.00")&amp;")")</f>
        <v>(1.88)</v>
      </c>
      <c r="D9" s="8" t="str">
        <f aca="false">IF(Estimates!G9="","","("&amp;TEXT(Estimates!G9,"0.00")&amp;")")</f>
        <v>(2.21)</v>
      </c>
      <c r="E9" s="8" t="str">
        <f aca="false">IF(Estimates!G10="","","("&amp;TEXT(Estimates!G10,"0.00")&amp;")")</f>
        <v>(1.76)</v>
      </c>
    </row>
    <row r="10" customFormat="false" ht="15" hidden="false" customHeight="false" outlineLevel="0" collapsed="false">
      <c r="A10" s="7" t="s">
        <v>9</v>
      </c>
      <c r="C10" s="8" t="str">
        <f aca="false">IF(Estimates!H11="","n/a",TEXT(Estimates!D11,"0.000")&amp;IF(Estimates!H11&lt;0.01,"***",IF(Estimates!H11&lt;0.05,"**",IF(Estimates!H11&lt;0.1,"*",""))))</f>
        <v>0.148*</v>
      </c>
      <c r="D10" s="8" t="str">
        <f aca="false">IF(Estimates!H12="","n/a",TEXT(Estimates!D12,"0.000")&amp;IF(Estimates!H12&lt;0.01,"***",IF(Estimates!H12&lt;0.05,"**",IF(Estimates!H12&lt;0.1,"*",""))))</f>
        <v>0.171**</v>
      </c>
      <c r="E10" s="8" t="str">
        <f aca="false">IF(Estimates!H13="","n/a",TEXT(Estimates!D13,"0.000")&amp;IF(Estimates!H13&lt;0.01,"***",IF(Estimates!H13&lt;0.05,"**",IF(Estimates!H13&lt;0.1,"*",""))))</f>
        <v>0.219</v>
      </c>
    </row>
    <row r="11" customFormat="false" ht="15" hidden="false" customHeight="false" outlineLevel="0" collapsed="false">
      <c r="C11" s="8" t="str">
        <f aca="false">IF(Estimates!G11="","","("&amp;TEXT(Estimates!G11,"0.00")&amp;")")</f>
        <v>(1.97)</v>
      </c>
      <c r="D11" s="8" t="str">
        <f aca="false">IF(Estimates!G12="","","("&amp;TEXT(Estimates!G12,"0.00")&amp;")")</f>
        <v>(2.14)</v>
      </c>
      <c r="E11" s="8" t="str">
        <f aca="false">IF(Estimates!G13="","","("&amp;TEXT(Estimates!G13,"0.00")&amp;")")</f>
        <v>(1.67)</v>
      </c>
    </row>
    <row r="12" customFormat="false" ht="15" hidden="false" customHeight="false" outlineLevel="0" collapsed="false">
      <c r="A12" s="7" t="s">
        <v>10</v>
      </c>
      <c r="C12" s="8" t="str">
        <f aca="false">IF(Estimates!H14="","n/a",TEXT(Estimates!D14,"0.000")&amp;IF(Estimates!H14&lt;0.01,"***",IF(Estimates!H14&lt;0.05,"**",IF(Estimates!H14&lt;0.1,"*",""))))</f>
        <v>0.169**</v>
      </c>
      <c r="D12" s="8" t="str">
        <f aca="false">IF(Estimates!H15="","n/a",TEXT(Estimates!D15,"0.000")&amp;IF(Estimates!H15&lt;0.01,"***",IF(Estimates!H15&lt;0.05,"**",IF(Estimates!H15&lt;0.1,"*",""))))</f>
        <v>0.172**</v>
      </c>
      <c r="E12" s="8" t="str">
        <f aca="false">IF(Estimates!H16="","n/a",TEXT(Estimates!D16,"0.000")&amp;IF(Estimates!H16&lt;0.01,"***",IF(Estimates!H16&lt;0.05,"**",IF(Estimates!H16&lt;0.1,"*",""))))</f>
        <v>0.103</v>
      </c>
    </row>
    <row r="13" customFormat="false" ht="15" hidden="false" customHeight="false" outlineLevel="0" collapsed="false">
      <c r="C13" s="8" t="str">
        <f aca="false">IF(Estimates!G14="","","("&amp;TEXT(Estimates!G14,"0.00")&amp;")")</f>
        <v>(2.28)</v>
      </c>
      <c r="D13" s="8" t="str">
        <f aca="false">IF(Estimates!G15="","","("&amp;TEXT(Estimates!G15,"0.00")&amp;")")</f>
        <v>(2.42)</v>
      </c>
      <c r="E13" s="8" t="str">
        <f aca="false">IF(Estimates!G16="","","("&amp;TEXT(Estimates!G16,"0.00")&amp;")")</f>
        <v>(0.93)</v>
      </c>
    </row>
    <row r="14" customFormat="false" ht="15" hidden="false" customHeight="false" outlineLevel="0" collapsed="false">
      <c r="A14" s="7" t="s">
        <v>11</v>
      </c>
      <c r="C14" s="8" t="str">
        <f aca="false">IF(Estimates!H17="","n/a",TEXT(Estimates!D17,"0.000")&amp;IF(Estimates!H17&lt;0.01,"***",IF(Estimates!H17&lt;0.05,"**",IF(Estimates!H17&lt;0.1,"*",""))))</f>
        <v>0.137*</v>
      </c>
      <c r="D14" s="8" t="str">
        <f aca="false">IF(Estimates!H18="","n/a",TEXT(Estimates!D18,"0.000")&amp;IF(Estimates!H18&lt;0.01,"***",IF(Estimates!H18&lt;0.05,"**",IF(Estimates!H18&lt;0.1,"*",""))))</f>
        <v>0.191**</v>
      </c>
      <c r="E14" s="8" t="str">
        <f aca="false">IF(Estimates!H19="","n/a",TEXT(Estimates!D19,"0.000")&amp;IF(Estimates!H19&lt;0.01,"***",IF(Estimates!H19&lt;0.05,"**",IF(Estimates!H19&lt;0.1,"*",""))))</f>
        <v>0.252**</v>
      </c>
    </row>
    <row r="15" customFormat="false" ht="15" hidden="false" customHeight="false" outlineLevel="0" collapsed="false">
      <c r="C15" s="8" t="str">
        <f aca="false">IF(Estimates!G17="","","("&amp;TEXT(Estimates!G17,"0.00")&amp;")")</f>
        <v>(1.90)</v>
      </c>
      <c r="D15" s="8" t="str">
        <f aca="false">IF(Estimates!G18="","","("&amp;TEXT(Estimates!G18,"0.00")&amp;")")</f>
        <v>(2.64)</v>
      </c>
      <c r="E15" s="8" t="str">
        <f aca="false">IF(Estimates!G19="","","("&amp;TEXT(Estimates!G19,"0.00")&amp;")")</f>
        <v>(2.23)</v>
      </c>
    </row>
    <row r="16" customFormat="false" ht="15" hidden="false" customHeight="false" outlineLevel="0" collapsed="false">
      <c r="A16" s="7" t="s">
        <v>12</v>
      </c>
      <c r="C16" s="8" t="str">
        <f aca="false">IF(Estimates!H20="","n/a",TEXT(Estimates!D20,"0.000")&amp;IF(Estimates!H20&lt;0.01,"***",IF(Estimates!H20&lt;0.05,"**",IF(Estimates!H20&lt;0.1,"*",""))))</f>
        <v>0.084</v>
      </c>
      <c r="D16" s="8" t="str">
        <f aca="false">IF(Estimates!H21="","n/a",TEXT(Estimates!D21,"0.000")&amp;IF(Estimates!H21&lt;0.01,"***",IF(Estimates!H21&lt;0.05,"**",IF(Estimates!H21&lt;0.1,"*",""))))</f>
        <v>0.108</v>
      </c>
      <c r="E16" s="8" t="str">
        <f aca="false">IF(Estimates!H22="","n/a",TEXT(Estimates!D22,"0.000")&amp;IF(Estimates!H22&lt;0.01,"***",IF(Estimates!H22&lt;0.05,"**",IF(Estimates!H22&lt;0.1,"*",""))))</f>
        <v>0.092</v>
      </c>
    </row>
    <row r="17" customFormat="false" ht="15" hidden="false" customHeight="false" outlineLevel="0" collapsed="false">
      <c r="C17" s="8" t="str">
        <f aca="false">IF(Estimates!G20="","","("&amp;TEXT(Estimates!G20,"0.00")&amp;")")</f>
        <v>(1.09)</v>
      </c>
      <c r="D17" s="8" t="str">
        <f aca="false">IF(Estimates!G21="","","("&amp;TEXT(Estimates!G21,"0.00")&amp;")")</f>
        <v>(1.32)</v>
      </c>
      <c r="E17" s="8" t="str">
        <f aca="false">IF(Estimates!G22="","","("&amp;TEXT(Estimates!G22,"0.00")&amp;")")</f>
        <v>(0.74)</v>
      </c>
    </row>
    <row r="18" customFormat="false" ht="15" hidden="false" customHeight="false" outlineLevel="0" collapsed="false">
      <c r="A18" s="7" t="s">
        <v>13</v>
      </c>
      <c r="C18" s="8" t="str">
        <f aca="false">IF(Estimates!H23="","n/a",TEXT(Estimates!D23,"0.000")&amp;IF(Estimates!H23&lt;0.01,"***",IF(Estimates!H23&lt;0.05,"**",IF(Estimates!H23&lt;0.1,"*",""))))</f>
        <v>0.189**</v>
      </c>
      <c r="D18" s="8" t="str">
        <f aca="false">IF(Estimates!H24="","n/a",TEXT(Estimates!D24,"0.000")&amp;IF(Estimates!H24&lt;0.01,"***",IF(Estimates!H24&lt;0.05,"**",IF(Estimates!H24&lt;0.1,"*",""))))</f>
        <v>0.198**</v>
      </c>
      <c r="E18" s="8" t="str">
        <f aca="false">IF(Estimates!H25="","n/a",TEXT(Estimates!D25,"0.000")&amp;IF(Estimates!H25&lt;0.01,"***",IF(Estimates!H25&lt;0.05,"**",IF(Estimates!H25&lt;0.1,"*",""))))</f>
        <v>0.255**</v>
      </c>
    </row>
    <row r="19" customFormat="false" ht="15" hidden="false" customHeight="false" outlineLevel="0" collapsed="false">
      <c r="C19" s="8" t="str">
        <f aca="false">IF(Estimates!G23="","","("&amp;TEXT(Estimates!G23,"0.00")&amp;")")</f>
        <v>(2.40)</v>
      </c>
      <c r="D19" s="8" t="str">
        <f aca="false">IF(Estimates!G24="","","("&amp;TEXT(Estimates!G24,"0.00")&amp;")")</f>
        <v>(2.35)</v>
      </c>
      <c r="E19" s="8" t="str">
        <f aca="false">IF(Estimates!G25="","","("&amp;TEXT(Estimates!G25,"0.00")&amp;")")</f>
        <v>(2.43)</v>
      </c>
    </row>
    <row r="20" customFormat="false" ht="15" hidden="false" customHeight="false" outlineLevel="0" collapsed="false">
      <c r="A20" s="7" t="s">
        <v>14</v>
      </c>
      <c r="C20" s="8" t="str">
        <f aca="false">IF(Estimates!H26="","n/a",TEXT(Estimates!D26,"0.000")&amp;IF(Estimates!H26&lt;0.01,"***",IF(Estimates!H26&lt;0.05,"**",IF(Estimates!H26&lt;0.1,"*",""))))</f>
        <v>0.124</v>
      </c>
      <c r="D20" s="8" t="str">
        <f aca="false">IF(Estimates!H27="","n/a",TEXT(Estimates!D27,"0.000")&amp;IF(Estimates!H27&lt;0.01,"***",IF(Estimates!H27&lt;0.05,"**",IF(Estimates!H27&lt;0.1,"*",""))))</f>
        <v>0.141*</v>
      </c>
      <c r="E20" s="8" t="str">
        <f aca="false">IF(Estimates!H28="","n/a",TEXT(Estimates!D28,"0.000")&amp;IF(Estimates!H28&lt;0.01,"***",IF(Estimates!H28&lt;0.05,"**",IF(Estimates!H28&lt;0.1,"*",""))))</f>
        <v>0.129</v>
      </c>
    </row>
    <row r="21" customFormat="false" ht="15" hidden="false" customHeight="false" outlineLevel="0" collapsed="false">
      <c r="C21" s="8" t="str">
        <f aca="false">IF(Estimates!G26="","","("&amp;TEXT(Estimates!G26,"0.00")&amp;")")</f>
        <v>(1.57)</v>
      </c>
      <c r="D21" s="8" t="str">
        <f aca="false">IF(Estimates!G27="","","("&amp;TEXT(Estimates!G27,"0.00")&amp;")")</f>
        <v>(1.87)</v>
      </c>
      <c r="E21" s="8" t="str">
        <f aca="false">IF(Estimates!G28="","","("&amp;TEXT(Estimates!G28,"0.00")&amp;")")</f>
        <v>(1.18)</v>
      </c>
    </row>
    <row r="22" customFormat="false" ht="15" hidden="false" customHeight="false" outlineLevel="0" collapsed="false">
      <c r="A22" s="7" t="s">
        <v>15</v>
      </c>
      <c r="D22" s="8" t="str">
        <f aca="false">IF(Estimates!H29="","n/a",TEXT(Estimates!D29,"0.000")&amp;IF(Estimates!H29&lt;0.01,"***",IF(Estimates!H29&lt;0.05,"**",IF(Estimates!H29&lt;0.1,"*",""))))</f>
        <v>-0.065</v>
      </c>
      <c r="E22" s="8" t="str">
        <f aca="false">IF(Estimates!H30="","n/a",TEXT(Estimates!D30,"0.000")&amp;IF(Estimates!H30&lt;0.01,"***",IF(Estimates!H30&lt;0.05,"**",IF(Estimates!H30&lt;0.1,"*",""))))</f>
        <v>-0.088</v>
      </c>
    </row>
    <row r="23" customFormat="false" ht="15" hidden="false" customHeight="false" outlineLevel="0" collapsed="false">
      <c r="D23" s="8" t="str">
        <f aca="false">IF(Estimates!G29="","","("&amp;TEXT(Estimates!G29,"0.00")&amp;")")</f>
        <v>(-0.97)</v>
      </c>
      <c r="E23" s="8" t="str">
        <f aca="false">IF(Estimates!G30="","","("&amp;TEXT(Estimates!G30,"0.00")&amp;")")</f>
        <v>(-1.09)</v>
      </c>
    </row>
    <row r="24" customFormat="false" ht="15" hidden="false" customHeight="false" outlineLevel="0" collapsed="false">
      <c r="A24" s="7" t="s">
        <v>16</v>
      </c>
      <c r="D24" s="8" t="str">
        <f aca="false">IF(Estimates!H31="","n/a",TEXT(Estimates!D31,"0.000")&amp;IF(Estimates!H31&lt;0.01,"***",IF(Estimates!H31&lt;0.05,"**",IF(Estimates!H31&lt;0.1,"*",""))))</f>
        <v>0.126</v>
      </c>
      <c r="E24" s="8" t="str">
        <f aca="false">IF(Estimates!H32="","n/a",TEXT(Estimates!D32,"0.000")&amp;IF(Estimates!H32&lt;0.01,"***",IF(Estimates!H32&lt;0.05,"**",IF(Estimates!H32&lt;0.1,"*",""))))</f>
        <v>-0.956</v>
      </c>
    </row>
    <row r="25" customFormat="false" ht="15" hidden="false" customHeight="false" outlineLevel="0" collapsed="false">
      <c r="D25" s="8" t="str">
        <f aca="false">IF(Estimates!G31="","","("&amp;TEXT(Estimates!G31,"0.00")&amp;")")</f>
        <v>(1.68)</v>
      </c>
      <c r="E25" s="8" t="str">
        <f aca="false">IF(Estimates!G32="","","("&amp;TEXT(Estimates!G32,"0.00")&amp;")")</f>
        <v>(-0.98)</v>
      </c>
    </row>
    <row r="26" customFormat="false" ht="15" hidden="false" customHeight="false" outlineLevel="0" collapsed="false">
      <c r="A26" s="7" t="s">
        <v>17</v>
      </c>
      <c r="D26" s="8" t="str">
        <f aca="false">IF(Estimates!H33="","n/a",TEXT(Estimates!D33,"0.000")&amp;IF(Estimates!H33&lt;0.01,"***",IF(Estimates!H33&lt;0.05,"**",IF(Estimates!H33&lt;0.1,"*",""))))</f>
        <v>-0.008</v>
      </c>
      <c r="E26" s="8" t="str">
        <f aca="false">IF(Estimates!H34="","n/a",TEXT(Estimates!D34,"0.000")&amp;IF(Estimates!H34&lt;0.01,"***",IF(Estimates!H34&lt;0.05,"**",IF(Estimates!H34&lt;0.1,"*",""))))</f>
        <v>-0.015</v>
      </c>
    </row>
    <row r="27" customFormat="false" ht="15" hidden="false" customHeight="false" outlineLevel="0" collapsed="false">
      <c r="D27" s="8" t="str">
        <f aca="false">IF(Estimates!G33="","","("&amp;TEXT(Estimates!G33,"0.00")&amp;")")</f>
        <v>(-1.15)</v>
      </c>
      <c r="E27" s="8" t="str">
        <f aca="false">IF(Estimates!G34="","","("&amp;TEXT(Estimates!G34,"0.00")&amp;")")</f>
        <v>(-0.91)</v>
      </c>
    </row>
    <row r="28" customFormat="false" ht="15" hidden="false" customHeight="false" outlineLevel="0" collapsed="false">
      <c r="A28" s="7" t="s">
        <v>18</v>
      </c>
      <c r="D28" s="8" t="str">
        <f aca="false">IF(Estimates!H35="","n/a",TEXT(Estimates!D35,"0.000")&amp;IF(Estimates!H35&lt;0.01,"***",IF(Estimates!H35&lt;0.05,"**",IF(Estimates!H35&lt;0.1,"*",""))))</f>
        <v>0.358</v>
      </c>
    </row>
    <row r="29" customFormat="false" ht="15" hidden="false" customHeight="false" outlineLevel="0" collapsed="false">
      <c r="D29" s="8" t="str">
        <f aca="false">IF(Estimates!G35="","","("&amp;TEXT(Estimates!G35,"0.00")&amp;")")</f>
        <v>(1.17)</v>
      </c>
    </row>
    <row r="30" customFormat="false" ht="15" hidden="false" customHeight="false" outlineLevel="0" collapsed="false">
      <c r="A30" s="7" t="s">
        <v>19</v>
      </c>
      <c r="D30" s="8" t="str">
        <f aca="false">IF(Estimates!H36="","n/a",TEXT(Estimates!D36,"0.000")&amp;IF(Estimates!H36&lt;0.01,"***",IF(Estimates!H36&lt;0.05,"**",IF(Estimates!H36&lt;0.1,"*",""))))</f>
        <v>0.306</v>
      </c>
      <c r="E30" s="8" t="str">
        <f aca="false">IF(Estimates!H37="","n/a",TEXT(Estimates!D37,"0.000")&amp;IF(Estimates!H37&lt;0.01,"***",IF(Estimates!H37&lt;0.05,"**",IF(Estimates!H37&lt;0.1,"*",""))))</f>
        <v>2.588**</v>
      </c>
    </row>
    <row r="31" customFormat="false" ht="15" hidden="false" customHeight="false" outlineLevel="0" collapsed="false">
      <c r="D31" s="8" t="str">
        <f aca="false">IF(Estimates!G36="","","("&amp;TEXT(Estimates!G36,"0.00")&amp;")")</f>
        <v>(0.75)</v>
      </c>
      <c r="E31" s="8" t="str">
        <f aca="false">IF(Estimates!G37="","","("&amp;TEXT(Estimates!G37,"0.00")&amp;")")</f>
        <v>(2.36)</v>
      </c>
    </row>
    <row r="32" customFormat="false" ht="15" hidden="false" customHeight="false" outlineLevel="0" collapsed="false">
      <c r="A32" s="7" t="s">
        <v>20</v>
      </c>
      <c r="D32" s="8" t="str">
        <f aca="false">IF(Estimates!H38="","n/a",TEXT(Estimates!D38,"0.000")&amp;IF(Estimates!H38&lt;0.01,"***",IF(Estimates!H38&lt;0.05,"**",IF(Estimates!H38&lt;0.1,"*",""))))</f>
        <v>0.038</v>
      </c>
      <c r="E32" s="8" t="str">
        <f aca="false">IF(Estimates!H39="","n/a",TEXT(Estimates!D39,"0.000")&amp;IF(Estimates!H39&lt;0.01,"***",IF(Estimates!H39&lt;0.05,"**",IF(Estimates!H39&lt;0.1,"*",""))))</f>
        <v>-0.113</v>
      </c>
    </row>
    <row r="33" customFormat="false" ht="15" hidden="false" customHeight="false" outlineLevel="0" collapsed="false">
      <c r="D33" s="8" t="str">
        <f aca="false">IF(Estimates!G38="","","("&amp;TEXT(Estimates!G38,"0.00")&amp;")")</f>
        <v>(0.27)</v>
      </c>
      <c r="E33" s="8" t="str">
        <f aca="false">IF(Estimates!G39="","","("&amp;TEXT(Estimates!G39,"0.00")&amp;")")</f>
        <v>(-0.50)</v>
      </c>
    </row>
    <row r="34" customFormat="false" ht="15" hidden="false" customHeight="false" outlineLevel="0" collapsed="false">
      <c r="A34" s="7" t="s">
        <v>21</v>
      </c>
      <c r="D34" s="8" t="str">
        <f aca="false">IF(Estimates!H40="","n/a",TEXT(Estimates!D40,"0.000")&amp;IF(Estimates!H40&lt;0.01,"***",IF(Estimates!H40&lt;0.05,"**",IF(Estimates!H40&lt;0.1,"*",""))))</f>
        <v>0.131</v>
      </c>
      <c r="E34" s="8" t="str">
        <f aca="false">IF(Estimates!H41="","n/a",TEXT(Estimates!D41,"0.000")&amp;IF(Estimates!H41&lt;0.01,"***",IF(Estimates!H41&lt;0.05,"**",IF(Estimates!H41&lt;0.1,"*",""))))</f>
        <v>0.258</v>
      </c>
    </row>
    <row r="35" customFormat="false" ht="15" hidden="false" customHeight="false" outlineLevel="0" collapsed="false">
      <c r="D35" s="8" t="str">
        <f aca="false">IF(Estimates!G40="","","("&amp;TEXT(Estimates!G40,"0.00")&amp;")")</f>
        <v>(0.57)</v>
      </c>
      <c r="E35" s="8" t="str">
        <f aca="false">IF(Estimates!G41="","","("&amp;TEXT(Estimates!G41,"0.00")&amp;")")</f>
        <v>(0.87)</v>
      </c>
    </row>
    <row r="36" customFormat="false" ht="15" hidden="false" customHeight="false" outlineLevel="0" collapsed="false">
      <c r="A36" s="7" t="s">
        <v>22</v>
      </c>
      <c r="D36" s="8" t="str">
        <f aca="false">IF(Estimates!H42="","n/a",TEXT(Estimates!D42,"0.000")&amp;IF(Estimates!H42&lt;0.01,"***",IF(Estimates!H42&lt;0.05,"**",IF(Estimates!H42&lt;0.1,"*",""))))</f>
        <v>-0.355</v>
      </c>
      <c r="E36" s="8" t="str">
        <f aca="false">IF(Estimates!H43="","n/a",TEXT(Estimates!D43,"0.000")&amp;IF(Estimates!H43&lt;0.01,"***",IF(Estimates!H43&lt;0.05,"**",IF(Estimates!H43&lt;0.1,"*",""))))</f>
        <v>0.069</v>
      </c>
    </row>
    <row r="37" customFormat="false" ht="15" hidden="false" customHeight="false" outlineLevel="0" collapsed="false">
      <c r="D37" s="8" t="str">
        <f aca="false">IF(Estimates!G42="","","("&amp;TEXT(Estimates!G42,"0.00")&amp;")")</f>
        <v>(-1.58)</v>
      </c>
      <c r="E37" s="8" t="str">
        <f aca="false">IF(Estimates!G43="","","("&amp;TEXT(Estimates!G43,"0.00")&amp;")")</f>
        <v>(0.24)</v>
      </c>
    </row>
    <row r="38" customFormat="false" ht="15" hidden="false" customHeight="false" outlineLevel="0" collapsed="false">
      <c r="A38" s="7" t="s">
        <v>23</v>
      </c>
      <c r="D38" s="8" t="str">
        <f aca="false">IF(Estimates!H44="","n/a",TEXT(Estimates!D44,"0.000")&amp;IF(Estimates!H44&lt;0.01,"***",IF(Estimates!H44&lt;0.05,"**",IF(Estimates!H44&lt;0.1,"*",""))))</f>
        <v>-0.074</v>
      </c>
      <c r="E38" s="8" t="str">
        <f aca="false">IF(Estimates!H45="","n/a",TEXT(Estimates!D45,"0.000")&amp;IF(Estimates!H45&lt;0.01,"***",IF(Estimates!H45&lt;0.05,"**",IF(Estimates!H45&lt;0.1,"*",""))))</f>
        <v>-0.401</v>
      </c>
    </row>
    <row r="39" customFormat="false" ht="15" hidden="false" customHeight="false" outlineLevel="0" collapsed="false">
      <c r="D39" s="8" t="str">
        <f aca="false">IF(Estimates!G44="","","("&amp;TEXT(Estimates!G44,"0.00")&amp;")")</f>
        <v>(-0.37)</v>
      </c>
      <c r="E39" s="8" t="str">
        <f aca="false">IF(Estimates!G45="","","("&amp;TEXT(Estimates!G45,"0.00")&amp;")")</f>
        <v>(-0.24)</v>
      </c>
    </row>
    <row r="40" customFormat="false" ht="15" hidden="false" customHeight="false" outlineLevel="0" collapsed="false">
      <c r="A40" s="7" t="s">
        <v>24</v>
      </c>
      <c r="D40" s="8" t="str">
        <f aca="false">IF(Estimates!H46="","n/a",TEXT(Estimates!D46,"0.000")&amp;IF(Estimates!H46&lt;0.01,"***",IF(Estimates!H46&lt;0.05,"**",IF(Estimates!H46&lt;0.1,"*",""))))</f>
        <v>-0.423</v>
      </c>
      <c r="E40" s="8" t="str">
        <f aca="false">IF(Estimates!H47="","n/a",TEXT(Estimates!D47,"0.000")&amp;IF(Estimates!H47&lt;0.01,"***",IF(Estimates!H47&lt;0.05,"**",IF(Estimates!H47&lt;0.1,"*",""))))</f>
        <v>1.288</v>
      </c>
    </row>
    <row r="41" customFormat="false" ht="15" hidden="false" customHeight="false" outlineLevel="0" collapsed="false">
      <c r="D41" s="8" t="str">
        <f aca="false">IF(Estimates!G46="","","("&amp;TEXT(Estimates!G46,"0.00")&amp;")")</f>
        <v>(-0.80)</v>
      </c>
      <c r="E41" s="8" t="str">
        <f aca="false">IF(Estimates!G47="","","("&amp;TEXT(Estimates!G47,"0.00")&amp;")")</f>
        <v>(0.61)</v>
      </c>
    </row>
    <row r="43" customFormat="false" ht="15" hidden="false" customHeight="false" outlineLevel="0" collapsed="false">
      <c r="A43" s="7" t="s">
        <v>25</v>
      </c>
      <c r="B43" s="9" t="n">
        <v>1320</v>
      </c>
      <c r="C43" s="9" t="n">
        <v>1293</v>
      </c>
      <c r="D43" s="9" t="n">
        <v>1064</v>
      </c>
      <c r="E43" s="9" t="n">
        <v>1061</v>
      </c>
    </row>
    <row r="44" customFormat="false" ht="15" hidden="false" customHeight="false" outlineLevel="0" collapsed="false">
      <c r="A44" s="7" t="s">
        <v>26</v>
      </c>
      <c r="B44" s="10" t="n">
        <v>0.919154054414601</v>
      </c>
      <c r="C44" s="10" t="n">
        <v>0.922958734012636</v>
      </c>
      <c r="D44" s="10" t="n">
        <v>0.933077760927795</v>
      </c>
      <c r="E44" s="10" t="n">
        <v>0.932982448842063</v>
      </c>
    </row>
    <row r="45" customFormat="false" ht="15" hidden="false" customHeight="false" outlineLevel="0" collapsed="false">
      <c r="A45" s="7" t="s">
        <v>27</v>
      </c>
      <c r="B45" s="11" t="s">
        <v>28</v>
      </c>
      <c r="C45" s="11" t="s">
        <v>29</v>
      </c>
      <c r="D45" s="11" t="s">
        <v>29</v>
      </c>
      <c r="E45" s="11" t="s">
        <v>29</v>
      </c>
    </row>
    <row r="46" customFormat="false" ht="15" hidden="false" customHeight="false" outlineLevel="0" collapsed="false">
      <c r="A46" s="7" t="s">
        <v>30</v>
      </c>
      <c r="B46" s="11" t="s">
        <v>28</v>
      </c>
      <c r="C46" s="11" t="s">
        <v>28</v>
      </c>
      <c r="D46" s="11" t="s">
        <v>29</v>
      </c>
      <c r="E46" s="11" t="s">
        <v>29</v>
      </c>
    </row>
    <row r="47" customFormat="false" ht="15" hidden="false" customHeight="false" outlineLevel="0" collapsed="false">
      <c r="A47" s="7" t="s">
        <v>31</v>
      </c>
      <c r="B47" s="11" t="s">
        <v>28</v>
      </c>
      <c r="C47" s="11" t="s">
        <v>28</v>
      </c>
      <c r="D47" s="11" t="s">
        <v>28</v>
      </c>
      <c r="E47" s="11" t="s">
        <v>29</v>
      </c>
    </row>
    <row r="48" customFormat="false" ht="15" hidden="false" customHeight="false" outlineLevel="0" collapsed="false">
      <c r="A48" s="12" t="s">
        <v>32</v>
      </c>
      <c r="B48" s="6" t="s">
        <v>29</v>
      </c>
      <c r="C48" s="6" t="s">
        <v>29</v>
      </c>
      <c r="D48" s="6" t="s">
        <v>29</v>
      </c>
      <c r="E48" s="6" t="s">
        <v>29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5"/>
  </cols>
  <sheetData>
    <row r="1" customFormat="false" ht="15" hidden="false" customHeight="false" outlineLevel="0" collapsed="false">
      <c r="A1" s="1" t="s">
        <v>33</v>
      </c>
    </row>
    <row r="2" customFormat="false" ht="150" hidden="false" customHeight="true" outlineLevel="0" collapsed="false">
      <c r="A2" s="2" t="s">
        <v>34</v>
      </c>
      <c r="B2" s="2"/>
      <c r="C2" s="2"/>
      <c r="D2" s="2"/>
      <c r="E2" s="2"/>
      <c r="F2" s="2"/>
    </row>
    <row r="4" customFormat="false" ht="15" hidden="false" customHeight="false" outlineLevel="0" collapsed="false">
      <c r="A4" s="1" t="s">
        <v>35</v>
      </c>
    </row>
    <row r="5" customFormat="false" ht="23.85" hidden="false" customHeight="false" outlineLevel="0" collapsed="false">
      <c r="A5" s="3"/>
      <c r="B5" s="4" t="s">
        <v>36</v>
      </c>
      <c r="C5" s="4" t="s">
        <v>37</v>
      </c>
      <c r="D5" s="4" t="s">
        <v>38</v>
      </c>
      <c r="E5" s="4" t="s">
        <v>25</v>
      </c>
      <c r="F5" s="4" t="s">
        <v>39</v>
      </c>
    </row>
    <row r="6" customFormat="false" ht="15" hidden="false" customHeight="false" outlineLevel="0" collapsed="false">
      <c r="A6" s="7" t="s">
        <v>40</v>
      </c>
      <c r="B6" s="8" t="str">
        <f aca="false">IF(Estimates!H48="","n/a",TEXT(Estimates!D48,"0.000")&amp;IF(Estimates!H48&lt;0.01,"***",IF(Estimates!H48&lt;0.05,"**",IF(Estimates!H48&lt;0.1,"*",""))))</f>
        <v>-0.411</v>
      </c>
      <c r="C6" s="8" t="str">
        <f aca="false">IF(Estimates!H49="","n/a",TEXT(Estimates!D49,"0.000")&amp;IF(Estimates!H49&lt;0.01,"***",IF(Estimates!H49&lt;0.05,"**",IF(Estimates!H49&lt;0.1,"*",""))))</f>
        <v>0.251</v>
      </c>
      <c r="D6" s="10" t="n">
        <f aca="false">IF(Estimates!H50="","",Estimates!H50)</f>
        <v>0.251461731874258</v>
      </c>
      <c r="E6" s="9" t="n">
        <v>1054</v>
      </c>
      <c r="F6" s="10" t="n">
        <v>0.934262580064557</v>
      </c>
    </row>
    <row r="7" customFormat="false" ht="15" hidden="false" customHeight="false" outlineLevel="0" collapsed="false">
      <c r="B7" s="8" t="str">
        <f aca="false">IF(Estimates!G48="","","("&amp;TEXT(Estimates!G48,"0.00")&amp;")")</f>
        <v>(-1.00)</v>
      </c>
      <c r="C7" s="8" t="str">
        <f aca="false">IF(Estimates!G49="","","("&amp;TEXT(Estimates!G49,"0.00")&amp;")")</f>
        <v>(0.71)</v>
      </c>
    </row>
    <row r="8" customFormat="false" ht="15" hidden="false" customHeight="false" outlineLevel="0" collapsed="false">
      <c r="A8" s="7" t="s">
        <v>41</v>
      </c>
      <c r="B8" s="8" t="str">
        <f aca="false">IF(Estimates!H51="","n/a",TEXT(Estimates!D51,"0.000")&amp;IF(Estimates!H51&lt;0.01,"***",IF(Estimates!H51&lt;0.05,"**",IF(Estimates!H51&lt;0.1,"*",""))))</f>
        <v>-0.855*</v>
      </c>
      <c r="C8" s="8" t="str">
        <f aca="false">IF(Estimates!H52="","n/a",TEXT(Estimates!D52,"0.000")&amp;IF(Estimates!H52&lt;0.01,"***",IF(Estimates!H52&lt;0.05,"**",IF(Estimates!H52&lt;0.1,"*",""))))</f>
        <v>0.352</v>
      </c>
      <c r="D8" s="10" t="n">
        <f aca="false">IF(Estimates!H53="","",Estimates!H53)</f>
        <v>0.0124488541825338</v>
      </c>
      <c r="E8" s="9" t="n">
        <v>1150</v>
      </c>
      <c r="F8" s="10" t="n">
        <v>0.936603278527994</v>
      </c>
    </row>
    <row r="9" customFormat="false" ht="15" hidden="false" customHeight="false" outlineLevel="0" collapsed="false">
      <c r="B9" s="8" t="str">
        <f aca="false">IF(Estimates!G51="","","("&amp;TEXT(Estimates!G51,"0.00")&amp;")")</f>
        <v>(-1.82)</v>
      </c>
      <c r="C9" s="8" t="str">
        <f aca="false">IF(Estimates!G52="","","("&amp;TEXT(Estimates!G52,"0.00")&amp;")")</f>
        <v>(1.54)</v>
      </c>
    </row>
    <row r="10" customFormat="false" ht="15" hidden="false" customHeight="false" outlineLevel="0" collapsed="false">
      <c r="A10" s="7" t="s">
        <v>42</v>
      </c>
      <c r="B10" s="8" t="str">
        <f aca="false">IF(Estimates!H54="","n/a",TEXT(Estimates!D54,"0.000")&amp;IF(Estimates!H54&lt;0.01,"***",IF(Estimates!H54&lt;0.05,"**",IF(Estimates!H54&lt;0.1,"*",""))))</f>
        <v>-0.285</v>
      </c>
      <c r="C10" s="8" t="str">
        <f aca="false">IF(Estimates!H55="","n/a",TEXT(Estimates!D55,"0.000")&amp;IF(Estimates!H55&lt;0.01,"***",IF(Estimates!H55&lt;0.05,"**",IF(Estimates!H55&lt;0.1,"*",""))))</f>
        <v>0.223</v>
      </c>
      <c r="D10" s="10" t="n">
        <f aca="false">IF(Estimates!H56="","",Estimates!H56)</f>
        <v>0.407721463172631</v>
      </c>
      <c r="E10" s="9" t="n">
        <v>1196</v>
      </c>
      <c r="F10" s="10" t="n">
        <v>0.930997184671453</v>
      </c>
    </row>
    <row r="11" customFormat="false" ht="15" hidden="false" customHeight="false" outlineLevel="0" collapsed="false">
      <c r="B11" s="8" t="str">
        <f aca="false">IF(Estimates!G54="","","("&amp;TEXT(Estimates!G54,"0.00")&amp;")")</f>
        <v>(-0.56)</v>
      </c>
      <c r="C11" s="8" t="str">
        <f aca="false">IF(Estimates!G55="","","("&amp;TEXT(Estimates!G55,"0.00")&amp;")")</f>
        <v>(0.65)</v>
      </c>
    </row>
    <row r="12" customFormat="false" ht="15" hidden="false" customHeight="false" outlineLevel="0" collapsed="false">
      <c r="A12" s="7" t="s">
        <v>43</v>
      </c>
      <c r="B12" s="8" t="str">
        <f aca="false">IF(Estimates!H57="","n/a",TEXT(Estimates!D57,"0.000")&amp;IF(Estimates!H57&lt;0.01,"***",IF(Estimates!H57&lt;0.05,"**",IF(Estimates!H57&lt;0.1,"*",""))))</f>
        <v>0.730***</v>
      </c>
      <c r="C12" s="8" t="str">
        <f aca="false">IF(Estimates!H58="","n/a",TEXT(Estimates!D58,"0.000")&amp;IF(Estimates!H58&lt;0.01,"***",IF(Estimates!H58&lt;0.05,"**",IF(Estimates!H58&lt;0.1,"*",""))))</f>
        <v>-0.124</v>
      </c>
      <c r="D12" s="10" t="n">
        <f aca="false">IF(Estimates!H59="","",Estimates!H59)</f>
        <v>0.0355963460764119</v>
      </c>
      <c r="E12" s="9" t="n">
        <v>1120</v>
      </c>
      <c r="F12" s="10" t="n">
        <v>0.935309008766763</v>
      </c>
    </row>
    <row r="13" customFormat="false" ht="15" hidden="false" customHeight="false" outlineLevel="0" collapsed="false">
      <c r="B13" s="8" t="str">
        <f aca="false">IF(Estimates!G57="","","("&amp;TEXT(Estimates!G57,"0.00")&amp;")")</f>
        <v>(3.06)</v>
      </c>
      <c r="C13" s="8" t="str">
        <f aca="false">IF(Estimates!G58="","","("&amp;TEXT(Estimates!G58,"0.00")&amp;")")</f>
        <v>(-0.40)</v>
      </c>
    </row>
    <row r="14" customFormat="false" ht="15" hidden="false" customHeight="false" outlineLevel="0" collapsed="false">
      <c r="A14" s="7" t="s">
        <v>44</v>
      </c>
      <c r="B14" s="8" t="str">
        <f aca="false">IF(Estimates!H60="","n/a",TEXT(Estimates!D60,"0.000")&amp;IF(Estimates!H60&lt;0.01,"***",IF(Estimates!H60&lt;0.05,"**",IF(Estimates!H60&lt;0.1,"*",""))))</f>
        <v>0.694**</v>
      </c>
      <c r="C14" s="8" t="str">
        <f aca="false">IF(Estimates!H61="","n/a",TEXT(Estimates!D61,"0.000")&amp;IF(Estimates!H61&lt;0.01,"***",IF(Estimates!H61&lt;0.05,"**",IF(Estimates!H61&lt;0.1,"*",""))))</f>
        <v>-0.517</v>
      </c>
      <c r="D14" s="10" t="n">
        <f aca="false">IF(Estimates!H62="","",Estimates!H62)</f>
        <v>0.00777912406324421</v>
      </c>
      <c r="E14" s="9" t="n">
        <v>1066</v>
      </c>
      <c r="F14" s="10" t="n">
        <v>0.932334622318542</v>
      </c>
    </row>
    <row r="15" customFormat="false" ht="15" hidden="false" customHeight="false" outlineLevel="0" collapsed="false">
      <c r="B15" s="8" t="str">
        <f aca="false">IF(Estimates!G60="","","("&amp;TEXT(Estimates!G60,"0.00")&amp;")")</f>
        <v>(2.43)</v>
      </c>
      <c r="C15" s="8" t="str">
        <f aca="false">IF(Estimates!G61="","","("&amp;TEXT(Estimates!G61,"0.00")&amp;")")</f>
        <v>(-1.15)</v>
      </c>
    </row>
    <row r="16" customFormat="false" ht="15" hidden="false" customHeight="false" outlineLevel="0" collapsed="false">
      <c r="A16" s="7" t="s">
        <v>45</v>
      </c>
      <c r="B16" s="8" t="str">
        <f aca="false">IF(Estimates!H63="","n/a",TEXT(Estimates!D63,"0.000")&amp;IF(Estimates!H63&lt;0.01,"***",IF(Estimates!H63&lt;0.05,"**",IF(Estimates!H63&lt;0.1,"*",""))))</f>
        <v>-0.435</v>
      </c>
      <c r="C16" s="8" t="str">
        <f aca="false">IF(Estimates!H64="","n/a",TEXT(Estimates!D64,"0.000")&amp;IF(Estimates!H64&lt;0.01,"***",IF(Estimates!H64&lt;0.05,"**",IF(Estimates!H64&lt;0.1,"*",""))))</f>
        <v>0.059</v>
      </c>
      <c r="D16" s="10" t="n">
        <f aca="false">IF(Estimates!H65="","",Estimates!H65)</f>
        <v>0.639330088830613</v>
      </c>
      <c r="E16" s="9" t="n">
        <v>1109</v>
      </c>
      <c r="F16" s="10" t="n">
        <v>0.937607936676625</v>
      </c>
    </row>
    <row r="17" customFormat="false" ht="15" hidden="false" customHeight="false" outlineLevel="0" collapsed="false">
      <c r="A17" s="5"/>
      <c r="B17" s="13" t="str">
        <f aca="false">IF(Estimates!G63="","","("&amp;TEXT(Estimates!G63,"0.00")&amp;")")</f>
        <v>(-0.43)</v>
      </c>
      <c r="C17" s="13" t="str">
        <f aca="false">IF(Estimates!G64="","","("&amp;TEXT(Estimates!G64,"0.00")&amp;")")</f>
        <v>(0.19)</v>
      </c>
      <c r="D17" s="5"/>
      <c r="E17" s="5"/>
      <c r="F17" s="5"/>
    </row>
    <row r="19" customFormat="false" ht="15" hidden="false" customHeight="false" outlineLevel="0" collapsed="false">
      <c r="A19" s="1" t="s">
        <v>46</v>
      </c>
    </row>
    <row r="20" customFormat="false" ht="23.85" hidden="false" customHeight="false" outlineLevel="0" collapsed="false">
      <c r="A20" s="3"/>
      <c r="B20" s="4" t="s">
        <v>36</v>
      </c>
      <c r="C20" s="4" t="s">
        <v>37</v>
      </c>
      <c r="D20" s="4" t="s">
        <v>38</v>
      </c>
      <c r="E20" s="4" t="s">
        <v>25</v>
      </c>
      <c r="F20" s="4" t="s">
        <v>39</v>
      </c>
    </row>
    <row r="21" customFormat="false" ht="15" hidden="false" customHeight="false" outlineLevel="0" collapsed="false">
      <c r="A21" s="7" t="s">
        <v>40</v>
      </c>
      <c r="B21" s="8" t="str">
        <f aca="false">IF(Estimates!H66="","n/a",TEXT(Estimates!D66,"0.000")&amp;IF(Estimates!H66&lt;0.01,"***",IF(Estimates!H66&lt;0.05,"**",IF(Estimates!H66&lt;0.1,"*",""))))</f>
        <v>-0.660</v>
      </c>
      <c r="C21" s="8" t="str">
        <f aca="false">IF(Estimates!H67="","n/a",TEXT(Estimates!D67,"0.000")&amp;IF(Estimates!H67&lt;0.01,"***",IF(Estimates!H67&lt;0.05,"**",IF(Estimates!H67&lt;0.1,"*",""))))</f>
        <v>0.111</v>
      </c>
      <c r="D21" s="10" t="n">
        <f aca="false">IF(Estimates!H68="","",Estimates!H68)</f>
        <v>0.159748708029826</v>
      </c>
      <c r="E21" s="9" t="n">
        <v>1052</v>
      </c>
      <c r="F21" s="10" t="n">
        <v>0.934812955763433</v>
      </c>
    </row>
    <row r="22" customFormat="false" ht="15" hidden="false" customHeight="false" outlineLevel="0" collapsed="false">
      <c r="B22" s="8" t="str">
        <f aca="false">IF(Estimates!G66="","","("&amp;TEXT(Estimates!G66,"0.00")&amp;")")</f>
        <v>(-1.48)</v>
      </c>
      <c r="C22" s="8" t="str">
        <f aca="false">IF(Estimates!G67="","","("&amp;TEXT(Estimates!G67,"0.00")&amp;")")</f>
        <v>(0.41)</v>
      </c>
    </row>
    <row r="23" customFormat="false" ht="15" hidden="false" customHeight="false" outlineLevel="0" collapsed="false">
      <c r="A23" s="7" t="s">
        <v>41</v>
      </c>
      <c r="B23" s="8" t="str">
        <f aca="false">IF(Estimates!H69="","n/a",TEXT(Estimates!D69,"0.000")&amp;IF(Estimates!H69&lt;0.01,"***",IF(Estimates!H69&lt;0.05,"**",IF(Estimates!H69&lt;0.1,"*",""))))</f>
        <v>-0.393</v>
      </c>
      <c r="C23" s="8" t="str">
        <f aca="false">IF(Estimates!H70="","n/a",TEXT(Estimates!D70,"0.000")&amp;IF(Estimates!H70&lt;0.01,"***",IF(Estimates!H70&lt;0.05,"**",IF(Estimates!H70&lt;0.1,"*",""))))</f>
        <v>0.236</v>
      </c>
      <c r="D23" s="10" t="n">
        <f aca="false">IF(Estimates!H71="","",Estimates!H71)</f>
        <v>0.212783481633058</v>
      </c>
      <c r="E23" s="9" t="n">
        <v>1149</v>
      </c>
      <c r="F23" s="10" t="n">
        <v>0.938823002417829</v>
      </c>
    </row>
    <row r="24" customFormat="false" ht="15" hidden="false" customHeight="false" outlineLevel="0" collapsed="false">
      <c r="B24" s="8" t="str">
        <f aca="false">IF(Estimates!G69="","","("&amp;TEXT(Estimates!G69,"0.00")&amp;")")</f>
        <v>(-1.20)</v>
      </c>
      <c r="C24" s="8" t="str">
        <f aca="false">IF(Estimates!G70="","","("&amp;TEXT(Estimates!G70,"0.00")&amp;")")</f>
        <v>(1.00)</v>
      </c>
    </row>
    <row r="25" customFormat="false" ht="15" hidden="false" customHeight="false" outlineLevel="0" collapsed="false">
      <c r="A25" s="7" t="s">
        <v>42</v>
      </c>
      <c r="B25" s="8" t="str">
        <f aca="false">IF(Estimates!H72="","n/a",TEXT(Estimates!D72,"0.000")&amp;IF(Estimates!H72&lt;0.01,"***",IF(Estimates!H72&lt;0.05,"**",IF(Estimates!H72&lt;0.1,"*",""))))</f>
        <v>-0.756</v>
      </c>
      <c r="C25" s="8" t="str">
        <f aca="false">IF(Estimates!H73="","n/a",TEXT(Estimates!D73,"0.000")&amp;IF(Estimates!H73&lt;0.01,"***",IF(Estimates!H73&lt;0.05,"**",IF(Estimates!H73&lt;0.1,"*",""))))</f>
        <v>0.162</v>
      </c>
      <c r="D25" s="10" t="n">
        <f aca="false">IF(Estimates!H74="","",Estimates!H74)</f>
        <v>0.189104253921701</v>
      </c>
      <c r="E25" s="9" t="n">
        <v>1192</v>
      </c>
      <c r="F25" s="10" t="n">
        <v>0.93171050159837</v>
      </c>
    </row>
    <row r="26" customFormat="false" ht="15" hidden="false" customHeight="false" outlineLevel="0" collapsed="false">
      <c r="B26" s="8" t="str">
        <f aca="false">IF(Estimates!G72="","","("&amp;TEXT(Estimates!G72,"0.00")&amp;")")</f>
        <v>(-1.48)</v>
      </c>
      <c r="C26" s="8" t="str">
        <f aca="false">IF(Estimates!G73="","","("&amp;TEXT(Estimates!G73,"0.00")&amp;")")</f>
        <v>(0.50)</v>
      </c>
    </row>
    <row r="27" customFormat="false" ht="15" hidden="false" customHeight="false" outlineLevel="0" collapsed="false">
      <c r="A27" s="7" t="s">
        <v>43</v>
      </c>
      <c r="B27" s="8" t="str">
        <f aca="false">IF(Estimates!H75="","n/a",TEXT(Estimates!D75,"0.000")&amp;IF(Estimates!H75&lt;0.01,"***",IF(Estimates!H75&lt;0.05,"**",IF(Estimates!H75&lt;0.1,"*",""))))</f>
        <v>0.417</v>
      </c>
      <c r="C27" s="8" t="str">
        <f aca="false">IF(Estimates!H76="","n/a",TEXT(Estimates!D76,"0.000")&amp;IF(Estimates!H76&lt;0.01,"***",IF(Estimates!H76&lt;0.05,"**",IF(Estimates!H76&lt;0.1,"*",""))))</f>
        <v>-0.185</v>
      </c>
      <c r="D27" s="10" t="n">
        <f aca="false">IF(Estimates!H77="","",Estimates!H77)</f>
        <v>0.18751862615726</v>
      </c>
      <c r="E27" s="9" t="n">
        <v>1119</v>
      </c>
      <c r="F27" s="10" t="n">
        <v>0.935759223289224</v>
      </c>
    </row>
    <row r="28" customFormat="false" ht="15" hidden="false" customHeight="false" outlineLevel="0" collapsed="false">
      <c r="B28" s="8" t="str">
        <f aca="false">IF(Estimates!G75="","","("&amp;TEXT(Estimates!G75,"0.00")&amp;")")</f>
        <v>(1.32)</v>
      </c>
      <c r="C28" s="8" t="str">
        <f aca="false">IF(Estimates!G76="","","("&amp;TEXT(Estimates!G76,"0.00")&amp;")")</f>
        <v>(-0.66)</v>
      </c>
    </row>
    <row r="29" customFormat="false" ht="15" hidden="false" customHeight="false" outlineLevel="0" collapsed="false">
      <c r="A29" s="7" t="s">
        <v>44</v>
      </c>
      <c r="B29" s="8" t="str">
        <f aca="false">IF(Estimates!H78="","n/a",TEXT(Estimates!D78,"0.000")&amp;IF(Estimates!H78&lt;0.01,"***",IF(Estimates!H78&lt;0.05,"**",IF(Estimates!H78&lt;0.1,"*",""))))</f>
        <v>0.439*</v>
      </c>
      <c r="C29" s="8" t="str">
        <f aca="false">IF(Estimates!H79="","n/a",TEXT(Estimates!D79,"0.000")&amp;IF(Estimates!H79&lt;0.01,"***",IF(Estimates!H79&lt;0.05,"**",IF(Estimates!H79&lt;0.1,"*",""))))</f>
        <v>-0.556</v>
      </c>
      <c r="D29" s="10" t="n">
        <f aca="false">IF(Estimates!H80="","",Estimates!H80)</f>
        <v>0.00846611380627984</v>
      </c>
      <c r="E29" s="9" t="n">
        <v>1065</v>
      </c>
      <c r="F29" s="10" t="n">
        <v>0.933421022625707</v>
      </c>
    </row>
    <row r="30" customFormat="false" ht="15" hidden="false" customHeight="false" outlineLevel="0" collapsed="false">
      <c r="B30" s="8" t="str">
        <f aca="false">IF(Estimates!G78="","","("&amp;TEXT(Estimates!G78,"0.00")&amp;")")</f>
        <v>(1.95)</v>
      </c>
      <c r="C30" s="8" t="str">
        <f aca="false">IF(Estimates!G79="","","("&amp;TEXT(Estimates!G79,"0.00")&amp;")")</f>
        <v>(-1.28)</v>
      </c>
    </row>
    <row r="31" customFormat="false" ht="15" hidden="false" customHeight="false" outlineLevel="0" collapsed="false">
      <c r="A31" s="7" t="s">
        <v>45</v>
      </c>
      <c r="B31" s="8" t="str">
        <f aca="false">IF(Estimates!H81="","n/a",TEXT(Estimates!D81,"0.000")&amp;IF(Estimates!H81&lt;0.01,"***",IF(Estimates!H81&lt;0.05,"**",IF(Estimates!H81&lt;0.1,"*",""))))</f>
        <v>-0.243</v>
      </c>
      <c r="C31" s="8" t="str">
        <f aca="false">IF(Estimates!H82="","n/a",TEXT(Estimates!D82,"0.000")&amp;IF(Estimates!H82&lt;0.01,"***",IF(Estimates!H82&lt;0.05,"**",IF(Estimates!H82&lt;0.1,"*",""))))</f>
        <v>-0.091</v>
      </c>
      <c r="D31" s="10" t="n">
        <f aca="false">IF(Estimates!H83="","",Estimates!H83)</f>
        <v>0.787658842736234</v>
      </c>
      <c r="E31" s="9" t="n">
        <v>1108</v>
      </c>
      <c r="F31" s="10" t="n">
        <v>0.938615030152856</v>
      </c>
    </row>
    <row r="32" customFormat="false" ht="15" hidden="false" customHeight="false" outlineLevel="0" collapsed="false">
      <c r="A32" s="5"/>
      <c r="B32" s="13" t="str">
        <f aca="false">IF(Estimates!G81="","","("&amp;TEXT(Estimates!G81,"0.00")&amp;")")</f>
        <v>(-0.49)</v>
      </c>
      <c r="C32" s="13" t="str">
        <f aca="false">IF(Estimates!G82="","","("&amp;TEXT(Estimates!G82,"0.00")&amp;")")</f>
        <v>(-0.32)</v>
      </c>
      <c r="D32" s="5"/>
      <c r="E32" s="5"/>
      <c r="F32" s="5"/>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4" min="2" style="0" width="15"/>
  </cols>
  <sheetData>
    <row r="1" customFormat="false" ht="15" hidden="false" customHeight="false" outlineLevel="0" collapsed="false">
      <c r="A1" s="1" t="s">
        <v>47</v>
      </c>
    </row>
    <row r="2" customFormat="false" ht="120" hidden="false" customHeight="true" outlineLevel="0" collapsed="false">
      <c r="A2" s="2" t="s">
        <v>48</v>
      </c>
      <c r="B2" s="2"/>
      <c r="C2" s="2"/>
      <c r="D2" s="2"/>
    </row>
    <row r="4" customFormat="false" ht="15" hidden="false" customHeight="false" outlineLevel="0" collapsed="false">
      <c r="A4" s="3"/>
      <c r="B4" s="4" t="s">
        <v>2</v>
      </c>
      <c r="C4" s="4" t="s">
        <v>3</v>
      </c>
      <c r="D4" s="4" t="s">
        <v>4</v>
      </c>
    </row>
    <row r="5" customFormat="false" ht="23.85" hidden="false" customHeight="false" outlineLevel="0" collapsed="false">
      <c r="A5" s="5"/>
      <c r="B5" s="6" t="s">
        <v>6</v>
      </c>
      <c r="C5" s="6" t="s">
        <v>6</v>
      </c>
      <c r="D5" s="6" t="s">
        <v>6</v>
      </c>
    </row>
    <row r="6" customFormat="false" ht="15" hidden="false" customHeight="false" outlineLevel="0" collapsed="false">
      <c r="A6" s="7" t="s">
        <v>49</v>
      </c>
      <c r="B6" s="8" t="str">
        <f aca="false">IF(Estimates!H84="","n/a",TEXT(Estimates!D84,"0.000")&amp;IF(Estimates!H84&lt;0.01,"***",IF(Estimates!H84&lt;0.05,"**",IF(Estimates!H84&lt;0.1,"*",""))))</f>
        <v>-0.602</v>
      </c>
      <c r="C6" s="8" t="str">
        <f aca="false">IF(Estimates!H85="","n/a",TEXT(Estimates!D85,"0.000")&amp;IF(Estimates!H85&lt;0.01,"***",IF(Estimates!H85&lt;0.05,"**",IF(Estimates!H85&lt;0.1,"*",""))))</f>
        <v>-0.539</v>
      </c>
      <c r="D6" s="8" t="str">
        <f aca="false">IF(Estimates!H86="","n/a",TEXT(Estimates!D86,"0.000")&amp;IF(Estimates!H86&lt;0.01,"***",IF(Estimates!H86&lt;0.05,"**",IF(Estimates!H86&lt;0.1,"*",""))))</f>
        <v>0.707</v>
      </c>
    </row>
    <row r="7" customFormat="false" ht="15" hidden="false" customHeight="false" outlineLevel="0" collapsed="false">
      <c r="B7" s="8" t="str">
        <f aca="false">IF(Estimates!G84="","","("&amp;TEXT(Estimates!G84,"0.00")&amp;")")</f>
        <v>(-0.86)</v>
      </c>
      <c r="C7" s="8" t="str">
        <f aca="false">IF(Estimates!G85="","","("&amp;TEXT(Estimates!G85,"0.00")&amp;")")</f>
        <v>(-0.65)</v>
      </c>
      <c r="D7" s="8" t="str">
        <f aca="false">IF(Estimates!G86="","","("&amp;TEXT(Estimates!G86,"0.00")&amp;")")</f>
        <v>(1.19)</v>
      </c>
    </row>
    <row r="8" customFormat="false" ht="15" hidden="false" customHeight="false" outlineLevel="0" collapsed="false">
      <c r="A8" s="14" t="s">
        <v>50</v>
      </c>
      <c r="B8" s="15" t="n">
        <v>224</v>
      </c>
      <c r="C8" s="15" t="n">
        <v>212</v>
      </c>
      <c r="D8" s="15" t="n">
        <v>177</v>
      </c>
    </row>
    <row r="9" customFormat="false" ht="15" hidden="false" customHeight="false" outlineLevel="0" collapsed="false">
      <c r="A9" s="7" t="s">
        <v>51</v>
      </c>
      <c r="B9" s="8" t="str">
        <f aca="false">IF(Estimates!H87="","n/a",TEXT(Estimates!D87,"0.000")&amp;IF(Estimates!H87&lt;0.01,"***",IF(Estimates!H87&lt;0.05,"**",IF(Estimates!H87&lt;0.1,"*",""))))</f>
        <v>-0.601</v>
      </c>
      <c r="C9" s="8" t="str">
        <f aca="false">IF(Estimates!H88="","n/a",TEXT(Estimates!D88,"0.000")&amp;IF(Estimates!H88&lt;0.01,"***",IF(Estimates!H88&lt;0.05,"**",IF(Estimates!H88&lt;0.1,"*",""))))</f>
        <v>-0.464</v>
      </c>
      <c r="D9" s="8" t="str">
        <f aca="false">IF(Estimates!H89="","n/a",TEXT(Estimates!D89,"0.000")&amp;IF(Estimates!H89&lt;0.01,"***",IF(Estimates!H89&lt;0.05,"**",IF(Estimates!H89&lt;0.1,"*",""))))</f>
        <v>-0.371</v>
      </c>
    </row>
    <row r="10" customFormat="false" ht="15" hidden="false" customHeight="false" outlineLevel="0" collapsed="false">
      <c r="B10" s="8" t="str">
        <f aca="false">IF(Estimates!G87="","","("&amp;TEXT(Estimates!G87,"0.00")&amp;")")</f>
        <v>(-1.21)</v>
      </c>
      <c r="C10" s="8" t="str">
        <f aca="false">IF(Estimates!G88="","","("&amp;TEXT(Estimates!G88,"0.00")&amp;")")</f>
        <v>(-0.73)</v>
      </c>
      <c r="D10" s="8" t="str">
        <f aca="false">IF(Estimates!G89="","","("&amp;TEXT(Estimates!G89,"0.00")&amp;")")</f>
        <v>(-0.50)</v>
      </c>
    </row>
    <row r="11" customFormat="false" ht="15" hidden="false" customHeight="false" outlineLevel="0" collapsed="false">
      <c r="A11" s="14" t="s">
        <v>50</v>
      </c>
      <c r="B11" s="15" t="n">
        <v>226</v>
      </c>
      <c r="C11" s="15" t="n">
        <v>214</v>
      </c>
      <c r="D11" s="15" t="n">
        <v>179</v>
      </c>
    </row>
    <row r="12" customFormat="false" ht="15" hidden="false" customHeight="false" outlineLevel="0" collapsed="false">
      <c r="A12" s="7" t="s">
        <v>52</v>
      </c>
      <c r="B12" s="8" t="str">
        <f aca="false">IF(Estimates!H90="","n/a",TEXT(Estimates!D90,"0.000")&amp;IF(Estimates!H90&lt;0.01,"***",IF(Estimates!H90&lt;0.05,"**",IF(Estimates!H90&lt;0.1,"*",""))))</f>
        <v>-0.647</v>
      </c>
      <c r="C12" s="8" t="str">
        <f aca="false">IF(Estimates!H91="","n/a",TEXT(Estimates!D91,"0.000")&amp;IF(Estimates!H91&lt;0.01,"***",IF(Estimates!H91&lt;0.05,"**",IF(Estimates!H91&lt;0.1,"*",""))))</f>
        <v>-0.235***</v>
      </c>
      <c r="D12" s="8" t="str">
        <f aca="false">IF(Estimates!H92="","n/a",TEXT(Estimates!D92,"0.000")&amp;IF(Estimates!H92&lt;0.01,"***",IF(Estimates!H92&lt;0.05,"**",IF(Estimates!H92&lt;0.1,"*",""))))</f>
        <v>-0.628</v>
      </c>
    </row>
    <row r="13" customFormat="false" ht="15" hidden="false" customHeight="false" outlineLevel="0" collapsed="false">
      <c r="B13" s="8" t="str">
        <f aca="false">IF(Estimates!G90="","","("&amp;TEXT(Estimates!G90,"0.00")&amp;")")</f>
        <v>(-1.39)</v>
      </c>
      <c r="C13" s="8" t="str">
        <f aca="false">IF(Estimates!G91="","","("&amp;TEXT(Estimates!G91,"0.00")&amp;")")</f>
        <v>(-24.94)</v>
      </c>
      <c r="D13" s="8" t="str">
        <f aca="false">IF(Estimates!G92="","","("&amp;TEXT(Estimates!G92,"0.00")&amp;")")</f>
        <v>(-1.59)</v>
      </c>
    </row>
    <row r="14" customFormat="false" ht="15" hidden="false" customHeight="false" outlineLevel="0" collapsed="false">
      <c r="A14" s="14" t="s">
        <v>50</v>
      </c>
      <c r="B14" s="15" t="n">
        <v>225</v>
      </c>
      <c r="C14" s="15" t="n">
        <v>213</v>
      </c>
      <c r="D14" s="15" t="n">
        <v>179</v>
      </c>
    </row>
    <row r="15" customFormat="false" ht="15" hidden="false" customHeight="false" outlineLevel="0" collapsed="false">
      <c r="A15" s="7" t="s">
        <v>18</v>
      </c>
      <c r="B15" s="8" t="str">
        <f aca="false">IF(Estimates!H93="","n/a",TEXT(Estimates!D93,"0.000")&amp;IF(Estimates!H93&lt;0.01,"***",IF(Estimates!H93&lt;0.05,"**",IF(Estimates!H93&lt;0.1,"*",""))))</f>
        <v>1.527*</v>
      </c>
      <c r="C15" s="8" t="str">
        <f aca="false">IF(Estimates!H94="","n/a",TEXT(Estimates!D94,"0.000")&amp;IF(Estimates!H94&lt;0.01,"***",IF(Estimates!H94&lt;0.05,"**",IF(Estimates!H94&lt;0.1,"*",""))))</f>
        <v>1.857</v>
      </c>
      <c r="D15" s="8" t="str">
        <f aca="false">IF(Estimates!H95="","n/a",TEXT(Estimates!D95,"0.000")&amp;IF(Estimates!H95&lt;0.01,"***",IF(Estimates!H95&lt;0.05,"**",IF(Estimates!H95&lt;0.1,"*",""))))</f>
        <v>1.173</v>
      </c>
    </row>
    <row r="16" customFormat="false" ht="15" hidden="false" customHeight="false" outlineLevel="0" collapsed="false">
      <c r="B16" s="8" t="str">
        <f aca="false">IF(Estimates!G93="","","("&amp;TEXT(Estimates!G93,"0.00")&amp;")")</f>
        <v>(1.77)</v>
      </c>
      <c r="C16" s="8" t="str">
        <f aca="false">IF(Estimates!G94="","","("&amp;TEXT(Estimates!G94,"0.00")&amp;")")</f>
        <v>(1.26)</v>
      </c>
      <c r="D16" s="8" t="str">
        <f aca="false">IF(Estimates!G95="","","("&amp;TEXT(Estimates!G95,"0.00")&amp;")")</f>
        <v>(1.17)</v>
      </c>
    </row>
    <row r="17" customFormat="false" ht="15" hidden="false" customHeight="false" outlineLevel="0" collapsed="false">
      <c r="A17" s="14" t="s">
        <v>50</v>
      </c>
      <c r="B17" s="15" t="n">
        <v>226</v>
      </c>
      <c r="C17" s="15" t="n">
        <v>214</v>
      </c>
      <c r="D17" s="15" t="n">
        <v>179</v>
      </c>
    </row>
    <row r="18" customFormat="false" ht="15" hidden="false" customHeight="false" outlineLevel="0" collapsed="false">
      <c r="A18" s="7" t="s">
        <v>53</v>
      </c>
      <c r="B18" s="8" t="str">
        <f aca="false">IF(Estimates!H96="","n/a",TEXT(Estimates!D96,"0.000")&amp;IF(Estimates!H96&lt;0.01,"***",IF(Estimates!H96&lt;0.05,"**",IF(Estimates!H96&lt;0.1,"*",""))))</f>
        <v>1.078*</v>
      </c>
      <c r="C18" s="8" t="str">
        <f aca="false">IF(Estimates!H97="","n/a",TEXT(Estimates!D97,"0.000")&amp;IF(Estimates!H97&lt;0.01,"***",IF(Estimates!H97&lt;0.05,"**",IF(Estimates!H97&lt;0.1,"*",""))))</f>
        <v>0.927*</v>
      </c>
      <c r="D18" s="8" t="str">
        <f aca="false">IF(Estimates!H98="","n/a",TEXT(Estimates!D98,"0.000")&amp;IF(Estimates!H98&lt;0.01,"***",IF(Estimates!H98&lt;0.05,"**",IF(Estimates!H98&lt;0.1,"*",""))))</f>
        <v>0.927</v>
      </c>
    </row>
    <row r="19" customFormat="false" ht="15" hidden="false" customHeight="false" outlineLevel="0" collapsed="false">
      <c r="B19" s="8" t="str">
        <f aca="false">IF(Estimates!G96="","","("&amp;TEXT(Estimates!G96,"0.00")&amp;")")</f>
        <v>(1.97)</v>
      </c>
      <c r="C19" s="8" t="str">
        <f aca="false">IF(Estimates!G97="","","("&amp;TEXT(Estimates!G97,"0.00")&amp;")")</f>
        <v>(1.92)</v>
      </c>
      <c r="D19" s="8" t="str">
        <f aca="false">IF(Estimates!G98="","","("&amp;TEXT(Estimates!G98,"0.00")&amp;")")</f>
        <v>(1.37)</v>
      </c>
    </row>
    <row r="20" customFormat="false" ht="15" hidden="false" customHeight="false" outlineLevel="0" collapsed="false">
      <c r="A20" s="14" t="s">
        <v>50</v>
      </c>
      <c r="B20" s="15" t="n">
        <v>220</v>
      </c>
      <c r="C20" s="15" t="n">
        <v>208</v>
      </c>
      <c r="D20" s="15" t="n">
        <v>179</v>
      </c>
    </row>
    <row r="21" customFormat="false" ht="15" hidden="false" customHeight="false" outlineLevel="0" collapsed="false">
      <c r="A21" s="7" t="s">
        <v>54</v>
      </c>
      <c r="B21" s="8" t="str">
        <f aca="false">IF(Estimates!H99="","n/a",TEXT(Estimates!D99,"0.000")&amp;IF(Estimates!H99&lt;0.01,"***",IF(Estimates!H99&lt;0.05,"**",IF(Estimates!H99&lt;0.1,"*",""))))</f>
        <v>0.172</v>
      </c>
      <c r="C21" s="8" t="str">
        <f aca="false">IF(Estimates!H100="","n/a",TEXT(Estimates!D100,"0.000")&amp;IF(Estimates!H100&lt;0.01,"***",IF(Estimates!H100&lt;0.05,"**",IF(Estimates!H100&lt;0.1,"*",""))))</f>
        <v>0.006</v>
      </c>
      <c r="D21" s="8" t="str">
        <f aca="false">IF(Estimates!H101="","n/a",TEXT(Estimates!D101,"0.000")&amp;IF(Estimates!H101&lt;0.01,"***",IF(Estimates!H101&lt;0.05,"**",IF(Estimates!H101&lt;0.1,"*",""))))</f>
        <v>0.009</v>
      </c>
    </row>
    <row r="22" customFormat="false" ht="15" hidden="false" customHeight="false" outlineLevel="0" collapsed="false">
      <c r="B22" s="8" t="str">
        <f aca="false">IF(Estimates!G99="","","("&amp;TEXT(Estimates!G99,"0.00")&amp;")")</f>
        <v>(0.24)</v>
      </c>
      <c r="C22" s="8" t="str">
        <f aca="false">IF(Estimates!G100="","","("&amp;TEXT(Estimates!G100,"0.00")&amp;")")</f>
        <v>(0.01)</v>
      </c>
      <c r="D22" s="8" t="str">
        <f aca="false">IF(Estimates!G101="","","("&amp;TEXT(Estimates!G101,"0.00")&amp;")")</f>
        <v>(0.02)</v>
      </c>
    </row>
    <row r="23" customFormat="false" ht="15" hidden="false" customHeight="false" outlineLevel="0" collapsed="false">
      <c r="A23" s="14" t="s">
        <v>50</v>
      </c>
      <c r="B23" s="15" t="n">
        <v>215</v>
      </c>
      <c r="C23" s="15" t="n">
        <v>203</v>
      </c>
      <c r="D23" s="15" t="n">
        <v>172</v>
      </c>
    </row>
    <row r="24" customFormat="false" ht="15" hidden="false" customHeight="false" outlineLevel="0" collapsed="false">
      <c r="A24" s="7" t="s">
        <v>27</v>
      </c>
      <c r="B24" s="11" t="s">
        <v>28</v>
      </c>
      <c r="C24" s="11" t="s">
        <v>29</v>
      </c>
      <c r="D24" s="11" t="s">
        <v>29</v>
      </c>
    </row>
    <row r="25" customFormat="false" ht="15" hidden="false" customHeight="false" outlineLevel="0" collapsed="false">
      <c r="A25" s="7" t="s">
        <v>30</v>
      </c>
      <c r="B25" s="11" t="s">
        <v>28</v>
      </c>
      <c r="C25" s="11" t="s">
        <v>28</v>
      </c>
      <c r="D25" s="11" t="s">
        <v>29</v>
      </c>
    </row>
    <row r="26" customFormat="false" ht="15" hidden="false" customHeight="false" outlineLevel="0" collapsed="false">
      <c r="A26" s="12" t="s">
        <v>32</v>
      </c>
      <c r="B26" s="6" t="s">
        <v>29</v>
      </c>
      <c r="C26" s="6" t="s">
        <v>29</v>
      </c>
      <c r="D26" s="6" t="s">
        <v>29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5"/>
  </cols>
  <sheetData>
    <row r="1" customFormat="false" ht="15" hidden="false" customHeight="false" outlineLevel="0" collapsed="false">
      <c r="A1" s="1" t="s">
        <v>55</v>
      </c>
    </row>
    <row r="2" customFormat="false" ht="135" hidden="false" customHeight="true" outlineLevel="0" collapsed="false">
      <c r="A2" s="2" t="s">
        <v>56</v>
      </c>
      <c r="B2" s="2"/>
      <c r="C2" s="2"/>
      <c r="D2" s="2"/>
      <c r="E2" s="2"/>
    </row>
    <row r="4" customFormat="false" ht="15" hidden="false" customHeight="false" outlineLevel="0" collapsed="false">
      <c r="A4" s="3"/>
      <c r="B4" s="4" t="s">
        <v>57</v>
      </c>
      <c r="C4" s="4" t="s">
        <v>25</v>
      </c>
      <c r="D4" s="4" t="s">
        <v>58</v>
      </c>
      <c r="E4" s="4" t="s">
        <v>25</v>
      </c>
    </row>
    <row r="5" customFormat="false" ht="15" hidden="false" customHeight="false" outlineLevel="0" collapsed="false">
      <c r="A5" s="7" t="s">
        <v>59</v>
      </c>
      <c r="B5" s="8" t="str">
        <f aca="false">IF(Estimates!H102="","n/a",TEXT(Estimates!D102,"0.000")&amp;IF(Estimates!H102&lt;0.01,"***",IF(Estimates!H102&lt;0.05,"**",IF(Estimates!H102&lt;0.1,"*",""))))</f>
        <v>-0.076</v>
      </c>
      <c r="C5" s="9" t="n">
        <v>1378</v>
      </c>
      <c r="D5" s="8" t="str">
        <f aca="false">IF(Estimates!H103="","n/a",TEXT(Estimates!D103,"0.000")&amp;IF(Estimates!H103&lt;0.01,"***",IF(Estimates!H103&lt;0.05,"**",IF(Estimates!H103&lt;0.1,"*",""))))</f>
        <v>-0.109</v>
      </c>
      <c r="E5" s="9" t="n">
        <v>1046</v>
      </c>
    </row>
    <row r="6" customFormat="false" ht="15" hidden="false" customHeight="false" outlineLevel="0" collapsed="false">
      <c r="B6" s="8" t="str">
        <f aca="false">IF(Estimates!G102="","","("&amp;TEXT(Estimates!G102,"0.00")&amp;")")</f>
        <v>(-0.76)</v>
      </c>
      <c r="D6" s="8" t="str">
        <f aca="false">IF(Estimates!G103="","","("&amp;TEXT(Estimates!G103,"0.00")&amp;")")</f>
        <v>(-1.41)</v>
      </c>
    </row>
    <row r="7" customFormat="false" ht="15" hidden="false" customHeight="false" outlineLevel="0" collapsed="false">
      <c r="A7" s="7" t="s">
        <v>60</v>
      </c>
      <c r="B7" s="8" t="str">
        <f aca="false">IF(Estimates!H104="","n/a",TEXT(Estimates!D104,"0.000")&amp;IF(Estimates!H104&lt;0.01,"***",IF(Estimates!H104&lt;0.05,"**",IF(Estimates!H104&lt;0.1,"*",""))))</f>
        <v>-0.246</v>
      </c>
      <c r="C7" s="9" t="n">
        <v>1343</v>
      </c>
      <c r="D7" s="8" t="str">
        <f aca="false">IF(Estimates!H105="","n/a",TEXT(Estimates!D105,"0.000")&amp;IF(Estimates!H105&lt;0.01,"***",IF(Estimates!H105&lt;0.05,"**",IF(Estimates!H105&lt;0.1,"*",""))))</f>
        <v>-0.597**</v>
      </c>
      <c r="E7" s="9" t="n">
        <v>1029</v>
      </c>
    </row>
    <row r="8" customFormat="false" ht="15" hidden="false" customHeight="false" outlineLevel="0" collapsed="false">
      <c r="B8" s="8" t="str">
        <f aca="false">IF(Estimates!G104="","","("&amp;TEXT(Estimates!G104,"0.00")&amp;")")</f>
        <v>(-1.36)</v>
      </c>
      <c r="D8" s="8" t="str">
        <f aca="false">IF(Estimates!G105="","","("&amp;TEXT(Estimates!G105,"0.00")&amp;")")</f>
        <v>(-2.33)</v>
      </c>
    </row>
    <row r="9" customFormat="false" ht="15" hidden="false" customHeight="false" outlineLevel="0" collapsed="false">
      <c r="A9" s="7" t="s">
        <v>61</v>
      </c>
      <c r="B9" s="8" t="str">
        <f aca="false">IF(Estimates!H106="","n/a",TEXT(Estimates!D106,"0.000")&amp;IF(Estimates!H106&lt;0.01,"***",IF(Estimates!H106&lt;0.05,"**",IF(Estimates!H106&lt;0.1,"*",""))))</f>
        <v>0.140</v>
      </c>
      <c r="C9" s="9" t="n">
        <v>1635</v>
      </c>
      <c r="D9" s="8" t="str">
        <f aca="false">IF(Estimates!H107="","n/a",TEXT(Estimates!D107,"0.000")&amp;IF(Estimates!H107&lt;0.01,"***",IF(Estimates!H107&lt;0.05,"**",IF(Estimates!H107&lt;0.1,"*",""))))</f>
        <v>0.307</v>
      </c>
      <c r="E9" s="9" t="n">
        <v>1282</v>
      </c>
    </row>
    <row r="10" customFormat="false" ht="15" hidden="false" customHeight="false" outlineLevel="0" collapsed="false">
      <c r="B10" s="8" t="str">
        <f aca="false">IF(Estimates!G106="","","("&amp;TEXT(Estimates!G106,"0.00")&amp;")")</f>
        <v>(0.66)</v>
      </c>
      <c r="D10" s="8" t="str">
        <f aca="false">IF(Estimates!G107="","","("&amp;TEXT(Estimates!G107,"0.00")&amp;")")</f>
        <v>(1.46)</v>
      </c>
    </row>
    <row r="11" customFormat="false" ht="15" hidden="false" customHeight="false" outlineLevel="0" collapsed="false">
      <c r="A11" s="7" t="s">
        <v>62</v>
      </c>
      <c r="B11" s="8" t="str">
        <f aca="false">IF(Estimates!H108="","n/a",TEXT(Estimates!D108,"0.000")&amp;IF(Estimates!H108&lt;0.01,"***",IF(Estimates!H108&lt;0.05,"**",IF(Estimates!H108&lt;0.1,"*",""))))</f>
        <v>0.025</v>
      </c>
      <c r="C11" s="9" t="n">
        <v>1088</v>
      </c>
      <c r="D11" s="8" t="str">
        <f aca="false">IF(Estimates!H109="","n/a",TEXT(Estimates!D109,"0.000")&amp;IF(Estimates!H109&lt;0.01,"***",IF(Estimates!H109&lt;0.05,"**",IF(Estimates!H109&lt;0.1,"*",""))))</f>
        <v>0.290</v>
      </c>
      <c r="E11" s="9" t="n">
        <v>894</v>
      </c>
    </row>
    <row r="12" customFormat="false" ht="15" hidden="false" customHeight="false" outlineLevel="0" collapsed="false">
      <c r="B12" s="8" t="str">
        <f aca="false">IF(Estimates!G108="","","("&amp;TEXT(Estimates!G108,"0.00")&amp;")")</f>
        <v>(0.11)</v>
      </c>
      <c r="D12" s="8" t="str">
        <f aca="false">IF(Estimates!G109="","","("&amp;TEXT(Estimates!G109,"0.00")&amp;")")</f>
        <v>(0.79)</v>
      </c>
    </row>
    <row r="13" customFormat="false" ht="15" hidden="false" customHeight="false" outlineLevel="0" collapsed="false">
      <c r="A13" s="7" t="s">
        <v>63</v>
      </c>
      <c r="B13" s="8" t="str">
        <f aca="false">IF(Estimates!H110="","n/a",TEXT(Estimates!D110,"0.000")&amp;IF(Estimates!H110&lt;0.01,"***",IF(Estimates!H110&lt;0.05,"**",IF(Estimates!H110&lt;0.1,"*",""))))</f>
        <v>-2.868**</v>
      </c>
      <c r="C13" s="9" t="n">
        <v>878</v>
      </c>
      <c r="D13" s="8" t="str">
        <f aca="false">IF(Estimates!H111="","n/a",TEXT(Estimates!D111,"0.000")&amp;IF(Estimates!H111&lt;0.01,"***",IF(Estimates!H111&lt;0.05,"**",IF(Estimates!H111&lt;0.1,"*",""))))</f>
        <v>-1.686</v>
      </c>
      <c r="E13" s="9" t="n">
        <v>782</v>
      </c>
    </row>
    <row r="14" customFormat="false" ht="15" hidden="false" customHeight="false" outlineLevel="0" collapsed="false">
      <c r="B14" s="8" t="str">
        <f aca="false">IF(Estimates!G110="","","("&amp;TEXT(Estimates!G110,"0.00")&amp;")")</f>
        <v>(-2.12)</v>
      </c>
      <c r="D14" s="8" t="str">
        <f aca="false">IF(Estimates!G111="","","("&amp;TEXT(Estimates!G111,"0.00")&amp;")")</f>
        <v>(-1.57)</v>
      </c>
    </row>
    <row r="15" customFormat="false" ht="15" hidden="false" customHeight="false" outlineLevel="0" collapsed="false">
      <c r="A15" s="7" t="s">
        <v>64</v>
      </c>
      <c r="B15" s="8" t="str">
        <f aca="false">IF(Estimates!H112="","n/a",TEXT(Estimates!D112,"0.000")&amp;IF(Estimates!H112&lt;0.01,"***",IF(Estimates!H112&lt;0.05,"**",IF(Estimates!H112&lt;0.1,"*",""))))</f>
        <v>-0.531</v>
      </c>
      <c r="C15" s="9" t="n">
        <v>470</v>
      </c>
      <c r="D15" s="8" t="str">
        <f aca="false">IF(Estimates!H113="","n/a",TEXT(Estimates!D113,"0.000")&amp;IF(Estimates!H113&lt;0.01,"***",IF(Estimates!H113&lt;0.05,"**",IF(Estimates!H113&lt;0.1,"*",""))))</f>
        <v>-1.314***</v>
      </c>
      <c r="E15" s="9" t="n">
        <v>413</v>
      </c>
    </row>
    <row r="16" customFormat="false" ht="15" hidden="false" customHeight="false" outlineLevel="0" collapsed="false">
      <c r="B16" s="8" t="str">
        <f aca="false">IF(Estimates!G112="","","("&amp;TEXT(Estimates!G112,"0.00")&amp;")")</f>
        <v>(-1.54)</v>
      </c>
      <c r="D16" s="8" t="str">
        <f aca="false">IF(Estimates!G113="","","("&amp;TEXT(Estimates!G113,"0.00")&amp;")")</f>
        <v>(-2.90)</v>
      </c>
    </row>
    <row r="17" customFormat="false" ht="15" hidden="false" customHeight="false" outlineLevel="0" collapsed="false">
      <c r="A17" s="7" t="s">
        <v>65</v>
      </c>
      <c r="B17" s="8" t="str">
        <f aca="false">IF(Estimates!H114="","n/a",TEXT(Estimates!D114,"0.000")&amp;IF(Estimates!H114&lt;0.01,"***",IF(Estimates!H114&lt;0.05,"**",IF(Estimates!H114&lt;0.1,"*",""))))</f>
        <v>-0.192</v>
      </c>
      <c r="C17" s="9" t="n">
        <v>1410</v>
      </c>
      <c r="D17" s="8" t="str">
        <f aca="false">IF(Estimates!H115="","n/a",TEXT(Estimates!D115,"0.000")&amp;IF(Estimates!H115&lt;0.01,"***",IF(Estimates!H115&lt;0.05,"**",IF(Estimates!H115&lt;0.1,"*",""))))</f>
        <v>0.015</v>
      </c>
      <c r="E17" s="9" t="n">
        <v>1115</v>
      </c>
    </row>
    <row r="18" customFormat="false" ht="15" hidden="false" customHeight="false" outlineLevel="0" collapsed="false">
      <c r="B18" s="8" t="str">
        <f aca="false">IF(Estimates!G114="","","("&amp;TEXT(Estimates!G114,"0.00")&amp;")")</f>
        <v>(-1.19)</v>
      </c>
      <c r="D18" s="8" t="str">
        <f aca="false">IF(Estimates!G115="","","("&amp;TEXT(Estimates!G115,"0.00")&amp;")")</f>
        <v>(0.10)</v>
      </c>
    </row>
    <row r="19" customFormat="false" ht="15" hidden="false" customHeight="false" outlineLevel="0" collapsed="false">
      <c r="A19" s="12" t="s">
        <v>32</v>
      </c>
      <c r="B19" s="6" t="s">
        <v>29</v>
      </c>
      <c r="C19" s="5"/>
      <c r="D19" s="6" t="s">
        <v>29</v>
      </c>
      <c r="E19" s="5"/>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5"/>
  </cols>
  <sheetData>
    <row r="1" customFormat="false" ht="15" hidden="false" customHeight="false" outlineLevel="0" collapsed="false">
      <c r="A1" s="1" t="s">
        <v>66</v>
      </c>
    </row>
    <row r="2" customFormat="false" ht="120" hidden="false" customHeight="true" outlineLevel="0" collapsed="false">
      <c r="A2" s="2" t="s">
        <v>67</v>
      </c>
      <c r="B2" s="2"/>
      <c r="C2" s="2"/>
      <c r="D2" s="2"/>
      <c r="E2" s="2"/>
    </row>
    <row r="4" customFormat="false" ht="15" hidden="false" customHeight="false" outlineLevel="0" collapsed="false">
      <c r="A4" s="1" t="s">
        <v>68</v>
      </c>
    </row>
    <row r="5" customFormat="false" ht="23.85" hidden="false" customHeight="false" outlineLevel="0" collapsed="false">
      <c r="A5" s="3"/>
      <c r="B5" s="4" t="s">
        <v>69</v>
      </c>
      <c r="C5" s="4" t="s">
        <v>70</v>
      </c>
      <c r="D5" s="4" t="s">
        <v>38</v>
      </c>
      <c r="E5" s="4" t="s">
        <v>25</v>
      </c>
    </row>
    <row r="6" customFormat="false" ht="15" hidden="false" customHeight="false" outlineLevel="0" collapsed="false">
      <c r="A6" s="7" t="s">
        <v>59</v>
      </c>
      <c r="B6" s="8" t="str">
        <f aca="false">IF(Estimates!H116="","n/a",TEXT(Estimates!D116,"0.000")&amp;IF(Estimates!H116&lt;0.01,"***",IF(Estimates!H116&lt;0.05,"**",IF(Estimates!H116&lt;0.1,"*",""))))</f>
        <v>-0.066</v>
      </c>
      <c r="C6" s="8" t="str">
        <f aca="false">IF(Estimates!H117="","n/a",TEXT(Estimates!D117,"0.000")&amp;IF(Estimates!H117&lt;0.01,"***",IF(Estimates!H117&lt;0.05,"**",IF(Estimates!H117&lt;0.1,"*",""))))</f>
        <v>-0.098</v>
      </c>
      <c r="D6" s="10" t="n">
        <f aca="false">IF(Estimates!H118="","",Estimates!H118)</f>
        <v>0.822964924064055</v>
      </c>
      <c r="E6" s="9" t="n">
        <v>1051</v>
      </c>
    </row>
    <row r="7" customFormat="false" ht="15" hidden="false" customHeight="false" outlineLevel="0" collapsed="false">
      <c r="B7" s="8" t="str">
        <f aca="false">IF(Estimates!G116="","","("&amp;TEXT(Estimates!G116,"0.00")&amp;")")</f>
        <v>(-0.47)</v>
      </c>
      <c r="C7" s="8" t="str">
        <f aca="false">IF(Estimates!G117="","","("&amp;TEXT(Estimates!G117,"0.00")&amp;")")</f>
        <v>(-1.34)</v>
      </c>
    </row>
    <row r="8" customFormat="false" ht="15" hidden="false" customHeight="false" outlineLevel="0" collapsed="false">
      <c r="A8" s="7" t="s">
        <v>60</v>
      </c>
      <c r="B8" s="8" t="str">
        <f aca="false">IF(Estimates!H119="","n/a",TEXT(Estimates!D119,"0.000")&amp;IF(Estimates!H119&lt;0.01,"***",IF(Estimates!H119&lt;0.05,"**",IF(Estimates!H119&lt;0.1,"*",""))))</f>
        <v>-0.582**</v>
      </c>
      <c r="C8" s="8" t="str">
        <f aca="false">IF(Estimates!H120="","n/a",TEXT(Estimates!D120,"0.000")&amp;IF(Estimates!H120&lt;0.01,"***",IF(Estimates!H120&lt;0.05,"**",IF(Estimates!H120&lt;0.1,"*",""))))</f>
        <v>0.428</v>
      </c>
      <c r="D8" s="10" t="n">
        <f aca="false">IF(Estimates!H121="","",Estimates!H121)</f>
        <v>0.0835303483603948</v>
      </c>
      <c r="E8" s="9" t="n">
        <v>1034</v>
      </c>
    </row>
    <row r="9" customFormat="false" ht="15" hidden="false" customHeight="false" outlineLevel="0" collapsed="false">
      <c r="B9" s="8" t="str">
        <f aca="false">IF(Estimates!G119="","","("&amp;TEXT(Estimates!G119,"0.00")&amp;")")</f>
        <v>(-2.15)</v>
      </c>
      <c r="C9" s="8" t="str">
        <f aca="false">IF(Estimates!G120="","","("&amp;TEXT(Estimates!G120,"0.00")&amp;")")</f>
        <v>(0.87)</v>
      </c>
    </row>
    <row r="10" customFormat="false" ht="15" hidden="false" customHeight="false" outlineLevel="0" collapsed="false">
      <c r="A10" s="7" t="s">
        <v>61</v>
      </c>
      <c r="B10" s="8" t="str">
        <f aca="false">IF(Estimates!H122="","n/a",TEXT(Estimates!D122,"0.000")&amp;IF(Estimates!H122&lt;0.01,"***",IF(Estimates!H122&lt;0.05,"**",IF(Estimates!H122&lt;0.1,"*",""))))</f>
        <v>0.453</v>
      </c>
      <c r="C10" s="8" t="str">
        <f aca="false">IF(Estimates!H123="","n/a",TEXT(Estimates!D123,"0.000")&amp;IF(Estimates!H123&lt;0.01,"***",IF(Estimates!H123&lt;0.05,"**",IF(Estimates!H123&lt;0.1,"*",""))))</f>
        <v>-0.101</v>
      </c>
      <c r="D10" s="10" t="n">
        <f aca="false">IF(Estimates!H124="","",Estimates!H124)</f>
        <v>0.169292816897406</v>
      </c>
      <c r="E10" s="9" t="n">
        <v>1280</v>
      </c>
    </row>
    <row r="11" customFormat="false" ht="15" hidden="false" customHeight="false" outlineLevel="0" collapsed="false">
      <c r="B11" s="8" t="str">
        <f aca="false">IF(Estimates!G122="","","("&amp;TEXT(Estimates!G122,"0.00")&amp;")")</f>
        <v>(1.47)</v>
      </c>
      <c r="C11" s="8" t="str">
        <f aca="false">IF(Estimates!G123="","","("&amp;TEXT(Estimates!G123,"0.00")&amp;")")</f>
        <v>(-0.36)</v>
      </c>
    </row>
    <row r="12" customFormat="false" ht="15" hidden="false" customHeight="false" outlineLevel="0" collapsed="false">
      <c r="A12" s="7" t="s">
        <v>62</v>
      </c>
      <c r="B12" s="8" t="str">
        <f aca="false">IF(Estimates!H125="","n/a",TEXT(Estimates!D125,"0.000")&amp;IF(Estimates!H125&lt;0.01,"***",IF(Estimates!H125&lt;0.05,"**",IF(Estimates!H125&lt;0.1,"*",""))))</f>
        <v>0.077</v>
      </c>
      <c r="C12" s="8" t="str">
        <f aca="false">IF(Estimates!H126="","n/a",TEXT(Estimates!D126,"0.000")&amp;IF(Estimates!H126&lt;0.01,"***",IF(Estimates!H126&lt;0.05,"**",IF(Estimates!H126&lt;0.1,"*",""))))</f>
        <v>0.122</v>
      </c>
      <c r="D12" s="10" t="n">
        <f aca="false">IF(Estimates!H127="","",Estimates!H127)</f>
        <v>0.951680801282348</v>
      </c>
      <c r="E12" s="9" t="n">
        <v>890</v>
      </c>
    </row>
    <row r="13" customFormat="false" ht="15" hidden="false" customHeight="false" outlineLevel="0" collapsed="false">
      <c r="B13" s="8" t="str">
        <f aca="false">IF(Estimates!G125="","","("&amp;TEXT(Estimates!G125,"0.00")&amp;")")</f>
        <v>(0.15)</v>
      </c>
      <c r="C13" s="8" t="str">
        <f aca="false">IF(Estimates!G126="","","("&amp;TEXT(Estimates!G126,"0.00")&amp;")")</f>
        <v>(0.23)</v>
      </c>
    </row>
    <row r="14" customFormat="false" ht="15" hidden="false" customHeight="false" outlineLevel="0" collapsed="false">
      <c r="A14" s="7" t="s">
        <v>63</v>
      </c>
      <c r="B14" s="8" t="str">
        <f aca="false">IF(Estimates!H128="","n/a",TEXT(Estimates!D128,"0.000")&amp;IF(Estimates!H128&lt;0.01,"***",IF(Estimates!H128&lt;0.05,"**",IF(Estimates!H128&lt;0.1,"*",""))))</f>
        <v>-1.260</v>
      </c>
      <c r="C14" s="8" t="str">
        <f aca="false">IF(Estimates!H129="","n/a",TEXT(Estimates!D129,"0.000")&amp;IF(Estimates!H129&lt;0.01,"***",IF(Estimates!H129&lt;0.05,"**",IF(Estimates!H129&lt;0.1,"*",""))))</f>
        <v>-1.785</v>
      </c>
      <c r="D14" s="10" t="n">
        <f aca="false">IF(Estimates!H130="","",Estimates!H130)</f>
        <v>0.82033080373997</v>
      </c>
      <c r="E14" s="9" t="n">
        <v>754</v>
      </c>
    </row>
    <row r="15" customFormat="false" ht="15" hidden="false" customHeight="false" outlineLevel="0" collapsed="false">
      <c r="B15" s="8" t="str">
        <f aca="false">IF(Estimates!G128="","","("&amp;TEXT(Estimates!G128,"0.00")&amp;")")</f>
        <v>(-0.66)</v>
      </c>
      <c r="C15" s="8" t="str">
        <f aca="false">IF(Estimates!G129="","","("&amp;TEXT(Estimates!G129,"0.00")&amp;")")</f>
        <v>(-0.86)</v>
      </c>
    </row>
    <row r="16" customFormat="false" ht="15" hidden="false" customHeight="false" outlineLevel="0" collapsed="false">
      <c r="A16" s="7" t="s">
        <v>64</v>
      </c>
      <c r="B16" s="8" t="str">
        <f aca="false">IF(Estimates!H131="","n/a",TEXT(Estimates!D131,"0.000")&amp;IF(Estimates!H131&lt;0.01,"***",IF(Estimates!H131&lt;0.05,"**",IF(Estimates!H131&lt;0.1,"*",""))))</f>
        <v>0.062</v>
      </c>
      <c r="C16" s="8" t="str">
        <f aca="false">IF(Estimates!H132="","n/a",TEXT(Estimates!D132,"0.000")&amp;IF(Estimates!H132&lt;0.01,"***",IF(Estimates!H132&lt;0.05,"**",IF(Estimates!H132&lt;0.1,"*",""))))</f>
        <v>-1.394</v>
      </c>
      <c r="D16" s="10" t="n">
        <f aca="false">IF(Estimates!H133="","",Estimates!H133)</f>
        <v>0.39282089618815</v>
      </c>
      <c r="E16" s="9" t="n">
        <v>376</v>
      </c>
    </row>
    <row r="17" customFormat="false" ht="15" hidden="false" customHeight="false" outlineLevel="0" collapsed="false">
      <c r="A17" s="5"/>
      <c r="B17" s="13" t="str">
        <f aca="false">IF(Estimates!G131="","","("&amp;TEXT(Estimates!G131,"0.00")&amp;")")</f>
        <v>(0.07)</v>
      </c>
      <c r="C17" s="13" t="str">
        <f aca="false">IF(Estimates!G132="","","("&amp;TEXT(Estimates!G132,"0.00")&amp;")")</f>
        <v>(-0.94)</v>
      </c>
      <c r="D17" s="5"/>
      <c r="E17" s="5"/>
    </row>
    <row r="19" customFormat="false" ht="15" hidden="false" customHeight="false" outlineLevel="0" collapsed="false">
      <c r="A19" s="1" t="s">
        <v>71</v>
      </c>
    </row>
    <row r="20" customFormat="false" ht="23.85" hidden="false" customHeight="false" outlineLevel="0" collapsed="false">
      <c r="A20" s="3"/>
      <c r="B20" s="4" t="s">
        <v>72</v>
      </c>
      <c r="C20" s="4" t="s">
        <v>73</v>
      </c>
      <c r="D20" s="4" t="s">
        <v>38</v>
      </c>
      <c r="E20" s="4" t="s">
        <v>25</v>
      </c>
    </row>
    <row r="21" customFormat="false" ht="15" hidden="false" customHeight="false" outlineLevel="0" collapsed="false">
      <c r="A21" s="7" t="s">
        <v>59</v>
      </c>
      <c r="B21" s="8" t="str">
        <f aca="false">IF(Estimates!H134="","n/a",TEXT(Estimates!D134,"0.000")&amp;IF(Estimates!H134&lt;0.01,"***",IF(Estimates!H134&lt;0.05,"**",IF(Estimates!H134&lt;0.1,"*",""))))</f>
        <v>-0.243</v>
      </c>
      <c r="C21" s="8" t="str">
        <f aca="false">IF(Estimates!H135="","n/a",TEXT(Estimates!D135,"0.000")&amp;IF(Estimates!H135&lt;0.01,"***",IF(Estimates!H135&lt;0.05,"**",IF(Estimates!H135&lt;0.1,"*",""))))</f>
        <v>-0.051</v>
      </c>
      <c r="D21" s="10" t="n">
        <f aca="false">IF(Estimates!H136="","",Estimates!H136)</f>
        <v>0.352150446180484</v>
      </c>
      <c r="E21" s="9" t="n">
        <v>1127</v>
      </c>
    </row>
    <row r="22" customFormat="false" ht="15" hidden="false" customHeight="false" outlineLevel="0" collapsed="false">
      <c r="B22" s="8" t="str">
        <f aca="false">IF(Estimates!G134="","","("&amp;TEXT(Estimates!G134,"0.00")&amp;")")</f>
        <v>(-1.28)</v>
      </c>
      <c r="C22" s="8" t="str">
        <f aca="false">IF(Estimates!G135="","","("&amp;TEXT(Estimates!G135,"0.00")&amp;")")</f>
        <v>(-0.72)</v>
      </c>
    </row>
    <row r="23" customFormat="false" ht="15" hidden="false" customHeight="false" outlineLevel="0" collapsed="false">
      <c r="A23" s="7" t="s">
        <v>60</v>
      </c>
      <c r="B23" s="8" t="str">
        <f aca="false">IF(Estimates!H137="","n/a",TEXT(Estimates!D137,"0.000")&amp;IF(Estimates!H137&lt;0.01,"***",IF(Estimates!H137&lt;0.05,"**",IF(Estimates!H137&lt;0.1,"*",""))))</f>
        <v>-0.994***</v>
      </c>
      <c r="C23" s="8" t="str">
        <f aca="false">IF(Estimates!H138="","n/a",TEXT(Estimates!D138,"0.000")&amp;IF(Estimates!H138&lt;0.01,"***",IF(Estimates!H138&lt;0.05,"**",IF(Estimates!H138&lt;0.1,"*",""))))</f>
        <v>-0.078</v>
      </c>
      <c r="D23" s="10" t="n">
        <f aca="false">IF(Estimates!H139="","",Estimates!H139)</f>
        <v>0.00637840592656693</v>
      </c>
      <c r="E23" s="9" t="n">
        <v>1110</v>
      </c>
    </row>
    <row r="24" customFormat="false" ht="15" hidden="false" customHeight="false" outlineLevel="0" collapsed="false">
      <c r="B24" s="8" t="str">
        <f aca="false">IF(Estimates!G137="","","("&amp;TEXT(Estimates!G137,"0.00")&amp;")")</f>
        <v>(-4.13)</v>
      </c>
      <c r="C24" s="8" t="str">
        <f aca="false">IF(Estimates!G138="","","("&amp;TEXT(Estimates!G138,"0.00")&amp;")")</f>
        <v>(-0.24)</v>
      </c>
    </row>
    <row r="25" customFormat="false" ht="15" hidden="false" customHeight="false" outlineLevel="0" collapsed="false">
      <c r="A25" s="7" t="s">
        <v>61</v>
      </c>
      <c r="B25" s="8" t="str">
        <f aca="false">IF(Estimates!H140="","n/a",TEXT(Estimates!D140,"0.000")&amp;IF(Estimates!H140&lt;0.01,"***",IF(Estimates!H140&lt;0.05,"**",IF(Estimates!H140&lt;0.1,"*",""))))</f>
        <v>0.194</v>
      </c>
      <c r="C25" s="8" t="str">
        <f aca="false">IF(Estimates!H141="","n/a",TEXT(Estimates!D141,"0.000")&amp;IF(Estimates!H141&lt;0.01,"***",IF(Estimates!H141&lt;0.05,"**",IF(Estimates!H141&lt;0.1,"*",""))))</f>
        <v>0.099</v>
      </c>
      <c r="D25" s="10" t="n">
        <f aca="false">IF(Estimates!H142="","",Estimates!H142)</f>
        <v>0.779977590292073</v>
      </c>
      <c r="E25" s="9" t="n">
        <v>1384</v>
      </c>
    </row>
    <row r="26" customFormat="false" ht="15" hidden="false" customHeight="false" outlineLevel="0" collapsed="false">
      <c r="B26" s="8" t="str">
        <f aca="false">IF(Estimates!G140="","","("&amp;TEXT(Estimates!G140,"0.00")&amp;")")</f>
        <v>(0.71)</v>
      </c>
      <c r="C26" s="8" t="str">
        <f aca="false">IF(Estimates!G141="","","("&amp;TEXT(Estimates!G141,"0.00")&amp;")")</f>
        <v>(0.30)</v>
      </c>
    </row>
    <row r="27" customFormat="false" ht="15" hidden="false" customHeight="false" outlineLevel="0" collapsed="false">
      <c r="A27" s="7" t="s">
        <v>62</v>
      </c>
      <c r="B27" s="8" t="str">
        <f aca="false">IF(Estimates!H143="","n/a",TEXT(Estimates!D143,"0.000")&amp;IF(Estimates!H143&lt;0.01,"***",IF(Estimates!H143&lt;0.05,"**",IF(Estimates!H143&lt;0.1,"*",""))))</f>
        <v>1.151*</v>
      </c>
      <c r="C27" s="8" t="str">
        <f aca="false">IF(Estimates!H144="","n/a",TEXT(Estimates!D144,"0.000")&amp;IF(Estimates!H144&lt;0.01,"***",IF(Estimates!H144&lt;0.05,"**",IF(Estimates!H144&lt;0.1,"*",""))))</f>
        <v>-0.698***</v>
      </c>
      <c r="D27" s="10" t="n">
        <f aca="false">IF(Estimates!H145="","",Estimates!H145)</f>
        <v>0.0113737227301315</v>
      </c>
      <c r="E27" s="9" t="n">
        <v>972</v>
      </c>
    </row>
    <row r="28" customFormat="false" ht="15" hidden="false" customHeight="false" outlineLevel="0" collapsed="false">
      <c r="B28" s="8" t="str">
        <f aca="false">IF(Estimates!G143="","","("&amp;TEXT(Estimates!G143,"0.00")&amp;")")</f>
        <v>(1.97)</v>
      </c>
      <c r="C28" s="8" t="str">
        <f aca="false">IF(Estimates!G144="","","("&amp;TEXT(Estimates!G144,"0.00")&amp;")")</f>
        <v>(-4.84)</v>
      </c>
    </row>
    <row r="29" customFormat="false" ht="15" hidden="false" customHeight="false" outlineLevel="0" collapsed="false">
      <c r="A29" s="7" t="s">
        <v>63</v>
      </c>
      <c r="B29" s="8" t="str">
        <f aca="false">IF(Estimates!H146="","n/a",TEXT(Estimates!D146,"0.000")&amp;IF(Estimates!H146&lt;0.01,"***",IF(Estimates!H146&lt;0.05,"**",IF(Estimates!H146&lt;0.1,"*",""))))</f>
        <v>-0.120</v>
      </c>
      <c r="C29" s="8" t="str">
        <f aca="false">IF(Estimates!H147="","n/a",TEXT(Estimates!D147,"0.000")&amp;IF(Estimates!H147&lt;0.01,"***",IF(Estimates!H147&lt;0.05,"**",IF(Estimates!H147&lt;0.1,"*",""))))</f>
        <v>-2.584</v>
      </c>
      <c r="D29" s="10" t="n">
        <f aca="false">IF(Estimates!H148="","",Estimates!H148)</f>
        <v>0.310499988591694</v>
      </c>
      <c r="E29" s="9" t="n">
        <v>806</v>
      </c>
    </row>
    <row r="30" customFormat="false" ht="15" hidden="false" customHeight="false" outlineLevel="0" collapsed="false">
      <c r="B30" s="8" t="str">
        <f aca="false">IF(Estimates!G146="","","("&amp;TEXT(Estimates!G146,"0.00")&amp;")")</f>
        <v>(-0.06)</v>
      </c>
      <c r="C30" s="8" t="str">
        <f aca="false">IF(Estimates!G147="","","("&amp;TEXT(Estimates!G147,"0.00")&amp;")")</f>
        <v>(-1.58)</v>
      </c>
    </row>
    <row r="31" customFormat="false" ht="15" hidden="false" customHeight="false" outlineLevel="0" collapsed="false">
      <c r="A31" s="7" t="s">
        <v>64</v>
      </c>
      <c r="B31" s="8" t="str">
        <f aca="false">IF(Estimates!H149="","n/a",TEXT(Estimates!D149,"0.000")&amp;IF(Estimates!H149&lt;0.01,"***",IF(Estimates!H149&lt;0.05,"**",IF(Estimates!H149&lt;0.1,"*",""))))</f>
        <v>-0.921</v>
      </c>
      <c r="C31" s="8" t="str">
        <f aca="false">IF(Estimates!H150="","n/a",TEXT(Estimates!D150,"0.000")&amp;IF(Estimates!H150&lt;0.01,"***",IF(Estimates!H150&lt;0.05,"**",IF(Estimates!H150&lt;0.1,"*",""))))</f>
        <v>0.827</v>
      </c>
      <c r="D31" s="10" t="n">
        <f aca="false">IF(Estimates!H151="","",Estimates!H151)</f>
        <v>0.489862922695805</v>
      </c>
      <c r="E31" s="9" t="n">
        <v>427</v>
      </c>
    </row>
    <row r="32" customFormat="false" ht="15" hidden="false" customHeight="false" outlineLevel="0" collapsed="false">
      <c r="A32" s="5"/>
      <c r="B32" s="13" t="str">
        <f aca="false">IF(Estimates!G149="","","("&amp;TEXT(Estimates!G149,"0.00")&amp;")")</f>
        <v>(-0.45)</v>
      </c>
      <c r="C32" s="13" t="str">
        <f aca="false">IF(Estimates!G150="","","("&amp;TEXT(Estimates!G150,"0.00")&amp;")")</f>
        <v>(1.35)</v>
      </c>
      <c r="D32" s="5"/>
      <c r="E32" s="5"/>
    </row>
    <row r="34" customFormat="false" ht="15" hidden="false" customHeight="false" outlineLevel="0" collapsed="false">
      <c r="A34" s="1" t="s">
        <v>74</v>
      </c>
    </row>
    <row r="35" customFormat="false" ht="23.85" hidden="false" customHeight="false" outlineLevel="0" collapsed="false">
      <c r="A35" s="3"/>
      <c r="B35" s="4" t="s">
        <v>75</v>
      </c>
      <c r="C35" s="4" t="s">
        <v>76</v>
      </c>
      <c r="D35" s="4" t="s">
        <v>38</v>
      </c>
      <c r="E35" s="4" t="s">
        <v>25</v>
      </c>
    </row>
    <row r="36" customFormat="false" ht="15" hidden="false" customHeight="false" outlineLevel="0" collapsed="false">
      <c r="A36" s="7" t="s">
        <v>59</v>
      </c>
      <c r="B36" s="8" t="str">
        <f aca="false">IF(Estimates!H152="","n/a",TEXT(Estimates!D152,"0.000")&amp;IF(Estimates!H152&lt;0.01,"***",IF(Estimates!H152&lt;0.05,"**",IF(Estimates!H152&lt;0.1,"*",""))))</f>
        <v>0.194</v>
      </c>
      <c r="C36" s="8" t="str">
        <f aca="false">IF(Estimates!H153="","n/a",TEXT(Estimates!D153,"0.000")&amp;IF(Estimates!H153&lt;0.01,"***",IF(Estimates!H153&lt;0.05,"**",IF(Estimates!H153&lt;0.1,"*",""))))</f>
        <v>-0.153</v>
      </c>
      <c r="D36" s="10" t="n">
        <f aca="false">IF(Estimates!H154="","",Estimates!H154)</f>
        <v>0.380805638092511</v>
      </c>
      <c r="E36" s="9" t="n">
        <v>1186</v>
      </c>
    </row>
    <row r="37" customFormat="false" ht="15" hidden="false" customHeight="false" outlineLevel="0" collapsed="false">
      <c r="B37" s="8" t="str">
        <f aca="false">IF(Estimates!G152="","","("&amp;TEXT(Estimates!G152,"0.00")&amp;")")</f>
        <v>(0.63)</v>
      </c>
      <c r="C37" s="8" t="str">
        <f aca="false">IF(Estimates!G153="","","("&amp;TEXT(Estimates!G153,"0.00")&amp;")")</f>
        <v>(-1.18)</v>
      </c>
    </row>
    <row r="38" customFormat="false" ht="15" hidden="false" customHeight="false" outlineLevel="0" collapsed="false">
      <c r="A38" s="7" t="s">
        <v>60</v>
      </c>
      <c r="B38" s="8" t="str">
        <f aca="false">IF(Estimates!H155="","n/a",TEXT(Estimates!D155,"0.000")&amp;IF(Estimates!H155&lt;0.01,"***",IF(Estimates!H155&lt;0.05,"**",IF(Estimates!H155&lt;0.1,"*",""))))</f>
        <v>1.037*</v>
      </c>
      <c r="C38" s="8" t="str">
        <f aca="false">IF(Estimates!H156="","n/a",TEXT(Estimates!D156,"0.000")&amp;IF(Estimates!H156&lt;0.01,"***",IF(Estimates!H156&lt;0.05,"**",IF(Estimates!H156&lt;0.1,"*",""))))</f>
        <v>-0.504**</v>
      </c>
      <c r="D38" s="10" t="n">
        <f aca="false">IF(Estimates!H157="","",Estimates!H157)</f>
        <v>0.0255260907232482</v>
      </c>
      <c r="E38" s="9" t="n">
        <v>1161</v>
      </c>
    </row>
    <row r="39" customFormat="false" ht="15" hidden="false" customHeight="false" outlineLevel="0" collapsed="false">
      <c r="B39" s="8" t="str">
        <f aca="false">IF(Estimates!G155="","","("&amp;TEXT(Estimates!G155,"0.00")&amp;")")</f>
        <v>(1.92)</v>
      </c>
      <c r="C39" s="8" t="str">
        <f aca="false">IF(Estimates!G156="","","("&amp;TEXT(Estimates!G156,"0.00")&amp;")")</f>
        <v>(-2.14)</v>
      </c>
    </row>
    <row r="40" customFormat="false" ht="15" hidden="false" customHeight="false" outlineLevel="0" collapsed="false">
      <c r="A40" s="7" t="s">
        <v>61</v>
      </c>
      <c r="B40" s="8" t="str">
        <f aca="false">IF(Estimates!H158="","n/a",TEXT(Estimates!D158,"0.000")&amp;IF(Estimates!H158&lt;0.01,"***",IF(Estimates!H158&lt;0.05,"**",IF(Estimates!H158&lt;0.1,"*",""))))</f>
        <v>-0.118</v>
      </c>
      <c r="C40" s="8" t="str">
        <f aca="false">IF(Estimates!H159="","n/a",TEXT(Estimates!D159,"0.000")&amp;IF(Estimates!H159&lt;0.01,"***",IF(Estimates!H159&lt;0.05,"**",IF(Estimates!H159&lt;0.1,"*",""))))</f>
        <v>0.308</v>
      </c>
      <c r="D40" s="10" t="n">
        <f aca="false">IF(Estimates!H160="","",Estimates!H160)</f>
        <v>0.284975674771523</v>
      </c>
      <c r="E40" s="9" t="n">
        <v>1431</v>
      </c>
    </row>
    <row r="41" customFormat="false" ht="15" hidden="false" customHeight="false" outlineLevel="0" collapsed="false">
      <c r="B41" s="8" t="str">
        <f aca="false">IF(Estimates!G158="","","("&amp;TEXT(Estimates!G158,"0.00")&amp;")")</f>
        <v>(-0.26)</v>
      </c>
      <c r="C41" s="8" t="str">
        <f aca="false">IF(Estimates!G159="","","("&amp;TEXT(Estimates!G159,"0.00")&amp;")")</f>
        <v>(1.10)</v>
      </c>
    </row>
    <row r="42" customFormat="false" ht="15" hidden="false" customHeight="false" outlineLevel="0" collapsed="false">
      <c r="A42" s="7" t="s">
        <v>62</v>
      </c>
      <c r="B42" s="8" t="str">
        <f aca="false">IF(Estimates!H161="","n/a",TEXT(Estimates!D161,"0.000")&amp;IF(Estimates!H161&lt;0.01,"***",IF(Estimates!H161&lt;0.05,"**",IF(Estimates!H161&lt;0.1,"*",""))))</f>
        <v>0.216</v>
      </c>
      <c r="C42" s="8" t="str">
        <f aca="false">IF(Estimates!H162="","n/a",TEXT(Estimates!D162,"0.000")&amp;IF(Estimates!H162&lt;0.01,"***",IF(Estimates!H162&lt;0.05,"**",IF(Estimates!H162&lt;0.1,"*",""))))</f>
        <v>-0.590</v>
      </c>
      <c r="D42" s="10" t="n">
        <f aca="false">IF(Estimates!H163="","",Estimates!H163)</f>
        <v>0.570583640040933</v>
      </c>
      <c r="E42" s="9" t="n">
        <v>975</v>
      </c>
    </row>
    <row r="43" customFormat="false" ht="15" hidden="false" customHeight="false" outlineLevel="0" collapsed="false">
      <c r="B43" s="8" t="str">
        <f aca="false">IF(Estimates!G161="","","("&amp;TEXT(Estimates!G161,"0.00")&amp;")")</f>
        <v>(0.22)</v>
      </c>
      <c r="C43" s="8" t="str">
        <f aca="false">IF(Estimates!G162="","","("&amp;TEXT(Estimates!G162,"0.00")&amp;")")</f>
        <v>(-0.85)</v>
      </c>
    </row>
    <row r="44" customFormat="false" ht="15" hidden="false" customHeight="false" outlineLevel="0" collapsed="false">
      <c r="A44" s="7" t="s">
        <v>63</v>
      </c>
      <c r="B44" s="8" t="str">
        <f aca="false">IF(Estimates!H164="","n/a",TEXT(Estimates!D164,"0.000")&amp;IF(Estimates!H164&lt;0.01,"***",IF(Estimates!H164&lt;0.05,"**",IF(Estimates!H164&lt;0.1,"*",""))))</f>
        <v>-6.172</v>
      </c>
      <c r="C44" s="8" t="str">
        <f aca="false">IF(Estimates!H165="","n/a",TEXT(Estimates!D165,"0.000")&amp;IF(Estimates!H165&lt;0.01,"***",IF(Estimates!H165&lt;0.05,"**",IF(Estimates!H165&lt;0.1,"*",""))))</f>
        <v>-1.419</v>
      </c>
      <c r="D44" s="10" t="n">
        <f aca="false">IF(Estimates!H166="","",Estimates!H166)</f>
        <v>0.292894796170534</v>
      </c>
      <c r="E44" s="9" t="n">
        <v>831</v>
      </c>
    </row>
    <row r="45" customFormat="false" ht="15" hidden="false" customHeight="false" outlineLevel="0" collapsed="false">
      <c r="B45" s="8" t="str">
        <f aca="false">IF(Estimates!G164="","","("&amp;TEXT(Estimates!G164,"0.00")&amp;")")</f>
        <v>(-1.44)</v>
      </c>
      <c r="C45" s="8" t="str">
        <f aca="false">IF(Estimates!G165="","","("&amp;TEXT(Estimates!G165,"0.00")&amp;")")</f>
        <v>(-1.35)</v>
      </c>
    </row>
    <row r="46" customFormat="false" ht="15" hidden="false" customHeight="false" outlineLevel="0" collapsed="false">
      <c r="A46" s="7" t="s">
        <v>64</v>
      </c>
      <c r="B46" s="8" t="str">
        <f aca="false">IF(Estimates!H167="","n/a",TEXT(Estimates!D167,"0.000")&amp;IF(Estimates!H167&lt;0.01,"***",IF(Estimates!H167&lt;0.05,"**",IF(Estimates!H167&lt;0.1,"*",""))))</f>
        <v>n/a</v>
      </c>
      <c r="C46" s="8" t="str">
        <f aca="false">IF(Estimates!H168="","n/a",TEXT(Estimates!D168,"0.000")&amp;IF(Estimates!H168&lt;0.01,"***",IF(Estimates!H168&lt;0.05,"**",IF(Estimates!H168&lt;0.1,"*",""))))</f>
        <v>-0.058</v>
      </c>
      <c r="D46" s="10" t="str">
        <f aca="false">IF(Estimates!H169="","",Estimates!H169)</f>
        <v/>
      </c>
      <c r="E46" s="9" t="n">
        <v>454</v>
      </c>
    </row>
    <row r="47" customFormat="false" ht="15" hidden="false" customHeight="false" outlineLevel="0" collapsed="false">
      <c r="A47" s="5"/>
      <c r="B47" s="13" t="str">
        <f aca="false">IF(Estimates!G167="","","("&amp;TEXT(Estimates!G167,"0.00")&amp;")")</f>
        <v/>
      </c>
      <c r="C47" s="13" t="str">
        <f aca="false">IF(Estimates!G168="","","("&amp;TEXT(Estimates!G168,"0.00")&amp;")")</f>
        <v>(-0.12)</v>
      </c>
      <c r="D47" s="5"/>
      <c r="E47" s="5"/>
    </row>
    <row r="49" customFormat="false" ht="15" hidden="false" customHeight="false" outlineLevel="0" collapsed="false">
      <c r="A49" s="1" t="s">
        <v>77</v>
      </c>
    </row>
    <row r="50" customFormat="false" ht="35.05" hidden="false" customHeight="false" outlineLevel="0" collapsed="false">
      <c r="A50" s="3"/>
      <c r="B50" s="4" t="s">
        <v>78</v>
      </c>
      <c r="C50" s="4" t="s">
        <v>79</v>
      </c>
      <c r="D50" s="4" t="s">
        <v>38</v>
      </c>
      <c r="E50" s="4" t="s">
        <v>25</v>
      </c>
    </row>
    <row r="51" customFormat="false" ht="15" hidden="false" customHeight="false" outlineLevel="0" collapsed="false">
      <c r="A51" s="7" t="s">
        <v>59</v>
      </c>
      <c r="B51" s="8" t="str">
        <f aca="false">IF(Estimates!H170="","n/a",TEXT(Estimates!D170,"0.000")&amp;IF(Estimates!H170&lt;0.01,"***",IF(Estimates!H170&lt;0.05,"**",IF(Estimates!H170&lt;0.1,"*",""))))</f>
        <v>-0.004</v>
      </c>
      <c r="C51" s="8" t="str">
        <f aca="false">IF(Estimates!H171="","n/a",TEXT(Estimates!D171,"0.000")&amp;IF(Estimates!H171&lt;0.01,"***",IF(Estimates!H171&lt;0.05,"**",IF(Estimates!H171&lt;0.1,"*",""))))</f>
        <v>-0.104</v>
      </c>
      <c r="D51" s="10" t="n">
        <f aca="false">IF(Estimates!H172="","",Estimates!H172)</f>
        <v>0.55594636117665</v>
      </c>
      <c r="E51" s="9" t="n">
        <v>1099</v>
      </c>
    </row>
    <row r="52" customFormat="false" ht="15" hidden="false" customHeight="false" outlineLevel="0" collapsed="false">
      <c r="B52" s="8" t="str">
        <f aca="false">IF(Estimates!G170="","","("&amp;TEXT(Estimates!G170,"0.00")&amp;")")</f>
        <v>(-0.04)</v>
      </c>
      <c r="C52" s="8" t="str">
        <f aca="false">IF(Estimates!G171="","","("&amp;TEXT(Estimates!G171,"0.00")&amp;")")</f>
        <v>(-1.13)</v>
      </c>
    </row>
    <row r="53" customFormat="false" ht="15" hidden="false" customHeight="false" outlineLevel="0" collapsed="false">
      <c r="A53" s="7" t="s">
        <v>60</v>
      </c>
      <c r="B53" s="8" t="str">
        <f aca="false">IF(Estimates!H173="","n/a",TEXT(Estimates!D173,"0.000")&amp;IF(Estimates!H173&lt;0.01,"***",IF(Estimates!H173&lt;0.05,"**",IF(Estimates!H173&lt;0.1,"*",""))))</f>
        <v>-0.647</v>
      </c>
      <c r="C53" s="8" t="str">
        <f aca="false">IF(Estimates!H174="","n/a",TEXT(Estimates!D174,"0.000")&amp;IF(Estimates!H174&lt;0.01,"***",IF(Estimates!H174&lt;0.05,"**",IF(Estimates!H174&lt;0.1,"*",""))))</f>
        <v>-0.296</v>
      </c>
      <c r="D53" s="10" t="n">
        <f aca="false">IF(Estimates!H175="","",Estimates!H175)</f>
        <v>0.689195890091633</v>
      </c>
      <c r="E53" s="9" t="n">
        <v>1082</v>
      </c>
    </row>
    <row r="54" customFormat="false" ht="15" hidden="false" customHeight="false" outlineLevel="0" collapsed="false">
      <c r="B54" s="8" t="str">
        <f aca="false">IF(Estimates!G173="","","("&amp;TEXT(Estimates!G173,"0.00")&amp;")")</f>
        <v>(-0.87)</v>
      </c>
      <c r="C54" s="8" t="str">
        <f aca="false">IF(Estimates!G174="","","("&amp;TEXT(Estimates!G174,"0.00")&amp;")")</f>
        <v>(-1.10)</v>
      </c>
    </row>
    <row r="55" customFormat="false" ht="15" hidden="false" customHeight="false" outlineLevel="0" collapsed="false">
      <c r="A55" s="7" t="s">
        <v>61</v>
      </c>
      <c r="B55" s="8" t="str">
        <f aca="false">IF(Estimates!H176="","n/a",TEXT(Estimates!D176,"0.000")&amp;IF(Estimates!H176&lt;0.01,"***",IF(Estimates!H176&lt;0.05,"**",IF(Estimates!H176&lt;0.1,"*",""))))</f>
        <v>0.001</v>
      </c>
      <c r="C55" s="8" t="str">
        <f aca="false">IF(Estimates!H177="","n/a",TEXT(Estimates!D177,"0.000")&amp;IF(Estimates!H177&lt;0.01,"***",IF(Estimates!H177&lt;0.05,"**",IF(Estimates!H177&lt;0.1,"*",""))))</f>
        <v>0.307</v>
      </c>
      <c r="D55" s="10" t="n">
        <f aca="false">IF(Estimates!H178="","",Estimates!H178)</f>
        <v>0.44115803975234</v>
      </c>
      <c r="E55" s="9" t="n">
        <v>1349</v>
      </c>
    </row>
    <row r="56" customFormat="false" ht="15" hidden="false" customHeight="false" outlineLevel="0" collapsed="false">
      <c r="B56" s="8" t="str">
        <f aca="false">IF(Estimates!G176="","","("&amp;TEXT(Estimates!G176,"0.00")&amp;")")</f>
        <v>(0.01)</v>
      </c>
      <c r="C56" s="8" t="str">
        <f aca="false">IF(Estimates!G177="","","("&amp;TEXT(Estimates!G177,"0.00")&amp;")")</f>
        <v>(0.86)</v>
      </c>
    </row>
    <row r="57" customFormat="false" ht="15" hidden="false" customHeight="false" outlineLevel="0" collapsed="false">
      <c r="A57" s="7" t="s">
        <v>62</v>
      </c>
      <c r="B57" s="8" t="str">
        <f aca="false">IF(Estimates!H179="","n/a",TEXT(Estimates!D179,"0.000")&amp;IF(Estimates!H179&lt;0.01,"***",IF(Estimates!H179&lt;0.05,"**",IF(Estimates!H179&lt;0.1,"*",""))))</f>
        <v>3.177***</v>
      </c>
      <c r="C57" s="8" t="str">
        <f aca="false">IF(Estimates!H180="","n/a",TEXT(Estimates!D180,"0.000")&amp;IF(Estimates!H180&lt;0.01,"***",IF(Estimates!H180&lt;0.05,"**",IF(Estimates!H180&lt;0.1,"*",""))))</f>
        <v>0.204</v>
      </c>
      <c r="D57" s="10" t="n">
        <f aca="false">IF(Estimates!H181="","",Estimates!H181)</f>
        <v>0.000127410509139234</v>
      </c>
      <c r="E57" s="9" t="n">
        <v>939</v>
      </c>
    </row>
    <row r="58" customFormat="false" ht="15" hidden="false" customHeight="false" outlineLevel="0" collapsed="false">
      <c r="B58" s="8" t="str">
        <f aca="false">IF(Estimates!G179="","","("&amp;TEXT(Estimates!G179,"0.00")&amp;")")</f>
        <v>(3.98)</v>
      </c>
      <c r="C58" s="8" t="str">
        <f aca="false">IF(Estimates!G180="","","("&amp;TEXT(Estimates!G180,"0.00")&amp;")")</f>
        <v>(0.45)</v>
      </c>
    </row>
    <row r="59" customFormat="false" ht="15" hidden="false" customHeight="false" outlineLevel="0" collapsed="false">
      <c r="A59" s="7" t="s">
        <v>63</v>
      </c>
      <c r="B59" s="8" t="str">
        <f aca="false">IF(Estimates!H182="","n/a",TEXT(Estimates!D182,"0.000")&amp;IF(Estimates!H182&lt;0.01,"***",IF(Estimates!H182&lt;0.05,"**",IF(Estimates!H182&lt;0.1,"*",""))))</f>
        <v>-10.562***</v>
      </c>
      <c r="C59" s="8" t="str">
        <f aca="false">IF(Estimates!H183="","n/a",TEXT(Estimates!D183,"0.000")&amp;IF(Estimates!H183&lt;0.01,"***",IF(Estimates!H183&lt;0.05,"**",IF(Estimates!H183&lt;0.1,"*",""))))</f>
        <v>-1.180</v>
      </c>
      <c r="D59" s="10" t="n">
        <f aca="false">IF(Estimates!H184="","",Estimates!H184)</f>
        <v>0.000319681558165743</v>
      </c>
      <c r="E59" s="9" t="n">
        <v>802</v>
      </c>
    </row>
    <row r="60" customFormat="false" ht="15" hidden="false" customHeight="false" outlineLevel="0" collapsed="false">
      <c r="B60" s="8" t="str">
        <f aca="false">IF(Estimates!G182="","","("&amp;TEXT(Estimates!G182,"0.00")&amp;")")</f>
        <v>(-6.70)</v>
      </c>
      <c r="C60" s="8" t="str">
        <f aca="false">IF(Estimates!G183="","","("&amp;TEXT(Estimates!G183,"0.00")&amp;")")</f>
        <v>(-1.00)</v>
      </c>
    </row>
    <row r="61" customFormat="false" ht="15" hidden="false" customHeight="false" outlineLevel="0" collapsed="false">
      <c r="A61" s="7" t="s">
        <v>64</v>
      </c>
      <c r="B61" s="8" t="str">
        <f aca="false">IF(Estimates!H185="","n/a",TEXT(Estimates!D185,"0.000")&amp;IF(Estimates!H185&lt;0.01,"***",IF(Estimates!H185&lt;0.05,"**",IF(Estimates!H185&lt;0.1,"*",""))))</f>
        <v>0.831</v>
      </c>
      <c r="C61" s="8" t="str">
        <f aca="false">IF(Estimates!H186="","n/a",TEXT(Estimates!D186,"0.000")&amp;IF(Estimates!H186&lt;0.01,"***",IF(Estimates!H186&lt;0.05,"**",IF(Estimates!H186&lt;0.1,"*",""))))</f>
        <v>-1.241*</v>
      </c>
      <c r="D61" s="10" t="n">
        <f aca="false">IF(Estimates!H187="","",Estimates!H187)</f>
        <v>0.112974984096523</v>
      </c>
      <c r="E61" s="9" t="n">
        <v>423</v>
      </c>
    </row>
    <row r="62" customFormat="false" ht="15" hidden="false" customHeight="false" outlineLevel="0" collapsed="false">
      <c r="A62" s="5"/>
      <c r="B62" s="13" t="str">
        <f aca="false">IF(Estimates!G185="","","("&amp;TEXT(Estimates!G185,"0.00")&amp;")")</f>
        <v>(0.94)</v>
      </c>
      <c r="C62" s="13" t="str">
        <f aca="false">IF(Estimates!G186="","","("&amp;TEXT(Estimates!G186,"0.00")&amp;")")</f>
        <v>(-1.74)</v>
      </c>
      <c r="D62" s="5"/>
      <c r="E62" s="5"/>
    </row>
    <row r="64" customFormat="false" ht="15" hidden="false" customHeight="false" outlineLevel="0" collapsed="false">
      <c r="A64" s="1" t="s">
        <v>80</v>
      </c>
    </row>
    <row r="65" customFormat="false" ht="23.85" hidden="false" customHeight="false" outlineLevel="0" collapsed="false">
      <c r="A65" s="3"/>
      <c r="B65" s="4" t="s">
        <v>81</v>
      </c>
      <c r="C65" s="4" t="s">
        <v>82</v>
      </c>
      <c r="D65" s="4" t="s">
        <v>38</v>
      </c>
      <c r="E65" s="4" t="s">
        <v>25</v>
      </c>
    </row>
    <row r="66" customFormat="false" ht="15" hidden="false" customHeight="false" outlineLevel="0" collapsed="false">
      <c r="A66" s="7" t="s">
        <v>59</v>
      </c>
      <c r="B66" s="8" t="str">
        <f aca="false">IF(Estimates!H188="","n/a",TEXT(Estimates!D188,"0.000")&amp;IF(Estimates!H188&lt;0.01,"***",IF(Estimates!H188&lt;0.05,"**",IF(Estimates!H188&lt;0.1,"*",""))))</f>
        <v>-0.056</v>
      </c>
      <c r="C66" s="8" t="str">
        <f aca="false">IF(Estimates!H189="","n/a",TEXT(Estimates!D189,"0.000")&amp;IF(Estimates!H189&lt;0.01,"***",IF(Estimates!H189&lt;0.05,"**",IF(Estimates!H189&lt;0.1,"*",""))))</f>
        <v>-0.118</v>
      </c>
      <c r="D66" s="10" t="n">
        <f aca="false">IF(Estimates!H190="","",Estimates!H190)</f>
        <v>0.632977859004936</v>
      </c>
      <c r="E66" s="9" t="n">
        <v>1047</v>
      </c>
    </row>
    <row r="67" customFormat="false" ht="15" hidden="false" customHeight="false" outlineLevel="0" collapsed="false">
      <c r="B67" s="8" t="str">
        <f aca="false">IF(Estimates!G188="","","("&amp;TEXT(Estimates!G188,"0.00")&amp;")")</f>
        <v>(-0.70)</v>
      </c>
      <c r="C67" s="8" t="str">
        <f aca="false">IF(Estimates!G189="","","("&amp;TEXT(Estimates!G189,"0.00")&amp;")")</f>
        <v>(-1.02)</v>
      </c>
    </row>
    <row r="68" customFormat="false" ht="15" hidden="false" customHeight="false" outlineLevel="0" collapsed="false">
      <c r="A68" s="7" t="s">
        <v>60</v>
      </c>
      <c r="B68" s="8" t="str">
        <f aca="false">IF(Estimates!H191="","n/a",TEXT(Estimates!D191,"0.000")&amp;IF(Estimates!H191&lt;0.01,"***",IF(Estimates!H191&lt;0.05,"**",IF(Estimates!H191&lt;0.1,"*",""))))</f>
        <v>-0.758**</v>
      </c>
      <c r="C68" s="8" t="str">
        <f aca="false">IF(Estimates!H192="","n/a",TEXT(Estimates!D192,"0.000")&amp;IF(Estimates!H192&lt;0.01,"***",IF(Estimates!H192&lt;0.05,"**",IF(Estimates!H192&lt;0.1,"*",""))))</f>
        <v>-0.604*</v>
      </c>
      <c r="D68" s="10" t="n">
        <f aca="false">IF(Estimates!H193="","",Estimates!H193)</f>
        <v>0.729759792219079</v>
      </c>
      <c r="E68" s="9" t="n">
        <v>1030</v>
      </c>
    </row>
    <row r="69" customFormat="false" ht="15" hidden="false" customHeight="false" outlineLevel="0" collapsed="false">
      <c r="B69" s="8" t="str">
        <f aca="false">IF(Estimates!G191="","","("&amp;TEXT(Estimates!G191,"0.00")&amp;")")</f>
        <v>(-2.26)</v>
      </c>
      <c r="C69" s="8" t="str">
        <f aca="false">IF(Estimates!G192="","","("&amp;TEXT(Estimates!G192,"0.00")&amp;")")</f>
        <v>(-1.75)</v>
      </c>
    </row>
    <row r="70" customFormat="false" ht="15" hidden="false" customHeight="false" outlineLevel="0" collapsed="false">
      <c r="A70" s="7" t="s">
        <v>61</v>
      </c>
      <c r="B70" s="8" t="str">
        <f aca="false">IF(Estimates!H194="","n/a",TEXT(Estimates!D194,"0.000")&amp;IF(Estimates!H194&lt;0.01,"***",IF(Estimates!H194&lt;0.05,"**",IF(Estimates!H194&lt;0.1,"*",""))))</f>
        <v>0.421</v>
      </c>
      <c r="C70" s="8" t="str">
        <f aca="false">IF(Estimates!H195="","n/a",TEXT(Estimates!D195,"0.000")&amp;IF(Estimates!H195&lt;0.01,"***",IF(Estimates!H195&lt;0.05,"**",IF(Estimates!H195&lt;0.1,"*",""))))</f>
        <v>0.336</v>
      </c>
      <c r="D70" s="10" t="n">
        <f aca="false">IF(Estimates!H196="","",Estimates!H196)</f>
        <v>0.846320186686486</v>
      </c>
      <c r="E70" s="9" t="n">
        <v>1283</v>
      </c>
    </row>
    <row r="71" customFormat="false" ht="15" hidden="false" customHeight="false" outlineLevel="0" collapsed="false">
      <c r="B71" s="8" t="str">
        <f aca="false">IF(Estimates!G194="","","("&amp;TEXT(Estimates!G194,"0.00")&amp;")")</f>
        <v>(1.38)</v>
      </c>
      <c r="C71" s="8" t="str">
        <f aca="false">IF(Estimates!G195="","","("&amp;TEXT(Estimates!G195,"0.00")&amp;")")</f>
        <v>(1.04)</v>
      </c>
    </row>
    <row r="72" customFormat="false" ht="15" hidden="false" customHeight="false" outlineLevel="0" collapsed="false">
      <c r="A72" s="7" t="s">
        <v>62</v>
      </c>
      <c r="B72" s="8" t="str">
        <f aca="false">IF(Estimates!H197="","n/a",TEXT(Estimates!D197,"0.000")&amp;IF(Estimates!H197&lt;0.01,"***",IF(Estimates!H197&lt;0.05,"**",IF(Estimates!H197&lt;0.1,"*",""))))</f>
        <v>0.818</v>
      </c>
      <c r="C72" s="8" t="str">
        <f aca="false">IF(Estimates!H198="","n/a",TEXT(Estimates!D198,"0.000")&amp;IF(Estimates!H198&lt;0.01,"***",IF(Estimates!H198&lt;0.05,"**",IF(Estimates!H198&lt;0.1,"*",""))))</f>
        <v>0.153</v>
      </c>
      <c r="D72" s="10" t="n">
        <f aca="false">IF(Estimates!H199="","",Estimates!H199)</f>
        <v>0.487568064735744</v>
      </c>
      <c r="E72" s="9" t="n">
        <v>895</v>
      </c>
    </row>
    <row r="73" customFormat="false" ht="15" hidden="false" customHeight="false" outlineLevel="0" collapsed="false">
      <c r="B73" s="8" t="str">
        <f aca="false">IF(Estimates!G197="","","("&amp;TEXT(Estimates!G197,"0.00")&amp;")")</f>
        <v>(1.09)</v>
      </c>
      <c r="C73" s="8" t="str">
        <f aca="false">IF(Estimates!G198="","","("&amp;TEXT(Estimates!G198,"0.00")&amp;")")</f>
        <v>(0.34)</v>
      </c>
    </row>
    <row r="74" customFormat="false" ht="15" hidden="false" customHeight="false" outlineLevel="0" collapsed="false">
      <c r="A74" s="7" t="s">
        <v>63</v>
      </c>
      <c r="B74" s="8" t="str">
        <f aca="false">IF(Estimates!H200="","n/a",TEXT(Estimates!D200,"0.000")&amp;IF(Estimates!H200&lt;0.01,"***",IF(Estimates!H200&lt;0.05,"**",IF(Estimates!H200&lt;0.1,"*",""))))</f>
        <v>-0.295</v>
      </c>
      <c r="C74" s="8" t="str">
        <f aca="false">IF(Estimates!H201="","n/a",TEXT(Estimates!D201,"0.000")&amp;IF(Estimates!H201&lt;0.01,"***",IF(Estimates!H201&lt;0.05,"**",IF(Estimates!H201&lt;0.1,"*",""))))</f>
        <v>-2.599**</v>
      </c>
      <c r="D74" s="10" t="n">
        <f aca="false">IF(Estimates!H202="","",Estimates!H202)</f>
        <v>0.206516777199378</v>
      </c>
      <c r="E74" s="9" t="n">
        <v>783</v>
      </c>
    </row>
    <row r="75" customFormat="false" ht="15" hidden="false" customHeight="false" outlineLevel="0" collapsed="false">
      <c r="B75" s="8" t="str">
        <f aca="false">IF(Estimates!G200="","","("&amp;TEXT(Estimates!G200,"0.00")&amp;")")</f>
        <v>(-0.22)</v>
      </c>
      <c r="C75" s="8" t="str">
        <f aca="false">IF(Estimates!G201="","","("&amp;TEXT(Estimates!G201,"0.00")&amp;")")</f>
        <v>(-2.79)</v>
      </c>
    </row>
    <row r="76" customFormat="false" ht="15" hidden="false" customHeight="false" outlineLevel="0" collapsed="false">
      <c r="A76" s="7" t="s">
        <v>64</v>
      </c>
      <c r="B76" s="8" t="str">
        <f aca="false">IF(Estimates!H203="","n/a",TEXT(Estimates!D203,"0.000")&amp;IF(Estimates!H203&lt;0.01,"***",IF(Estimates!H203&lt;0.05,"**",IF(Estimates!H203&lt;0.1,"*",""))))</f>
        <v>-1.321*</v>
      </c>
      <c r="C76" s="8" t="str">
        <f aca="false">IF(Estimates!H204="","n/a",TEXT(Estimates!D204,"0.000")&amp;IF(Estimates!H204&lt;0.01,"***",IF(Estimates!H204&lt;0.05,"**",IF(Estimates!H204&lt;0.1,"*",""))))</f>
        <v>-2.453</v>
      </c>
      <c r="D76" s="10" t="n">
        <f aca="false">IF(Estimates!H205="","",Estimates!H205)</f>
        <v>0.645098371902775</v>
      </c>
      <c r="E76" s="9" t="n">
        <v>414</v>
      </c>
    </row>
    <row r="77" customFormat="false" ht="15" hidden="false" customHeight="false" outlineLevel="0" collapsed="false">
      <c r="A77" s="5"/>
      <c r="B77" s="13" t="str">
        <f aca="false">IF(Estimates!G203="","","("&amp;TEXT(Estimates!G203,"0.00")&amp;")")</f>
        <v>(-1.79)</v>
      </c>
      <c r="C77" s="13" t="str">
        <f aca="false">IF(Estimates!G204="","","("&amp;TEXT(Estimates!G204,"0.00")&amp;")")</f>
        <v>(-1.25)</v>
      </c>
      <c r="D77" s="5"/>
      <c r="E77" s="5"/>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26"/>
  </cols>
  <sheetData>
    <row r="1" customFormat="false" ht="15" hidden="false" customHeight="false" outlineLevel="0" collapsed="false">
      <c r="A1" s="14" t="s">
        <v>83</v>
      </c>
    </row>
    <row r="3" customFormat="false" ht="15" hidden="false" customHeight="false" outlineLevel="0" collapsed="false">
      <c r="A3" s="1" t="s">
        <v>84</v>
      </c>
      <c r="B3" s="1" t="s">
        <v>85</v>
      </c>
      <c r="C3" s="1" t="s">
        <v>86</v>
      </c>
      <c r="D3" s="1" t="s">
        <v>87</v>
      </c>
      <c r="E3" s="1" t="s">
        <v>88</v>
      </c>
      <c r="F3" s="1" t="s">
        <v>89</v>
      </c>
      <c r="G3" s="1" t="s">
        <v>90</v>
      </c>
      <c r="H3" s="1" t="s">
        <v>91</v>
      </c>
    </row>
    <row r="4" customFormat="false" ht="15" hidden="false" customHeight="false" outlineLevel="0" collapsed="false">
      <c r="A4" s="7" t="s">
        <v>92</v>
      </c>
      <c r="B4" s="7" t="s">
        <v>7</v>
      </c>
      <c r="C4" s="7" t="s">
        <v>2</v>
      </c>
      <c r="D4" s="16" t="n">
        <v>-0.152748457683299</v>
      </c>
      <c r="E4" s="16" t="n">
        <v>0.273945085327416</v>
      </c>
      <c r="F4" s="17" t="n">
        <v>20</v>
      </c>
      <c r="G4" s="18" t="n">
        <f aca="false">IF(AND(ISNUMBER(D4),E4&gt;0),D4/E4,"")</f>
        <v>-0.557587873864339</v>
      </c>
      <c r="H4" s="18" t="n">
        <f aca="false">IF(G4="","",TDIST(ABS(G4),F4-1,2))</f>
        <v>0.583636207638836</v>
      </c>
    </row>
    <row r="5" customFormat="false" ht="15" hidden="false" customHeight="false" outlineLevel="0" collapsed="false">
      <c r="A5" s="7" t="s">
        <v>92</v>
      </c>
      <c r="B5" s="7" t="s">
        <v>7</v>
      </c>
      <c r="C5" s="7" t="s">
        <v>3</v>
      </c>
      <c r="D5" s="16" t="n">
        <v>0.00210342374164964</v>
      </c>
      <c r="E5" s="16" t="n">
        <v>0.262598239042818</v>
      </c>
      <c r="F5" s="17" t="n">
        <v>20</v>
      </c>
      <c r="G5" s="18" t="n">
        <f aca="false">IF(AND(ISNUMBER(D5),E5&gt;0),D5/E5,"")</f>
        <v>0.00801004511422739</v>
      </c>
      <c r="H5" s="18" t="n">
        <f aca="false">IF(G5="","",TDIST(ABS(G5),F5-1,2))</f>
        <v>0.993692483960831</v>
      </c>
    </row>
    <row r="6" customFormat="false" ht="15" hidden="false" customHeight="false" outlineLevel="0" collapsed="false">
      <c r="A6" s="7" t="s">
        <v>92</v>
      </c>
      <c r="B6" s="7" t="s">
        <v>7</v>
      </c>
      <c r="C6" s="7" t="s">
        <v>4</v>
      </c>
      <c r="D6" s="16" t="n">
        <v>-0.000411256357477455</v>
      </c>
      <c r="E6" s="16" t="n">
        <v>0.300534630660946</v>
      </c>
      <c r="F6" s="17" t="n">
        <v>20</v>
      </c>
      <c r="G6" s="18" t="n">
        <f aca="false">IF(AND(ISNUMBER(D6),E6&gt;0),D6/E6,"")</f>
        <v>-0.00136841586799167</v>
      </c>
      <c r="H6" s="18" t="n">
        <f aca="false">IF(G6="","",TDIST(ABS(G6),F6-1,2))</f>
        <v>0.998922428121601</v>
      </c>
    </row>
    <row r="7" customFormat="false" ht="15" hidden="false" customHeight="false" outlineLevel="0" collapsed="false">
      <c r="A7" s="7" t="s">
        <v>92</v>
      </c>
      <c r="B7" s="7" t="s">
        <v>7</v>
      </c>
      <c r="C7" s="7" t="s">
        <v>5</v>
      </c>
      <c r="D7" s="16" t="n">
        <v>-0.0959560759709827</v>
      </c>
      <c r="E7" s="16" t="n">
        <v>0.634691092145678</v>
      </c>
      <c r="F7" s="17" t="n">
        <v>20</v>
      </c>
      <c r="G7" s="18" t="n">
        <f aca="false">IF(AND(ISNUMBER(D7),E7&gt;0),D7/E7,"")</f>
        <v>-0.151185477720488</v>
      </c>
      <c r="H7" s="18" t="n">
        <f aca="false">IF(G7="","",TDIST(ABS(G7),F7-1,2))</f>
        <v>0.881423054611329</v>
      </c>
    </row>
    <row r="8" customFormat="false" ht="15" hidden="false" customHeight="false" outlineLevel="0" collapsed="false">
      <c r="A8" s="7" t="s">
        <v>92</v>
      </c>
      <c r="B8" s="7" t="s">
        <v>8</v>
      </c>
      <c r="C8" s="7" t="s">
        <v>3</v>
      </c>
      <c r="D8" s="16" t="n">
        <v>0.140724523402534</v>
      </c>
      <c r="E8" s="16" t="n">
        <v>0.0747456453186568</v>
      </c>
      <c r="F8" s="17" t="n">
        <v>20</v>
      </c>
      <c r="G8" s="18" t="n">
        <f aca="false">IF(AND(ISNUMBER(D8),E8&gt;0),D8/E8,"")</f>
        <v>1.88271200017867</v>
      </c>
      <c r="H8" s="18" t="n">
        <f aca="false">IF(G8="","",TDIST(ABS(G8),F8-1,2))</f>
        <v>0.0751439759481167</v>
      </c>
    </row>
    <row r="9" customFormat="false" ht="15" hidden="false" customHeight="false" outlineLevel="0" collapsed="false">
      <c r="A9" s="7" t="s">
        <v>92</v>
      </c>
      <c r="B9" s="7" t="s">
        <v>8</v>
      </c>
      <c r="C9" s="7" t="s">
        <v>4</v>
      </c>
      <c r="D9" s="16" t="n">
        <v>0.166556180269754</v>
      </c>
      <c r="E9" s="16" t="n">
        <v>0.0754557619965015</v>
      </c>
      <c r="F9" s="17" t="n">
        <v>20</v>
      </c>
      <c r="G9" s="18" t="n">
        <f aca="false">IF(AND(ISNUMBER(D9),E9&gt;0),D9/E9,"")</f>
        <v>2.20733547528784</v>
      </c>
      <c r="H9" s="18" t="n">
        <f aca="false">IF(G9="","",TDIST(ABS(G9),F9-1,2))</f>
        <v>0.0397879147395945</v>
      </c>
    </row>
    <row r="10" customFormat="false" ht="15" hidden="false" customHeight="false" outlineLevel="0" collapsed="false">
      <c r="A10" s="7" t="s">
        <v>92</v>
      </c>
      <c r="B10" s="7" t="s">
        <v>8</v>
      </c>
      <c r="C10" s="7" t="s">
        <v>5</v>
      </c>
      <c r="D10" s="16" t="n">
        <v>0.181466727990324</v>
      </c>
      <c r="E10" s="16" t="n">
        <v>0.102837466897402</v>
      </c>
      <c r="F10" s="17" t="n">
        <v>20</v>
      </c>
      <c r="G10" s="18" t="n">
        <f aca="false">IF(AND(ISNUMBER(D10),E10&gt;0),D10/E10,"")</f>
        <v>1.76459741245249</v>
      </c>
      <c r="H10" s="18" t="n">
        <f aca="false">IF(G10="","",TDIST(ABS(G10),F10-1,2))</f>
        <v>0.0937018532041648</v>
      </c>
    </row>
    <row r="11" customFormat="false" ht="15" hidden="false" customHeight="false" outlineLevel="0" collapsed="false">
      <c r="A11" s="7" t="s">
        <v>92</v>
      </c>
      <c r="B11" s="7" t="s">
        <v>9</v>
      </c>
      <c r="C11" s="7" t="s">
        <v>3</v>
      </c>
      <c r="D11" s="16" t="n">
        <v>0.147971354286452</v>
      </c>
      <c r="E11" s="16" t="n">
        <v>0.0750988420156455</v>
      </c>
      <c r="F11" s="17" t="n">
        <v>20</v>
      </c>
      <c r="G11" s="18" t="n">
        <f aca="false">IF(AND(ISNUMBER(D11),E11&gt;0),D11/E11,"")</f>
        <v>1.97035467278743</v>
      </c>
      <c r="H11" s="18" t="n">
        <f aca="false">IF(G11="","",TDIST(ABS(G11),F11-1,2))</f>
        <v>0.0635473043001069</v>
      </c>
    </row>
    <row r="12" customFormat="false" ht="15" hidden="false" customHeight="false" outlineLevel="0" collapsed="false">
      <c r="A12" s="7" t="s">
        <v>92</v>
      </c>
      <c r="B12" s="7" t="s">
        <v>9</v>
      </c>
      <c r="C12" s="7" t="s">
        <v>4</v>
      </c>
      <c r="D12" s="16" t="n">
        <v>0.171196343301391</v>
      </c>
      <c r="E12" s="16" t="n">
        <v>0.0799514847138543</v>
      </c>
      <c r="F12" s="17" t="n">
        <v>20</v>
      </c>
      <c r="G12" s="18" t="n">
        <f aca="false">IF(AND(ISNUMBER(D12),E12&gt;0),D12/E12,"")</f>
        <v>2.14125283494236</v>
      </c>
      <c r="H12" s="18" t="n">
        <f aca="false">IF(G12="","",TDIST(ABS(G12),F12-1,2))</f>
        <v>0.0454313959242985</v>
      </c>
    </row>
    <row r="13" customFormat="false" ht="15" hidden="false" customHeight="false" outlineLevel="0" collapsed="false">
      <c r="A13" s="7" t="s">
        <v>92</v>
      </c>
      <c r="B13" s="7" t="s">
        <v>9</v>
      </c>
      <c r="C13" s="7" t="s">
        <v>5</v>
      </c>
      <c r="D13" s="16" t="n">
        <v>0.218584622621455</v>
      </c>
      <c r="E13" s="16" t="n">
        <v>0.131188474470443</v>
      </c>
      <c r="F13" s="17" t="n">
        <v>20</v>
      </c>
      <c r="G13" s="18" t="n">
        <f aca="false">IF(AND(ISNUMBER(D13),E13&gt;0),D13/E13,"")</f>
        <v>1.66618770058724</v>
      </c>
      <c r="H13" s="18" t="n">
        <f aca="false">IF(G13="","",TDIST(ABS(G13),F13-1,2))</f>
        <v>0.112077317612318</v>
      </c>
    </row>
    <row r="14" customFormat="false" ht="15" hidden="false" customHeight="false" outlineLevel="0" collapsed="false">
      <c r="A14" s="7" t="s">
        <v>92</v>
      </c>
      <c r="B14" s="7" t="s">
        <v>10</v>
      </c>
      <c r="C14" s="7" t="s">
        <v>3</v>
      </c>
      <c r="D14" s="16" t="n">
        <v>0.169429049157961</v>
      </c>
      <c r="E14" s="16" t="n">
        <v>0.074253208143244</v>
      </c>
      <c r="F14" s="17" t="n">
        <v>20</v>
      </c>
      <c r="G14" s="18" t="n">
        <f aca="false">IF(AND(ISNUMBER(D14),E14&gt;0),D14/E14,"")</f>
        <v>2.28177412659546</v>
      </c>
      <c r="H14" s="18" t="n">
        <f aca="false">IF(G14="","",TDIST(ABS(G14),F14-1,2))</f>
        <v>0.0342048086292702</v>
      </c>
    </row>
    <row r="15" customFormat="false" ht="15" hidden="false" customHeight="false" outlineLevel="0" collapsed="false">
      <c r="A15" s="7" t="s">
        <v>92</v>
      </c>
      <c r="B15" s="7" t="s">
        <v>10</v>
      </c>
      <c r="C15" s="7" t="s">
        <v>4</v>
      </c>
      <c r="D15" s="16" t="n">
        <v>0.172219931221888</v>
      </c>
      <c r="E15" s="16" t="n">
        <v>0.0712178935787921</v>
      </c>
      <c r="F15" s="17" t="n">
        <v>20</v>
      </c>
      <c r="G15" s="18" t="n">
        <f aca="false">IF(AND(ISNUMBER(D15),E15&gt;0),D15/E15,"")</f>
        <v>2.41821152757561</v>
      </c>
      <c r="H15" s="18" t="n">
        <f aca="false">IF(G15="","",TDIST(ABS(G15),F15-1,2))</f>
        <v>0.0258074744041416</v>
      </c>
    </row>
    <row r="16" customFormat="false" ht="15" hidden="false" customHeight="false" outlineLevel="0" collapsed="false">
      <c r="A16" s="7" t="s">
        <v>92</v>
      </c>
      <c r="B16" s="7" t="s">
        <v>10</v>
      </c>
      <c r="C16" s="7" t="s">
        <v>5</v>
      </c>
      <c r="D16" s="16" t="n">
        <v>0.103380498405768</v>
      </c>
      <c r="E16" s="16" t="n">
        <v>0.11117301142941</v>
      </c>
      <c r="F16" s="17" t="n">
        <v>20</v>
      </c>
      <c r="G16" s="18" t="n">
        <f aca="false">IF(AND(ISNUMBER(D16),E16&gt;0),D16/E16,"")</f>
        <v>0.929906432114692</v>
      </c>
      <c r="H16" s="18" t="n">
        <f aca="false">IF(G16="","",TDIST(ABS(G16),F16-1,2))</f>
        <v>0.364084564868274</v>
      </c>
    </row>
    <row r="17" customFormat="false" ht="15" hidden="false" customHeight="false" outlineLevel="0" collapsed="false">
      <c r="A17" s="7" t="s">
        <v>92</v>
      </c>
      <c r="B17" s="7" t="s">
        <v>11</v>
      </c>
      <c r="C17" s="7" t="s">
        <v>3</v>
      </c>
      <c r="D17" s="16" t="n">
        <v>0.137004648763971</v>
      </c>
      <c r="E17" s="16" t="n">
        <v>0.0720121946670888</v>
      </c>
      <c r="F17" s="17" t="n">
        <v>20</v>
      </c>
      <c r="G17" s="18" t="n">
        <f aca="false">IF(AND(ISNUMBER(D17),E17&gt;0),D17/E17,"")</f>
        <v>1.90252011339665</v>
      </c>
      <c r="H17" s="18" t="n">
        <f aca="false">IF(G17="","",TDIST(ABS(G17),F17-1,2))</f>
        <v>0.0723706565349594</v>
      </c>
    </row>
    <row r="18" customFormat="false" ht="15" hidden="false" customHeight="false" outlineLevel="0" collapsed="false">
      <c r="A18" s="7" t="s">
        <v>92</v>
      </c>
      <c r="B18" s="7" t="s">
        <v>11</v>
      </c>
      <c r="C18" s="7" t="s">
        <v>4</v>
      </c>
      <c r="D18" s="16" t="n">
        <v>0.191031841197161</v>
      </c>
      <c r="E18" s="16" t="n">
        <v>0.0724548176232009</v>
      </c>
      <c r="F18" s="17" t="n">
        <v>20</v>
      </c>
      <c r="G18" s="18" t="n">
        <f aca="false">IF(AND(ISNUMBER(D18),E18&gt;0),D18/E18,"")</f>
        <v>2.63656506860064</v>
      </c>
      <c r="H18" s="18" t="n">
        <f aca="false">IF(G18="","",TDIST(ABS(G18),F18-1,2))</f>
        <v>0.0162626876255826</v>
      </c>
    </row>
    <row r="19" customFormat="false" ht="15" hidden="false" customHeight="false" outlineLevel="0" collapsed="false">
      <c r="A19" s="7" t="s">
        <v>92</v>
      </c>
      <c r="B19" s="7" t="s">
        <v>11</v>
      </c>
      <c r="C19" s="7" t="s">
        <v>5</v>
      </c>
      <c r="D19" s="16" t="n">
        <v>0.251560707414752</v>
      </c>
      <c r="E19" s="16" t="n">
        <v>0.112674720976277</v>
      </c>
      <c r="F19" s="17" t="n">
        <v>20</v>
      </c>
      <c r="G19" s="18" t="n">
        <f aca="false">IF(AND(ISNUMBER(D19),E19&gt;0),D19/E19,"")</f>
        <v>2.23262773792638</v>
      </c>
      <c r="H19" s="18" t="n">
        <f aca="false">IF(G19="","",TDIST(ABS(G19),F19-1,2))</f>
        <v>0.037803354122745</v>
      </c>
    </row>
    <row r="20" customFormat="false" ht="15" hidden="false" customHeight="false" outlineLevel="0" collapsed="false">
      <c r="A20" s="7" t="s">
        <v>92</v>
      </c>
      <c r="B20" s="7" t="s">
        <v>12</v>
      </c>
      <c r="C20" s="7" t="s">
        <v>3</v>
      </c>
      <c r="D20" s="16" t="n">
        <v>0.0844187118374501</v>
      </c>
      <c r="E20" s="16" t="n">
        <v>0.0775206766602655</v>
      </c>
      <c r="F20" s="17" t="n">
        <v>20</v>
      </c>
      <c r="G20" s="18" t="n">
        <f aca="false">IF(AND(ISNUMBER(D20),E20&gt;0),D20/E20,"")</f>
        <v>1.08898316519366</v>
      </c>
      <c r="H20" s="18" t="n">
        <f aca="false">IF(G20="","",TDIST(ABS(G20),F20-1,2))</f>
        <v>0.28978159982791</v>
      </c>
    </row>
    <row r="21" customFormat="false" ht="15" hidden="false" customHeight="false" outlineLevel="0" collapsed="false">
      <c r="A21" s="7" t="s">
        <v>92</v>
      </c>
      <c r="B21" s="7" t="s">
        <v>12</v>
      </c>
      <c r="C21" s="7" t="s">
        <v>4</v>
      </c>
      <c r="D21" s="16" t="n">
        <v>0.107977752768571</v>
      </c>
      <c r="E21" s="16" t="n">
        <v>0.0819587131816688</v>
      </c>
      <c r="F21" s="17" t="n">
        <v>20</v>
      </c>
      <c r="G21" s="18" t="n">
        <f aca="false">IF(AND(ISNUMBER(D21),E21&gt;0),D21/E21,"")</f>
        <v>1.31746520384268</v>
      </c>
      <c r="H21" s="18" t="n">
        <f aca="false">IF(G21="","",TDIST(ABS(G21),F21-1,2))</f>
        <v>0.203349761313185</v>
      </c>
    </row>
    <row r="22" customFormat="false" ht="15" hidden="false" customHeight="false" outlineLevel="0" collapsed="false">
      <c r="A22" s="7" t="s">
        <v>92</v>
      </c>
      <c r="B22" s="7" t="s">
        <v>12</v>
      </c>
      <c r="C22" s="7" t="s">
        <v>5</v>
      </c>
      <c r="D22" s="16" t="n">
        <v>0.0920153327262638</v>
      </c>
      <c r="E22" s="16" t="n">
        <v>0.124233072074993</v>
      </c>
      <c r="F22" s="17" t="n">
        <v>20</v>
      </c>
      <c r="G22" s="18" t="n">
        <f aca="false">IF(AND(ISNUMBER(D22),E22&gt;0),D22/E22,"")</f>
        <v>0.74066696725264</v>
      </c>
      <c r="H22" s="18" t="n">
        <f aca="false">IF(G22="","",TDIST(ABS(G22),F22-1,2))</f>
        <v>0.467950770379312</v>
      </c>
    </row>
    <row r="23" customFormat="false" ht="15" hidden="false" customHeight="false" outlineLevel="0" collapsed="false">
      <c r="A23" s="7" t="s">
        <v>92</v>
      </c>
      <c r="B23" s="7" t="s">
        <v>13</v>
      </c>
      <c r="C23" s="7" t="s">
        <v>3</v>
      </c>
      <c r="D23" s="16" t="n">
        <v>0.188951515396072</v>
      </c>
      <c r="E23" s="16" t="n">
        <v>0.0785827117924275</v>
      </c>
      <c r="F23" s="17" t="n">
        <v>20</v>
      </c>
      <c r="G23" s="18" t="n">
        <f aca="false">IF(AND(ISNUMBER(D23),E23&gt;0),D23/E23,"")</f>
        <v>2.40449217246636</v>
      </c>
      <c r="H23" s="18" t="n">
        <f aca="false">IF(G23="","",TDIST(ABS(G23),F23-1,2))</f>
        <v>0.026555701631647</v>
      </c>
    </row>
    <row r="24" customFormat="false" ht="15" hidden="false" customHeight="false" outlineLevel="0" collapsed="false">
      <c r="A24" s="7" t="s">
        <v>92</v>
      </c>
      <c r="B24" s="7" t="s">
        <v>13</v>
      </c>
      <c r="C24" s="7" t="s">
        <v>4</v>
      </c>
      <c r="D24" s="16" t="n">
        <v>0.197959459423671</v>
      </c>
      <c r="E24" s="16" t="n">
        <v>0.0843326482560491</v>
      </c>
      <c r="F24" s="17" t="n">
        <v>20</v>
      </c>
      <c r="G24" s="18" t="n">
        <f aca="false">IF(AND(ISNUMBER(D24),E24&gt;0),D24/E24,"")</f>
        <v>2.34736443734852</v>
      </c>
      <c r="H24" s="18" t="n">
        <f aca="false">IF(G24="","",TDIST(ABS(G24),F24-1,2))</f>
        <v>0.029893886625024</v>
      </c>
    </row>
    <row r="25" customFormat="false" ht="15" hidden="false" customHeight="false" outlineLevel="0" collapsed="false">
      <c r="A25" s="7" t="s">
        <v>92</v>
      </c>
      <c r="B25" s="7" t="s">
        <v>13</v>
      </c>
      <c r="C25" s="7" t="s">
        <v>5</v>
      </c>
      <c r="D25" s="16" t="n">
        <v>0.254518007671974</v>
      </c>
      <c r="E25" s="16" t="n">
        <v>0.1046413045327</v>
      </c>
      <c r="F25" s="17" t="n">
        <v>20</v>
      </c>
      <c r="G25" s="18" t="n">
        <f aca="false">IF(AND(ISNUMBER(D25),E25&gt;0),D25/E25,"")</f>
        <v>2.43229008667833</v>
      </c>
      <c r="H25" s="18" t="n">
        <f aca="false">IF(G25="","",TDIST(ABS(G25),F25-1,2))</f>
        <v>0.025060149544549</v>
      </c>
    </row>
    <row r="26" customFormat="false" ht="15" hidden="false" customHeight="false" outlineLevel="0" collapsed="false">
      <c r="A26" s="7" t="s">
        <v>92</v>
      </c>
      <c r="B26" s="7" t="s">
        <v>14</v>
      </c>
      <c r="C26" s="7" t="s">
        <v>3</v>
      </c>
      <c r="D26" s="16" t="n">
        <v>0.123774361571429</v>
      </c>
      <c r="E26" s="16" t="n">
        <v>0.0788021067226538</v>
      </c>
      <c r="F26" s="17" t="n">
        <v>20</v>
      </c>
      <c r="G26" s="18" t="n">
        <f aca="false">IF(AND(ISNUMBER(D26),E26&gt;0),D26/E26,"")</f>
        <v>1.57069863635824</v>
      </c>
      <c r="H26" s="18" t="n">
        <f aca="false">IF(G26="","",TDIST(ABS(G26),F26-1,2))</f>
        <v>0.132757006312178</v>
      </c>
    </row>
    <row r="27" customFormat="false" ht="15" hidden="false" customHeight="false" outlineLevel="0" collapsed="false">
      <c r="A27" s="7" t="s">
        <v>92</v>
      </c>
      <c r="B27" s="7" t="s">
        <v>14</v>
      </c>
      <c r="C27" s="7" t="s">
        <v>4</v>
      </c>
      <c r="D27" s="16" t="n">
        <v>0.140770949239044</v>
      </c>
      <c r="E27" s="16" t="n">
        <v>0.0751453419786175</v>
      </c>
      <c r="F27" s="17" t="n">
        <v>20</v>
      </c>
      <c r="G27" s="18" t="n">
        <f aca="false">IF(AND(ISNUMBER(D27),E27&gt;0),D27/E27,"")</f>
        <v>1.87331570437327</v>
      </c>
      <c r="H27" s="18" t="n">
        <f aca="false">IF(G27="","",TDIST(ABS(G27),F27-1,2))</f>
        <v>0.0764920172219638</v>
      </c>
    </row>
    <row r="28" customFormat="false" ht="15" hidden="false" customHeight="false" outlineLevel="0" collapsed="false">
      <c r="A28" s="7" t="s">
        <v>92</v>
      </c>
      <c r="B28" s="7" t="s">
        <v>14</v>
      </c>
      <c r="C28" s="7" t="s">
        <v>5</v>
      </c>
      <c r="D28" s="16" t="n">
        <v>0.129094045424841</v>
      </c>
      <c r="E28" s="16" t="n">
        <v>0.109233201241153</v>
      </c>
      <c r="F28" s="17" t="n">
        <v>20</v>
      </c>
      <c r="G28" s="18" t="n">
        <f aca="false">IF(AND(ISNUMBER(D28),E28&gt;0),D28/E28,"")</f>
        <v>1.18182058163655</v>
      </c>
      <c r="H28" s="18" t="n">
        <f aca="false">IF(G28="","",TDIST(ABS(G28),F28-1,2))</f>
        <v>0.251857733706007</v>
      </c>
    </row>
    <row r="29" customFormat="false" ht="15" hidden="false" customHeight="false" outlineLevel="0" collapsed="false">
      <c r="A29" s="7" t="s">
        <v>92</v>
      </c>
      <c r="B29" s="7" t="s">
        <v>15</v>
      </c>
      <c r="C29" s="7" t="s">
        <v>4</v>
      </c>
      <c r="D29" s="16" t="n">
        <v>-0.0646664578150603</v>
      </c>
      <c r="E29" s="16" t="n">
        <v>0.066888820174636</v>
      </c>
      <c r="F29" s="17" t="n">
        <v>20</v>
      </c>
      <c r="G29" s="18" t="n">
        <f aca="false">IF(AND(ISNUMBER(D29),E29&gt;0),D29/E29,"")</f>
        <v>-0.966775279429754</v>
      </c>
      <c r="H29" s="18" t="n">
        <f aca="false">IF(G29="","",TDIST(ABS(G29),F29-1,2))</f>
        <v>0.345802100838999</v>
      </c>
    </row>
    <row r="30" customFormat="false" ht="15" hidden="false" customHeight="false" outlineLevel="0" collapsed="false">
      <c r="A30" s="7" t="s">
        <v>92</v>
      </c>
      <c r="B30" s="7" t="s">
        <v>15</v>
      </c>
      <c r="C30" s="7" t="s">
        <v>5</v>
      </c>
      <c r="D30" s="16" t="n">
        <v>-0.0880751427782108</v>
      </c>
      <c r="E30" s="16" t="n">
        <v>0.080788229768321</v>
      </c>
      <c r="F30" s="17" t="n">
        <v>20</v>
      </c>
      <c r="G30" s="18" t="n">
        <f aca="false">IF(AND(ISNUMBER(D30),E30&gt;0),D30/E30,"")</f>
        <v>-1.09019770616075</v>
      </c>
      <c r="H30" s="18" t="n">
        <f aca="false">IF(G30="","",TDIST(ABS(G30),F30-1,2))</f>
        <v>0.289259907987422</v>
      </c>
    </row>
    <row r="31" customFormat="false" ht="15" hidden="false" customHeight="false" outlineLevel="0" collapsed="false">
      <c r="A31" s="7" t="s">
        <v>92</v>
      </c>
      <c r="B31" s="7" t="s">
        <v>16</v>
      </c>
      <c r="C31" s="7" t="s">
        <v>4</v>
      </c>
      <c r="D31" s="16" t="n">
        <v>0.125628247712414</v>
      </c>
      <c r="E31" s="16" t="n">
        <v>0.0746231600407104</v>
      </c>
      <c r="F31" s="17" t="n">
        <v>20</v>
      </c>
      <c r="G31" s="18" t="n">
        <f aca="false">IF(AND(ISNUMBER(D31),E31&gt;0),D31/E31,"")</f>
        <v>1.68350211440896</v>
      </c>
      <c r="H31" s="18" t="n">
        <f aca="false">IF(G31="","",TDIST(ABS(G31),F31-1,2))</f>
        <v>0.108636994101342</v>
      </c>
    </row>
    <row r="32" customFormat="false" ht="15" hidden="false" customHeight="false" outlineLevel="0" collapsed="false">
      <c r="A32" s="7" t="s">
        <v>92</v>
      </c>
      <c r="B32" s="7" t="s">
        <v>16</v>
      </c>
      <c r="C32" s="7" t="s">
        <v>5</v>
      </c>
      <c r="D32" s="16" t="n">
        <v>-0.955530134602489</v>
      </c>
      <c r="E32" s="16" t="n">
        <v>0.971960822803043</v>
      </c>
      <c r="F32" s="17" t="n">
        <v>20</v>
      </c>
      <c r="G32" s="18" t="n">
        <f aca="false">IF(AND(ISNUMBER(D32),E32&gt;0),D32/E32,"")</f>
        <v>-0.983095318437662</v>
      </c>
      <c r="H32" s="18" t="n">
        <f aca="false">IF(G32="","",TDIST(ABS(G32),F32-1,2))</f>
        <v>0.33791444172711</v>
      </c>
    </row>
    <row r="33" customFormat="false" ht="15" hidden="false" customHeight="false" outlineLevel="0" collapsed="false">
      <c r="A33" s="7" t="s">
        <v>92</v>
      </c>
      <c r="B33" s="7" t="s">
        <v>17</v>
      </c>
      <c r="C33" s="7" t="s">
        <v>4</v>
      </c>
      <c r="D33" s="16" t="n">
        <v>-0.00756472268162491</v>
      </c>
      <c r="E33" s="16" t="n">
        <v>0.00655967233148209</v>
      </c>
      <c r="F33" s="17" t="n">
        <v>20</v>
      </c>
      <c r="G33" s="18" t="n">
        <f aca="false">IF(AND(ISNUMBER(D33),E33&gt;0),D33/E33,"")</f>
        <v>-1.15321654792409</v>
      </c>
      <c r="H33" s="18" t="n">
        <f aca="false">IF(G33="","",TDIST(ABS(G33),F33-1,2))</f>
        <v>0.263123470457501</v>
      </c>
    </row>
    <row r="34" customFormat="false" ht="15" hidden="false" customHeight="false" outlineLevel="0" collapsed="false">
      <c r="A34" s="7" t="s">
        <v>92</v>
      </c>
      <c r="B34" s="7" t="s">
        <v>17</v>
      </c>
      <c r="C34" s="7" t="s">
        <v>5</v>
      </c>
      <c r="D34" s="16" t="n">
        <v>-0.0151870561041688</v>
      </c>
      <c r="E34" s="16" t="n">
        <v>0.0166993811095859</v>
      </c>
      <c r="F34" s="17" t="n">
        <v>20</v>
      </c>
      <c r="G34" s="18" t="n">
        <f aca="false">IF(AND(ISNUMBER(D34),E34&gt;0),D34/E34,"")</f>
        <v>-0.909438260286845</v>
      </c>
      <c r="H34" s="18" t="n">
        <f aca="false">IF(G34="","",TDIST(ABS(G34),F34-1,2))</f>
        <v>0.374511517022958</v>
      </c>
    </row>
    <row r="35" customFormat="false" ht="15" hidden="false" customHeight="false" outlineLevel="0" collapsed="false">
      <c r="A35" s="7" t="s">
        <v>92</v>
      </c>
      <c r="B35" s="7" t="s">
        <v>18</v>
      </c>
      <c r="C35" s="7" t="s">
        <v>4</v>
      </c>
      <c r="D35" s="16" t="n">
        <v>0.357819197000108</v>
      </c>
      <c r="E35" s="16" t="n">
        <v>0.304852298021071</v>
      </c>
      <c r="F35" s="17" t="n">
        <v>20</v>
      </c>
      <c r="G35" s="18" t="n">
        <f aca="false">IF(AND(ISNUMBER(D35),E35&gt;0),D35/E35,"")</f>
        <v>1.17374610367994</v>
      </c>
      <c r="H35" s="18" t="n">
        <f aca="false">IF(G35="","",TDIST(ABS(G35),F35-1,2))</f>
        <v>0.255000478510797</v>
      </c>
    </row>
    <row r="36" customFormat="false" ht="15" hidden="false" customHeight="false" outlineLevel="0" collapsed="false">
      <c r="A36" s="7" t="s">
        <v>92</v>
      </c>
      <c r="B36" s="7" t="s">
        <v>19</v>
      </c>
      <c r="C36" s="7" t="s">
        <v>4</v>
      </c>
      <c r="D36" s="16" t="n">
        <v>0.306300742823924</v>
      </c>
      <c r="E36" s="16" t="n">
        <v>0.408509673019283</v>
      </c>
      <c r="F36" s="17" t="n">
        <v>20</v>
      </c>
      <c r="G36" s="18" t="n">
        <f aca="false">IF(AND(ISNUMBER(D36),E36&gt;0),D36/E36,"")</f>
        <v>0.749800465090739</v>
      </c>
      <c r="H36" s="18" t="n">
        <f aca="false">IF(G36="","",TDIST(ABS(G36),F36-1,2))</f>
        <v>0.462558896258717</v>
      </c>
    </row>
    <row r="37" customFormat="false" ht="15" hidden="false" customHeight="false" outlineLevel="0" collapsed="false">
      <c r="A37" s="7" t="s">
        <v>92</v>
      </c>
      <c r="B37" s="7" t="s">
        <v>19</v>
      </c>
      <c r="C37" s="7" t="s">
        <v>5</v>
      </c>
      <c r="D37" s="16" t="n">
        <v>2.58763237524046</v>
      </c>
      <c r="E37" s="16" t="n">
        <v>1.09631631374905</v>
      </c>
      <c r="F37" s="17" t="n">
        <v>20</v>
      </c>
      <c r="G37" s="18" t="n">
        <f aca="false">IF(AND(ISNUMBER(D37),E37&gt;0),D37/E37,"")</f>
        <v>2.36029724522805</v>
      </c>
      <c r="H37" s="18" t="n">
        <f aca="false">IF(G37="","",TDIST(ABS(G37),F37-1,2))</f>
        <v>0.029105699445335</v>
      </c>
    </row>
    <row r="38" customFormat="false" ht="15" hidden="false" customHeight="false" outlineLevel="0" collapsed="false">
      <c r="A38" s="7" t="s">
        <v>92</v>
      </c>
      <c r="B38" s="7" t="s">
        <v>20</v>
      </c>
      <c r="C38" s="7" t="s">
        <v>4</v>
      </c>
      <c r="D38" s="16" t="n">
        <v>0.0380623915784193</v>
      </c>
      <c r="E38" s="16" t="n">
        <v>0.139757340614995</v>
      </c>
      <c r="F38" s="17" t="n">
        <v>20</v>
      </c>
      <c r="G38" s="18" t="n">
        <f aca="false">IF(AND(ISNUMBER(D38),E38&gt;0),D38/E38,"")</f>
        <v>0.272346278277246</v>
      </c>
      <c r="H38" s="18" t="n">
        <f aca="false">IF(G38="","",TDIST(ABS(G38),F38-1,2))</f>
        <v>0.788293479584861</v>
      </c>
    </row>
    <row r="39" customFormat="false" ht="15" hidden="false" customHeight="false" outlineLevel="0" collapsed="false">
      <c r="A39" s="7" t="s">
        <v>92</v>
      </c>
      <c r="B39" s="7" t="s">
        <v>20</v>
      </c>
      <c r="C39" s="7" t="s">
        <v>5</v>
      </c>
      <c r="D39" s="16" t="n">
        <v>-0.113108370442194</v>
      </c>
      <c r="E39" s="16" t="n">
        <v>0.224102743263497</v>
      </c>
      <c r="F39" s="17" t="n">
        <v>20</v>
      </c>
      <c r="G39" s="18" t="n">
        <f aca="false">IF(AND(ISNUMBER(D39),E39&gt;0),D39/E39,"")</f>
        <v>-0.504716581310218</v>
      </c>
      <c r="H39" s="18" t="n">
        <f aca="false">IF(G39="","",TDIST(ABS(G39),F39-1,2))</f>
        <v>0.619561493338779</v>
      </c>
    </row>
    <row r="40" customFormat="false" ht="15" hidden="false" customHeight="false" outlineLevel="0" collapsed="false">
      <c r="A40" s="7" t="s">
        <v>92</v>
      </c>
      <c r="B40" s="7" t="s">
        <v>21</v>
      </c>
      <c r="C40" s="7" t="s">
        <v>4</v>
      </c>
      <c r="D40" s="16" t="n">
        <v>0.130612561147887</v>
      </c>
      <c r="E40" s="16" t="n">
        <v>0.230012992138153</v>
      </c>
      <c r="F40" s="17" t="n">
        <v>20</v>
      </c>
      <c r="G40" s="18" t="n">
        <f aca="false">IF(AND(ISNUMBER(D40),E40&gt;0),D40/E40,"")</f>
        <v>0.567848624261353</v>
      </c>
      <c r="H40" s="18" t="n">
        <f aca="false">IF(G40="","",TDIST(ABS(G40),F40-1,2))</f>
        <v>0.576787263220224</v>
      </c>
    </row>
    <row r="41" customFormat="false" ht="15" hidden="false" customHeight="false" outlineLevel="0" collapsed="false">
      <c r="A41" s="7" t="s">
        <v>92</v>
      </c>
      <c r="B41" s="7" t="s">
        <v>21</v>
      </c>
      <c r="C41" s="7" t="s">
        <v>5</v>
      </c>
      <c r="D41" s="16" t="n">
        <v>0.258074163516148</v>
      </c>
      <c r="E41" s="16" t="n">
        <v>0.296077225561919</v>
      </c>
      <c r="F41" s="17" t="n">
        <v>20</v>
      </c>
      <c r="G41" s="18" t="n">
        <f aca="false">IF(AND(ISNUMBER(D41),E41&gt;0),D41/E41,"")</f>
        <v>0.871644764389945</v>
      </c>
      <c r="H41" s="18" t="n">
        <f aca="false">IF(G41="","",TDIST(ABS(G41),F41-1,2))</f>
        <v>0.394283395815536</v>
      </c>
    </row>
    <row r="42" customFormat="false" ht="15" hidden="false" customHeight="false" outlineLevel="0" collapsed="false">
      <c r="A42" s="7" t="s">
        <v>92</v>
      </c>
      <c r="B42" s="7" t="s">
        <v>22</v>
      </c>
      <c r="C42" s="7" t="s">
        <v>4</v>
      </c>
      <c r="D42" s="16" t="n">
        <v>-0.355146952894958</v>
      </c>
      <c r="E42" s="16" t="n">
        <v>0.224684720461135</v>
      </c>
      <c r="F42" s="17" t="n">
        <v>20</v>
      </c>
      <c r="G42" s="18" t="n">
        <f aca="false">IF(AND(ISNUMBER(D42),E42&gt;0),D42/E42,"")</f>
        <v>-1.58064576961917</v>
      </c>
      <c r="H42" s="18" t="n">
        <f aca="false">IF(G42="","",TDIST(ABS(G42),F42-1,2))</f>
        <v>0.130463143191597</v>
      </c>
    </row>
    <row r="43" customFormat="false" ht="15" hidden="false" customHeight="false" outlineLevel="0" collapsed="false">
      <c r="A43" s="7" t="s">
        <v>92</v>
      </c>
      <c r="B43" s="7" t="s">
        <v>22</v>
      </c>
      <c r="C43" s="7" t="s">
        <v>5</v>
      </c>
      <c r="D43" s="16" t="n">
        <v>0.069288261335465</v>
      </c>
      <c r="E43" s="16" t="n">
        <v>0.286111699935302</v>
      </c>
      <c r="F43" s="17" t="n">
        <v>20</v>
      </c>
      <c r="G43" s="18" t="n">
        <f aca="false">IF(AND(ISNUMBER(D43),E43&gt;0),D43/E43,"")</f>
        <v>0.242172065494466</v>
      </c>
      <c r="H43" s="18" t="n">
        <f aca="false">IF(G43="","",TDIST(ABS(G43),F43-1,2))</f>
        <v>0.811241587199234</v>
      </c>
    </row>
    <row r="44" customFormat="false" ht="15" hidden="false" customHeight="false" outlineLevel="0" collapsed="false">
      <c r="A44" s="7" t="s">
        <v>92</v>
      </c>
      <c r="B44" s="7" t="s">
        <v>23</v>
      </c>
      <c r="C44" s="7" t="s">
        <v>4</v>
      </c>
      <c r="D44" s="16" t="n">
        <v>-0.0743975962882245</v>
      </c>
      <c r="E44" s="16" t="n">
        <v>0.202608691744317</v>
      </c>
      <c r="F44" s="17" t="n">
        <v>20</v>
      </c>
      <c r="G44" s="18" t="n">
        <f aca="false">IF(AND(ISNUMBER(D44),E44&gt;0),D44/E44,"")</f>
        <v>-0.367198443698116</v>
      </c>
      <c r="H44" s="18" t="n">
        <f aca="false">IF(G44="","",TDIST(ABS(G44),F44-1,2))</f>
        <v>0.717529059321489</v>
      </c>
    </row>
    <row r="45" customFormat="false" ht="15" hidden="false" customHeight="false" outlineLevel="0" collapsed="false">
      <c r="A45" s="7" t="s">
        <v>92</v>
      </c>
      <c r="B45" s="7" t="s">
        <v>23</v>
      </c>
      <c r="C45" s="7" t="s">
        <v>5</v>
      </c>
      <c r="D45" s="16" t="n">
        <v>-0.400707239851377</v>
      </c>
      <c r="E45" s="16" t="n">
        <v>1.66710080531759</v>
      </c>
      <c r="F45" s="17" t="n">
        <v>20</v>
      </c>
      <c r="G45" s="18" t="n">
        <f aca="false">IF(AND(ISNUMBER(D45),E45&gt;0),D45/E45,"")</f>
        <v>-0.24036173371954</v>
      </c>
      <c r="H45" s="18" t="n">
        <f aca="false">IF(G45="","",TDIST(ABS(G45),F45-1,2))</f>
        <v>0.812624202629572</v>
      </c>
    </row>
    <row r="46" customFormat="false" ht="15" hidden="false" customHeight="false" outlineLevel="0" collapsed="false">
      <c r="A46" s="7" t="s">
        <v>92</v>
      </c>
      <c r="B46" s="7" t="s">
        <v>24</v>
      </c>
      <c r="C46" s="7" t="s">
        <v>4</v>
      </c>
      <c r="D46" s="16" t="n">
        <v>-0.42340472791217</v>
      </c>
      <c r="E46" s="16" t="n">
        <v>0.528306687058782</v>
      </c>
      <c r="F46" s="17" t="n">
        <v>20</v>
      </c>
      <c r="G46" s="18" t="n">
        <f aca="false">IF(AND(ISNUMBER(D46),E46&gt;0),D46/E46,"")</f>
        <v>-0.801437381512946</v>
      </c>
      <c r="H46" s="18" t="n">
        <f aca="false">IF(G46="","",TDIST(ABS(G46),F46-1,2))</f>
        <v>0.432787666893103</v>
      </c>
    </row>
    <row r="47" customFormat="false" ht="15" hidden="false" customHeight="false" outlineLevel="0" collapsed="false">
      <c r="A47" s="7" t="s">
        <v>92</v>
      </c>
      <c r="B47" s="7" t="s">
        <v>24</v>
      </c>
      <c r="C47" s="7" t="s">
        <v>5</v>
      </c>
      <c r="D47" s="16" t="n">
        <v>1.28813326067528</v>
      </c>
      <c r="E47" s="16" t="n">
        <v>2.10921922151826</v>
      </c>
      <c r="F47" s="17" t="n">
        <v>20</v>
      </c>
      <c r="G47" s="18" t="n">
        <f aca="false">IF(AND(ISNUMBER(D47),E47&gt;0),D47/E47,"")</f>
        <v>0.610715684521432</v>
      </c>
      <c r="H47" s="18" t="n">
        <f aca="false">IF(G47="","",TDIST(ABS(G47),F47-1,2))</f>
        <v>0.548624582692923</v>
      </c>
    </row>
    <row r="48" customFormat="false" ht="15" hidden="false" customHeight="false" outlineLevel="0" collapsed="false">
      <c r="A48" s="7" t="s">
        <v>93</v>
      </c>
      <c r="B48" s="7" t="s">
        <v>94</v>
      </c>
      <c r="C48" s="7" t="s">
        <v>95</v>
      </c>
      <c r="D48" s="16" t="n">
        <v>-0.411346494336523</v>
      </c>
      <c r="E48" s="16" t="n">
        <v>0.413020288154758</v>
      </c>
      <c r="F48" s="17" t="n">
        <v>20</v>
      </c>
      <c r="G48" s="18" t="n">
        <f aca="false">IF(AND(ISNUMBER(D48),E48&gt;0),D48/E48,"")</f>
        <v>-0.995947429542232</v>
      </c>
      <c r="H48" s="18" t="n">
        <f aca="false">IF(G48="","",TDIST(ABS(G48),F48-1,2))</f>
        <v>0.331791383696349</v>
      </c>
    </row>
    <row r="49" customFormat="false" ht="15" hidden="false" customHeight="false" outlineLevel="0" collapsed="false">
      <c r="A49" s="7" t="s">
        <v>93</v>
      </c>
      <c r="B49" s="7" t="s">
        <v>94</v>
      </c>
      <c r="C49" s="7" t="s">
        <v>96</v>
      </c>
      <c r="D49" s="16" t="n">
        <v>0.251180763539887</v>
      </c>
      <c r="E49" s="16" t="n">
        <v>0.353992035385928</v>
      </c>
      <c r="F49" s="17" t="n">
        <v>20</v>
      </c>
      <c r="G49" s="18" t="n">
        <f aca="false">IF(AND(ISNUMBER(D49),E49&gt;0),D49/E49,"")</f>
        <v>0.709566143955883</v>
      </c>
      <c r="H49" s="18" t="n">
        <f aca="false">IF(G49="","",TDIST(ABS(G49),F49-1,2))</f>
        <v>0.486590595878935</v>
      </c>
    </row>
    <row r="50" customFormat="false" ht="15" hidden="false" customHeight="false" outlineLevel="0" collapsed="false">
      <c r="A50" s="7" t="s">
        <v>93</v>
      </c>
      <c r="B50" s="7" t="s">
        <v>94</v>
      </c>
      <c r="C50" s="7" t="s">
        <v>97</v>
      </c>
      <c r="D50" s="16" t="n">
        <v>-0.66252725787641</v>
      </c>
      <c r="E50" s="16" t="n">
        <v>0.560114102971291</v>
      </c>
      <c r="F50" s="17" t="n">
        <v>20</v>
      </c>
      <c r="G50" s="18" t="n">
        <f aca="false">IF(AND(ISNUMBER(D50),E50&gt;0),D50/E50,"")</f>
        <v>-1.18284337845064</v>
      </c>
      <c r="H50" s="18" t="n">
        <f aca="false">IF(G50="","",TDIST(ABS(G50),F50-1,2))</f>
        <v>0.251461731874258</v>
      </c>
    </row>
    <row r="51" customFormat="false" ht="15" hidden="false" customHeight="false" outlineLevel="0" collapsed="false">
      <c r="A51" s="7" t="s">
        <v>93</v>
      </c>
      <c r="B51" s="7" t="s">
        <v>98</v>
      </c>
      <c r="C51" s="7" t="s">
        <v>95</v>
      </c>
      <c r="D51" s="16" t="n">
        <v>-0.854506613384153</v>
      </c>
      <c r="E51" s="16" t="n">
        <v>0.470520740533812</v>
      </c>
      <c r="F51" s="17" t="n">
        <v>20</v>
      </c>
      <c r="G51" s="18" t="n">
        <f aca="false">IF(AND(ISNUMBER(D51),E51&gt;0),D51/E51,"")</f>
        <v>-1.81608702820348</v>
      </c>
      <c r="H51" s="18" t="n">
        <f aca="false">IF(G51="","",TDIST(ABS(G51),F51-1,2))</f>
        <v>0.0851707233298528</v>
      </c>
    </row>
    <row r="52" customFormat="false" ht="15" hidden="false" customHeight="false" outlineLevel="0" collapsed="false">
      <c r="A52" s="7" t="s">
        <v>93</v>
      </c>
      <c r="B52" s="7" t="s">
        <v>98</v>
      </c>
      <c r="C52" s="7" t="s">
        <v>96</v>
      </c>
      <c r="D52" s="16" t="n">
        <v>0.351965638799801</v>
      </c>
      <c r="E52" s="16" t="n">
        <v>0.228326263286681</v>
      </c>
      <c r="F52" s="17" t="n">
        <v>20</v>
      </c>
      <c r="G52" s="18" t="n">
        <f aca="false">IF(AND(ISNUMBER(D52),E52&gt;0),D52/E52,"")</f>
        <v>1.54150308305918</v>
      </c>
      <c r="H52" s="18" t="n">
        <f aca="false">IF(G52="","",TDIST(ABS(G52),F52-1,2))</f>
        <v>0.139685100736631</v>
      </c>
    </row>
    <row r="53" customFormat="false" ht="15" hidden="false" customHeight="false" outlineLevel="0" collapsed="false">
      <c r="A53" s="7" t="s">
        <v>93</v>
      </c>
      <c r="B53" s="7" t="s">
        <v>98</v>
      </c>
      <c r="C53" s="7" t="s">
        <v>97</v>
      </c>
      <c r="D53" s="16" t="n">
        <v>-1.20647225218395</v>
      </c>
      <c r="E53" s="16" t="n">
        <v>0.43705237128603</v>
      </c>
      <c r="F53" s="17" t="n">
        <v>20</v>
      </c>
      <c r="G53" s="18" t="n">
        <f aca="false">IF(AND(ISNUMBER(D53),E53&gt;0),D53/E53,"")</f>
        <v>-2.760475246099</v>
      </c>
      <c r="H53" s="18" t="n">
        <f aca="false">IF(G53="","",TDIST(ABS(G53),F53-1,2))</f>
        <v>0.0124488541825338</v>
      </c>
    </row>
    <row r="54" customFormat="false" ht="15" hidden="false" customHeight="false" outlineLevel="0" collapsed="false">
      <c r="A54" s="7" t="s">
        <v>93</v>
      </c>
      <c r="B54" s="7" t="s">
        <v>99</v>
      </c>
      <c r="C54" s="7" t="s">
        <v>95</v>
      </c>
      <c r="D54" s="16" t="n">
        <v>-0.284606174681658</v>
      </c>
      <c r="E54" s="16" t="n">
        <v>0.510336750552691</v>
      </c>
      <c r="F54" s="17" t="n">
        <v>20</v>
      </c>
      <c r="G54" s="18" t="n">
        <f aca="false">IF(AND(ISNUMBER(D54),E54&gt;0),D54/E54,"")</f>
        <v>-0.557683087438699</v>
      </c>
      <c r="H54" s="18" t="n">
        <f aca="false">IF(G54="","",TDIST(ABS(G54),F54-1,2))</f>
        <v>0.583572465720971</v>
      </c>
    </row>
    <row r="55" customFormat="false" ht="15" hidden="false" customHeight="false" outlineLevel="0" collapsed="false">
      <c r="A55" s="7" t="s">
        <v>93</v>
      </c>
      <c r="B55" s="7" t="s">
        <v>99</v>
      </c>
      <c r="C55" s="7" t="s">
        <v>96</v>
      </c>
      <c r="D55" s="16" t="n">
        <v>0.22257137625822</v>
      </c>
      <c r="E55" s="16" t="n">
        <v>0.34089586869103</v>
      </c>
      <c r="F55" s="17" t="n">
        <v>20</v>
      </c>
      <c r="G55" s="18" t="n">
        <f aca="false">IF(AND(ISNUMBER(D55),E55&gt;0),D55/E55,"")</f>
        <v>0.652901359916293</v>
      </c>
      <c r="H55" s="18" t="n">
        <f aca="false">IF(G55="","",TDIST(ABS(G55),F55-1,2))</f>
        <v>0.521642407505729</v>
      </c>
    </row>
    <row r="56" customFormat="false" ht="15" hidden="false" customHeight="false" outlineLevel="0" collapsed="false">
      <c r="A56" s="7" t="s">
        <v>93</v>
      </c>
      <c r="B56" s="7" t="s">
        <v>99</v>
      </c>
      <c r="C56" s="7" t="s">
        <v>97</v>
      </c>
      <c r="D56" s="16" t="n">
        <v>-0.507177550939878</v>
      </c>
      <c r="E56" s="16" t="n">
        <v>0.599031796466687</v>
      </c>
      <c r="F56" s="17" t="n">
        <v>20</v>
      </c>
      <c r="G56" s="18" t="n">
        <f aca="false">IF(AND(ISNUMBER(D56),E56&gt;0),D56/E56,"")</f>
        <v>-0.846662153714378</v>
      </c>
      <c r="H56" s="18" t="n">
        <f aca="false">IF(G56="","",TDIST(ABS(G56),F56-1,2))</f>
        <v>0.407721463172631</v>
      </c>
    </row>
    <row r="57" customFormat="false" ht="15" hidden="false" customHeight="false" outlineLevel="0" collapsed="false">
      <c r="A57" s="7" t="s">
        <v>93</v>
      </c>
      <c r="B57" s="7" t="s">
        <v>100</v>
      </c>
      <c r="C57" s="7" t="s">
        <v>95</v>
      </c>
      <c r="D57" s="16" t="n">
        <v>0.729694635785612</v>
      </c>
      <c r="E57" s="16" t="n">
        <v>0.238307639123514</v>
      </c>
      <c r="F57" s="17" t="n">
        <v>20</v>
      </c>
      <c r="G57" s="18" t="n">
        <f aca="false">IF(AND(ISNUMBER(D57),E57&gt;0),D57/E57,"")</f>
        <v>3.06198592067548</v>
      </c>
      <c r="H57" s="18" t="n">
        <f aca="false">IF(G57="","",TDIST(ABS(G57),F57-1,2))</f>
        <v>0.00641573596458146</v>
      </c>
    </row>
    <row r="58" customFormat="false" ht="15" hidden="false" customHeight="false" outlineLevel="0" collapsed="false">
      <c r="A58" s="7" t="s">
        <v>93</v>
      </c>
      <c r="B58" s="7" t="s">
        <v>100</v>
      </c>
      <c r="C58" s="7" t="s">
        <v>96</v>
      </c>
      <c r="D58" s="16" t="n">
        <v>-0.123875098256589</v>
      </c>
      <c r="E58" s="16" t="n">
        <v>0.313342554720254</v>
      </c>
      <c r="F58" s="17" t="n">
        <v>20</v>
      </c>
      <c r="G58" s="18" t="n">
        <f aca="false">IF(AND(ISNUMBER(D58),E58&gt;0),D58/E58,"")</f>
        <v>-0.395334423590126</v>
      </c>
      <c r="H58" s="18" t="n">
        <f aca="false">IF(G58="","",TDIST(ABS(G58),F58-1,2))</f>
        <v>0.696999596726397</v>
      </c>
    </row>
    <row r="59" customFormat="false" ht="15" hidden="false" customHeight="false" outlineLevel="0" collapsed="false">
      <c r="A59" s="7" t="s">
        <v>93</v>
      </c>
      <c r="B59" s="7" t="s">
        <v>100</v>
      </c>
      <c r="C59" s="7" t="s">
        <v>97</v>
      </c>
      <c r="D59" s="16" t="n">
        <v>0.853569734042201</v>
      </c>
      <c r="E59" s="16" t="n">
        <v>0.377313571275769</v>
      </c>
      <c r="F59" s="17" t="n">
        <v>20</v>
      </c>
      <c r="G59" s="18" t="n">
        <f aca="false">IF(AND(ISNUMBER(D59),E59&gt;0),D59/E59,"")</f>
        <v>2.26222908218255</v>
      </c>
      <c r="H59" s="18" t="n">
        <f aca="false">IF(G59="","",TDIST(ABS(G59),F59-1,2))</f>
        <v>0.0355963460764119</v>
      </c>
    </row>
    <row r="60" customFormat="false" ht="15" hidden="false" customHeight="false" outlineLevel="0" collapsed="false">
      <c r="A60" s="7" t="s">
        <v>93</v>
      </c>
      <c r="B60" s="7" t="s">
        <v>101</v>
      </c>
      <c r="C60" s="7" t="s">
        <v>95</v>
      </c>
      <c r="D60" s="16" t="n">
        <v>0.694413885771634</v>
      </c>
      <c r="E60" s="16" t="n">
        <v>0.285371866845863</v>
      </c>
      <c r="F60" s="17" t="n">
        <v>20</v>
      </c>
      <c r="G60" s="18" t="n">
        <f aca="false">IF(AND(ISNUMBER(D60),E60&gt;0),D60/E60,"")</f>
        <v>2.43336490540151</v>
      </c>
      <c r="H60" s="18" t="n">
        <f aca="false">IF(G60="","",TDIST(ABS(G60),F60-1,2))</f>
        <v>0.0250039342413746</v>
      </c>
    </row>
    <row r="61" customFormat="false" ht="15" hidden="false" customHeight="false" outlineLevel="0" collapsed="false">
      <c r="A61" s="7" t="s">
        <v>93</v>
      </c>
      <c r="B61" s="7" t="s">
        <v>101</v>
      </c>
      <c r="C61" s="7" t="s">
        <v>96</v>
      </c>
      <c r="D61" s="16" t="n">
        <v>-0.51716949804304</v>
      </c>
      <c r="E61" s="16" t="n">
        <v>0.448162353999728</v>
      </c>
      <c r="F61" s="17" t="n">
        <v>20</v>
      </c>
      <c r="G61" s="18" t="n">
        <f aca="false">IF(AND(ISNUMBER(D61),E61&gt;0),D61/E61,"")</f>
        <v>-1.15397800245255</v>
      </c>
      <c r="H61" s="18" t="n">
        <f aca="false">IF(G61="","",TDIST(ABS(G61),F61-1,2))</f>
        <v>0.262818774674508</v>
      </c>
    </row>
    <row r="62" customFormat="false" ht="15" hidden="false" customHeight="false" outlineLevel="0" collapsed="false">
      <c r="A62" s="7" t="s">
        <v>93</v>
      </c>
      <c r="B62" s="7" t="s">
        <v>101</v>
      </c>
      <c r="C62" s="7" t="s">
        <v>97</v>
      </c>
      <c r="D62" s="16" t="n">
        <v>1.21158338381467</v>
      </c>
      <c r="E62" s="16" t="n">
        <v>0.407245381085253</v>
      </c>
      <c r="F62" s="17" t="n">
        <v>20</v>
      </c>
      <c r="G62" s="18" t="n">
        <f aca="false">IF(AND(ISNUMBER(D62),E62&gt;0),D62/E62,"")</f>
        <v>2.97506967564855</v>
      </c>
      <c r="H62" s="18" t="n">
        <f aca="false">IF(G62="","",TDIST(ABS(G62),F62-1,2))</f>
        <v>0.00777912406324421</v>
      </c>
    </row>
    <row r="63" customFormat="false" ht="15" hidden="false" customHeight="false" outlineLevel="0" collapsed="false">
      <c r="A63" s="7" t="s">
        <v>93</v>
      </c>
      <c r="B63" s="7" t="s">
        <v>102</v>
      </c>
      <c r="C63" s="7" t="s">
        <v>95</v>
      </c>
      <c r="D63" s="16" t="n">
        <v>-0.435245158426173</v>
      </c>
      <c r="E63" s="16" t="n">
        <v>1.00581923684469</v>
      </c>
      <c r="F63" s="17" t="n">
        <v>20</v>
      </c>
      <c r="G63" s="18" t="n">
        <f aca="false">IF(AND(ISNUMBER(D63),E63&gt;0),D63/E63,"")</f>
        <v>-0.432727017422695</v>
      </c>
      <c r="H63" s="18" t="n">
        <f aca="false">IF(G63="","",TDIST(ABS(G63),F63-1,2))</f>
        <v>0.670085144381172</v>
      </c>
    </row>
    <row r="64" customFormat="false" ht="15" hidden="false" customHeight="false" outlineLevel="0" collapsed="false">
      <c r="A64" s="7" t="s">
        <v>93</v>
      </c>
      <c r="B64" s="7" t="s">
        <v>102</v>
      </c>
      <c r="C64" s="7" t="s">
        <v>96</v>
      </c>
      <c r="D64" s="16" t="n">
        <v>0.0585827524644092</v>
      </c>
      <c r="E64" s="16" t="n">
        <v>0.305350689396644</v>
      </c>
      <c r="F64" s="17" t="n">
        <v>20</v>
      </c>
      <c r="G64" s="18" t="n">
        <f aca="false">IF(AND(ISNUMBER(D64),E64&gt;0),D64/E64,"")</f>
        <v>0.191854004260365</v>
      </c>
      <c r="H64" s="18" t="n">
        <f aca="false">IF(G64="","",TDIST(ABS(G64),F64-1,2))</f>
        <v>0.849892104286595</v>
      </c>
    </row>
    <row r="65" customFormat="false" ht="15" hidden="false" customHeight="false" outlineLevel="0" collapsed="false">
      <c r="A65" s="7" t="s">
        <v>93</v>
      </c>
      <c r="B65" s="7" t="s">
        <v>102</v>
      </c>
      <c r="C65" s="7" t="s">
        <v>97</v>
      </c>
      <c r="D65" s="16" t="n">
        <v>-0.493827910890582</v>
      </c>
      <c r="E65" s="16" t="n">
        <v>1.03691855851522</v>
      </c>
      <c r="F65" s="17" t="n">
        <v>20</v>
      </c>
      <c r="G65" s="18" t="n">
        <f aca="false">IF(AND(ISNUMBER(D65),E65&gt;0),D65/E65,"")</f>
        <v>-0.476245609489043</v>
      </c>
      <c r="H65" s="18" t="n">
        <f aca="false">IF(G65="","",TDIST(ABS(G65),F65-1,2))</f>
        <v>0.639330088830613</v>
      </c>
    </row>
    <row r="66" customFormat="false" ht="15" hidden="false" customHeight="false" outlineLevel="0" collapsed="false">
      <c r="A66" s="7" t="s">
        <v>103</v>
      </c>
      <c r="B66" s="7" t="s">
        <v>94</v>
      </c>
      <c r="C66" s="7" t="s">
        <v>95</v>
      </c>
      <c r="D66" s="16" t="n">
        <v>-0.660216090241381</v>
      </c>
      <c r="E66" s="16" t="n">
        <v>0.446588331435917</v>
      </c>
      <c r="F66" s="17" t="n">
        <v>20</v>
      </c>
      <c r="G66" s="18" t="n">
        <f aca="false">IF(AND(ISNUMBER(D66),E66&gt;0),D66/E66,"")</f>
        <v>-1.47835499445</v>
      </c>
      <c r="H66" s="18" t="n">
        <f aca="false">IF(G66="","",TDIST(ABS(G66),F66-1,2))</f>
        <v>0.155699977643089</v>
      </c>
    </row>
    <row r="67" customFormat="false" ht="15" hidden="false" customHeight="false" outlineLevel="0" collapsed="false">
      <c r="A67" s="7" t="s">
        <v>103</v>
      </c>
      <c r="B67" s="7" t="s">
        <v>94</v>
      </c>
      <c r="C67" s="7" t="s">
        <v>96</v>
      </c>
      <c r="D67" s="16" t="n">
        <v>0.110981238410169</v>
      </c>
      <c r="E67" s="16" t="n">
        <v>0.271751204891358</v>
      </c>
      <c r="F67" s="17" t="n">
        <v>20</v>
      </c>
      <c r="G67" s="18" t="n">
        <f aca="false">IF(AND(ISNUMBER(D67),E67&gt;0),D67/E67,"")</f>
        <v>0.408392810823184</v>
      </c>
      <c r="H67" s="18" t="n">
        <f aca="false">IF(G67="","",TDIST(ABS(G67),F67-1,2))</f>
        <v>0.687551214354121</v>
      </c>
    </row>
    <row r="68" customFormat="false" ht="15" hidden="false" customHeight="false" outlineLevel="0" collapsed="false">
      <c r="A68" s="7" t="s">
        <v>103</v>
      </c>
      <c r="B68" s="7" t="s">
        <v>94</v>
      </c>
      <c r="C68" s="7" t="s">
        <v>97</v>
      </c>
      <c r="D68" s="16" t="n">
        <v>-0.77119732865155</v>
      </c>
      <c r="E68" s="16" t="n">
        <v>0.527047293255757</v>
      </c>
      <c r="F68" s="17" t="n">
        <v>20</v>
      </c>
      <c r="G68" s="18" t="n">
        <f aca="false">IF(AND(ISNUMBER(D68),E68&gt;0),D68/E68,"")</f>
        <v>-1.46324122810231</v>
      </c>
      <c r="H68" s="18" t="n">
        <f aca="false">IF(G68="","",TDIST(ABS(G68),F68-1,2))</f>
        <v>0.159748708029826</v>
      </c>
    </row>
    <row r="69" customFormat="false" ht="15" hidden="false" customHeight="false" outlineLevel="0" collapsed="false">
      <c r="A69" s="7" t="s">
        <v>103</v>
      </c>
      <c r="B69" s="7" t="s">
        <v>98</v>
      </c>
      <c r="C69" s="7" t="s">
        <v>95</v>
      </c>
      <c r="D69" s="16" t="n">
        <v>-0.392936077667139</v>
      </c>
      <c r="E69" s="16" t="n">
        <v>0.327661179495732</v>
      </c>
      <c r="F69" s="17" t="n">
        <v>20</v>
      </c>
      <c r="G69" s="18" t="n">
        <f aca="false">IF(AND(ISNUMBER(D69),E69&gt;0),D69/E69,"")</f>
        <v>-1.19921462247027</v>
      </c>
      <c r="H69" s="18" t="n">
        <f aca="false">IF(G69="","",TDIST(ABS(G69),F69-1,2))</f>
        <v>0.245186937545781</v>
      </c>
    </row>
    <row r="70" customFormat="false" ht="15" hidden="false" customHeight="false" outlineLevel="0" collapsed="false">
      <c r="A70" s="7" t="s">
        <v>103</v>
      </c>
      <c r="B70" s="7" t="s">
        <v>98</v>
      </c>
      <c r="C70" s="7" t="s">
        <v>96</v>
      </c>
      <c r="D70" s="16" t="n">
        <v>0.235985896406587</v>
      </c>
      <c r="E70" s="16" t="n">
        <v>0.236068153562903</v>
      </c>
      <c r="F70" s="17" t="n">
        <v>20</v>
      </c>
      <c r="G70" s="18" t="n">
        <f aca="false">IF(AND(ISNUMBER(D70),E70&gt;0),D70/E70,"")</f>
        <v>0.999651553354085</v>
      </c>
      <c r="H70" s="18" t="n">
        <f aca="false">IF(G70="","",TDIST(ABS(G70),F70-1,2))</f>
        <v>0.330041115572523</v>
      </c>
    </row>
    <row r="71" customFormat="false" ht="15" hidden="false" customHeight="false" outlineLevel="0" collapsed="false">
      <c r="A71" s="7" t="s">
        <v>103</v>
      </c>
      <c r="B71" s="7" t="s">
        <v>98</v>
      </c>
      <c r="C71" s="7" t="s">
        <v>97</v>
      </c>
      <c r="D71" s="16" t="n">
        <v>-0.628921974073726</v>
      </c>
      <c r="E71" s="16" t="n">
        <v>0.487816736612101</v>
      </c>
      <c r="F71" s="17" t="n">
        <v>20</v>
      </c>
      <c r="G71" s="18" t="n">
        <f aca="false">IF(AND(ISNUMBER(D71),E71&gt;0),D71/E71,"")</f>
        <v>-1.28925870490136</v>
      </c>
      <c r="H71" s="18" t="n">
        <f aca="false">IF(G71="","",TDIST(ABS(G71),F71-1,2))</f>
        <v>0.212783481633058</v>
      </c>
    </row>
    <row r="72" customFormat="false" ht="15" hidden="false" customHeight="false" outlineLevel="0" collapsed="false">
      <c r="A72" s="7" t="s">
        <v>103</v>
      </c>
      <c r="B72" s="7" t="s">
        <v>99</v>
      </c>
      <c r="C72" s="7" t="s">
        <v>95</v>
      </c>
      <c r="D72" s="16" t="n">
        <v>-0.756388631013841</v>
      </c>
      <c r="E72" s="16" t="n">
        <v>0.509798485704136</v>
      </c>
      <c r="F72" s="17" t="n">
        <v>20</v>
      </c>
      <c r="G72" s="18" t="n">
        <f aca="false">IF(AND(ISNUMBER(D72),E72&gt;0),D72/E72,"")</f>
        <v>-1.48370121180159</v>
      </c>
      <c r="H72" s="18" t="n">
        <f aca="false">IF(G72="","",TDIST(ABS(G72),F72-1,2))</f>
        <v>0.154288103067227</v>
      </c>
    </row>
    <row r="73" customFormat="false" ht="15" hidden="false" customHeight="false" outlineLevel="0" collapsed="false">
      <c r="A73" s="7" t="s">
        <v>103</v>
      </c>
      <c r="B73" s="7" t="s">
        <v>99</v>
      </c>
      <c r="C73" s="7" t="s">
        <v>96</v>
      </c>
      <c r="D73" s="16" t="n">
        <v>0.162385549450626</v>
      </c>
      <c r="E73" s="16" t="n">
        <v>0.323830218731769</v>
      </c>
      <c r="F73" s="17" t="n">
        <v>20</v>
      </c>
      <c r="G73" s="18" t="n">
        <f aca="false">IF(AND(ISNUMBER(D73),E73&gt;0),D73/E73,"")</f>
        <v>0.501452736827908</v>
      </c>
      <c r="H73" s="18" t="n">
        <f aca="false">IF(G73="","",TDIST(ABS(G73),F73-1,2))</f>
        <v>0.621813077903861</v>
      </c>
    </row>
    <row r="74" customFormat="false" ht="15" hidden="false" customHeight="false" outlineLevel="0" collapsed="false">
      <c r="A74" s="7" t="s">
        <v>103</v>
      </c>
      <c r="B74" s="7" t="s">
        <v>99</v>
      </c>
      <c r="C74" s="7" t="s">
        <v>97</v>
      </c>
      <c r="D74" s="16" t="n">
        <v>-0.918774180464467</v>
      </c>
      <c r="E74" s="16" t="n">
        <v>0.674538083208771</v>
      </c>
      <c r="F74" s="17" t="n">
        <v>20</v>
      </c>
      <c r="G74" s="18" t="n">
        <f aca="false">IF(AND(ISNUMBER(D74),E74&gt;0),D74/E74,"")</f>
        <v>-1.36207903354228</v>
      </c>
      <c r="H74" s="18" t="n">
        <f aca="false">IF(G74="","",TDIST(ABS(G74),F74-1,2))</f>
        <v>0.189104253921701</v>
      </c>
    </row>
    <row r="75" customFormat="false" ht="15" hidden="false" customHeight="false" outlineLevel="0" collapsed="false">
      <c r="A75" s="7" t="s">
        <v>103</v>
      </c>
      <c r="B75" s="7" t="s">
        <v>100</v>
      </c>
      <c r="C75" s="7" t="s">
        <v>95</v>
      </c>
      <c r="D75" s="16" t="n">
        <v>0.416795216707223</v>
      </c>
      <c r="E75" s="16" t="n">
        <v>0.315033624711609</v>
      </c>
      <c r="F75" s="17" t="n">
        <v>20</v>
      </c>
      <c r="G75" s="18" t="n">
        <f aca="false">IF(AND(ISNUMBER(D75),E75&gt;0),D75/E75,"")</f>
        <v>1.32301819238746</v>
      </c>
      <c r="H75" s="18" t="n">
        <f aca="false">IF(G75="","",TDIST(ABS(G75),F75-1,2))</f>
        <v>0.201531870166884</v>
      </c>
    </row>
    <row r="76" customFormat="false" ht="15" hidden="false" customHeight="false" outlineLevel="0" collapsed="false">
      <c r="A76" s="7" t="s">
        <v>103</v>
      </c>
      <c r="B76" s="7" t="s">
        <v>100</v>
      </c>
      <c r="C76" s="7" t="s">
        <v>96</v>
      </c>
      <c r="D76" s="16" t="n">
        <v>-0.184941096286945</v>
      </c>
      <c r="E76" s="16" t="n">
        <v>0.279015843612197</v>
      </c>
      <c r="F76" s="17" t="n">
        <v>20</v>
      </c>
      <c r="G76" s="18" t="n">
        <f aca="false">IF(AND(ISNUMBER(D76),E76&gt;0),D76/E76,"")</f>
        <v>-0.662833672427554</v>
      </c>
      <c r="H76" s="18" t="n">
        <f aca="false">IF(G76="","",TDIST(ABS(G76),F76-1,2))</f>
        <v>0.51539841695481</v>
      </c>
    </row>
    <row r="77" customFormat="false" ht="15" hidden="false" customHeight="false" outlineLevel="0" collapsed="false">
      <c r="A77" s="7" t="s">
        <v>103</v>
      </c>
      <c r="B77" s="7" t="s">
        <v>100</v>
      </c>
      <c r="C77" s="7" t="s">
        <v>97</v>
      </c>
      <c r="D77" s="16" t="n">
        <v>0.601736312994167</v>
      </c>
      <c r="E77" s="16" t="n">
        <v>0.440120461930677</v>
      </c>
      <c r="F77" s="17" t="n">
        <v>20</v>
      </c>
      <c r="G77" s="18" t="n">
        <f aca="false">IF(AND(ISNUMBER(D77),E77&gt;0),D77/E77,"")</f>
        <v>1.3672082192101</v>
      </c>
      <c r="H77" s="18" t="n">
        <f aca="false">IF(G77="","",TDIST(ABS(G77),F77-1,2))</f>
        <v>0.18751862615726</v>
      </c>
    </row>
    <row r="78" customFormat="false" ht="15" hidden="false" customHeight="false" outlineLevel="0" collapsed="false">
      <c r="A78" s="7" t="s">
        <v>103</v>
      </c>
      <c r="B78" s="7" t="s">
        <v>101</v>
      </c>
      <c r="C78" s="7" t="s">
        <v>95</v>
      </c>
      <c r="D78" s="16" t="n">
        <v>0.438624524807306</v>
      </c>
      <c r="E78" s="16" t="n">
        <v>0.224555700582456</v>
      </c>
      <c r="F78" s="17" t="n">
        <v>20</v>
      </c>
      <c r="G78" s="18" t="n">
        <f aca="false">IF(AND(ISNUMBER(D78),E78&gt;0),D78/E78,"")</f>
        <v>1.95329944271998</v>
      </c>
      <c r="H78" s="18" t="n">
        <f aca="false">IF(G78="","",TDIST(ABS(G78),F78-1,2))</f>
        <v>0.0656705827973127</v>
      </c>
    </row>
    <row r="79" customFormat="false" ht="15" hidden="false" customHeight="false" outlineLevel="0" collapsed="false">
      <c r="A79" s="7" t="s">
        <v>103</v>
      </c>
      <c r="B79" s="7" t="s">
        <v>101</v>
      </c>
      <c r="C79" s="7" t="s">
        <v>96</v>
      </c>
      <c r="D79" s="16" t="n">
        <v>-0.555512769649701</v>
      </c>
      <c r="E79" s="16" t="n">
        <v>0.435470744695934</v>
      </c>
      <c r="F79" s="17" t="n">
        <v>20</v>
      </c>
      <c r="G79" s="18" t="n">
        <f aca="false">IF(AND(ISNUMBER(D79),E79&gt;0),D79/E79,"")</f>
        <v>-1.27566036620344</v>
      </c>
      <c r="H79" s="18" t="n">
        <f aca="false">IF(G79="","",TDIST(ABS(G79),F79-1,2))</f>
        <v>0.217451862850824</v>
      </c>
    </row>
    <row r="80" customFormat="false" ht="15" hidden="false" customHeight="false" outlineLevel="0" collapsed="false">
      <c r="A80" s="7" t="s">
        <v>103</v>
      </c>
      <c r="B80" s="7" t="s">
        <v>101</v>
      </c>
      <c r="C80" s="7" t="s">
        <v>97</v>
      </c>
      <c r="D80" s="16" t="n">
        <v>0.994137294457006</v>
      </c>
      <c r="E80" s="16" t="n">
        <v>0.338519160792117</v>
      </c>
      <c r="F80" s="17" t="n">
        <v>20</v>
      </c>
      <c r="G80" s="18" t="n">
        <f aca="false">IF(AND(ISNUMBER(D80),E80&gt;0),D80/E80,"")</f>
        <v>2.93672385377175</v>
      </c>
      <c r="H80" s="18" t="n">
        <f aca="false">IF(G80="","",TDIST(ABS(G80),F80-1,2))</f>
        <v>0.00846611380627984</v>
      </c>
    </row>
    <row r="81" customFormat="false" ht="15" hidden="false" customHeight="false" outlineLevel="0" collapsed="false">
      <c r="A81" s="7" t="s">
        <v>103</v>
      </c>
      <c r="B81" s="7" t="s">
        <v>102</v>
      </c>
      <c r="C81" s="7" t="s">
        <v>95</v>
      </c>
      <c r="D81" s="16" t="n">
        <v>-0.243208042205475</v>
      </c>
      <c r="E81" s="16" t="n">
        <v>0.492943183061497</v>
      </c>
      <c r="F81" s="17" t="n">
        <v>20</v>
      </c>
      <c r="G81" s="18" t="n">
        <f aca="false">IF(AND(ISNUMBER(D81),E81&gt;0),D81/E81,"")</f>
        <v>-0.493379461492896</v>
      </c>
      <c r="H81" s="18" t="n">
        <f aca="false">IF(G81="","",TDIST(ABS(G81),F81-1,2))</f>
        <v>0.627398902915174</v>
      </c>
    </row>
    <row r="82" customFormat="false" ht="15" hidden="false" customHeight="false" outlineLevel="0" collapsed="false">
      <c r="A82" s="7" t="s">
        <v>103</v>
      </c>
      <c r="B82" s="7" t="s">
        <v>102</v>
      </c>
      <c r="C82" s="7" t="s">
        <v>96</v>
      </c>
      <c r="D82" s="16" t="n">
        <v>-0.0910212506107438</v>
      </c>
      <c r="E82" s="16" t="n">
        <v>0.284441818521346</v>
      </c>
      <c r="F82" s="17" t="n">
        <v>20</v>
      </c>
      <c r="G82" s="18" t="n">
        <f aca="false">IF(AND(ISNUMBER(D82),E82&gt;0),D82/E82,"")</f>
        <v>-0.31999953833762</v>
      </c>
      <c r="H82" s="18" t="n">
        <f aca="false">IF(G82="","",TDIST(ABS(G82),F82-1,2))</f>
        <v>0.752460904100333</v>
      </c>
    </row>
    <row r="83" customFormat="false" ht="15" hidden="false" customHeight="false" outlineLevel="0" collapsed="false">
      <c r="A83" s="7" t="s">
        <v>103</v>
      </c>
      <c r="B83" s="7" t="s">
        <v>102</v>
      </c>
      <c r="C83" s="7" t="s">
        <v>97</v>
      </c>
      <c r="D83" s="16" t="n">
        <v>-0.152186791594732</v>
      </c>
      <c r="E83" s="16" t="n">
        <v>0.557084633706527</v>
      </c>
      <c r="F83" s="17" t="n">
        <v>20</v>
      </c>
      <c r="G83" s="18" t="n">
        <f aca="false">IF(AND(ISNUMBER(D83),E83&gt;0),D83/E83,"")</f>
        <v>-0.273184328532214</v>
      </c>
      <c r="H83" s="18" t="n">
        <f aca="false">IF(G83="","",TDIST(ABS(G83),F83-1,2))</f>
        <v>0.787658842736234</v>
      </c>
    </row>
    <row r="84" customFormat="false" ht="15" hidden="false" customHeight="false" outlineLevel="0" collapsed="false">
      <c r="A84" s="7" t="s">
        <v>104</v>
      </c>
      <c r="B84" s="7" t="s">
        <v>94</v>
      </c>
      <c r="C84" s="7" t="s">
        <v>2</v>
      </c>
      <c r="D84" s="16" t="n">
        <v>-0.602315361862713</v>
      </c>
      <c r="E84" s="16" t="n">
        <v>0.702239377236334</v>
      </c>
      <c r="F84" s="17" t="n">
        <v>20</v>
      </c>
      <c r="G84" s="18" t="n">
        <f aca="false">IF(AND(ISNUMBER(D84),E84&gt;0),D84/E84,"")</f>
        <v>-0.85770661883577</v>
      </c>
      <c r="H84" s="18" t="n">
        <f aca="false">IF(G84="","",TDIST(ABS(G84),F84-1,2))</f>
        <v>0.401744642457619</v>
      </c>
    </row>
    <row r="85" customFormat="false" ht="15" hidden="false" customHeight="false" outlineLevel="0" collapsed="false">
      <c r="A85" s="7" t="s">
        <v>104</v>
      </c>
      <c r="B85" s="7" t="s">
        <v>94</v>
      </c>
      <c r="C85" s="7" t="s">
        <v>3</v>
      </c>
      <c r="D85" s="16" t="n">
        <v>-0.539438781218372</v>
      </c>
      <c r="E85" s="16" t="n">
        <v>0.828422791941912</v>
      </c>
      <c r="F85" s="17" t="n">
        <v>20</v>
      </c>
      <c r="G85" s="18" t="n">
        <f aca="false">IF(AND(ISNUMBER(D85),E85&gt;0),D85/E85,"")</f>
        <v>-0.651163616531927</v>
      </c>
      <c r="H85" s="18" t="n">
        <f aca="false">IF(G85="","",TDIST(ABS(G85),F85-1,2))</f>
        <v>0.522739155669064</v>
      </c>
    </row>
    <row r="86" customFormat="false" ht="15" hidden="false" customHeight="false" outlineLevel="0" collapsed="false">
      <c r="A86" s="7" t="s">
        <v>104</v>
      </c>
      <c r="B86" s="7" t="s">
        <v>94</v>
      </c>
      <c r="C86" s="7" t="s">
        <v>4</v>
      </c>
      <c r="D86" s="16" t="n">
        <v>0.706552594114936</v>
      </c>
      <c r="E86" s="16" t="n">
        <v>0.594570617573098</v>
      </c>
      <c r="F86" s="17" t="n">
        <v>20</v>
      </c>
      <c r="G86" s="18" t="n">
        <f aca="false">IF(AND(ISNUMBER(D86),E86&gt;0),D86/E86,"")</f>
        <v>1.18834091902981</v>
      </c>
      <c r="H86" s="18" t="n">
        <f aca="false">IF(G86="","",TDIST(ABS(G86),F86-1,2))</f>
        <v>0.249341256611144</v>
      </c>
    </row>
    <row r="87" customFormat="false" ht="15" hidden="false" customHeight="false" outlineLevel="0" collapsed="false">
      <c r="A87" s="7" t="s">
        <v>104</v>
      </c>
      <c r="B87" s="7" t="s">
        <v>98</v>
      </c>
      <c r="C87" s="7" t="s">
        <v>2</v>
      </c>
      <c r="D87" s="16" t="n">
        <v>-0.601380145448478</v>
      </c>
      <c r="E87" s="16" t="n">
        <v>0.498678897737305</v>
      </c>
      <c r="F87" s="17" t="n">
        <v>20</v>
      </c>
      <c r="G87" s="18" t="n">
        <f aca="false">IF(AND(ISNUMBER(D87),E87&gt;0),D87/E87,"")</f>
        <v>-1.20594664858924</v>
      </c>
      <c r="H87" s="18" t="n">
        <f aca="false">IF(G87="","",TDIST(ABS(G87),F87-1,2))</f>
        <v>0.242641371015716</v>
      </c>
    </row>
    <row r="88" customFormat="false" ht="15" hidden="false" customHeight="false" outlineLevel="0" collapsed="false">
      <c r="A88" s="7" t="s">
        <v>104</v>
      </c>
      <c r="B88" s="7" t="s">
        <v>98</v>
      </c>
      <c r="C88" s="7" t="s">
        <v>3</v>
      </c>
      <c r="D88" s="16" t="n">
        <v>-0.463886957982657</v>
      </c>
      <c r="E88" s="16" t="n">
        <v>0.632495327620326</v>
      </c>
      <c r="F88" s="17" t="n">
        <v>20</v>
      </c>
      <c r="G88" s="18" t="n">
        <f aca="false">IF(AND(ISNUMBER(D88),E88&gt;0),D88/E88,"")</f>
        <v>-0.733423533305717</v>
      </c>
      <c r="H88" s="18" t="n">
        <f aca="false">IF(G88="","",TDIST(ABS(G88),F88-1,2))</f>
        <v>0.472253496742865</v>
      </c>
    </row>
    <row r="89" customFormat="false" ht="15" hidden="false" customHeight="false" outlineLevel="0" collapsed="false">
      <c r="A89" s="7" t="s">
        <v>104</v>
      </c>
      <c r="B89" s="7" t="s">
        <v>98</v>
      </c>
      <c r="C89" s="7" t="s">
        <v>4</v>
      </c>
      <c r="D89" s="16" t="n">
        <v>-0.370804314834396</v>
      </c>
      <c r="E89" s="16" t="n">
        <v>0.745725917449595</v>
      </c>
      <c r="F89" s="17" t="n">
        <v>20</v>
      </c>
      <c r="G89" s="18" t="n">
        <f aca="false">IF(AND(ISNUMBER(D89),E89&gt;0),D89/E89,"")</f>
        <v>-0.497239409490497</v>
      </c>
      <c r="H89" s="18" t="n">
        <f aca="false">IF(G89="","",TDIST(ABS(G89),F89-1,2))</f>
        <v>0.624725332641229</v>
      </c>
    </row>
    <row r="90" customFormat="false" ht="15" hidden="false" customHeight="false" outlineLevel="0" collapsed="false">
      <c r="A90" s="7" t="s">
        <v>104</v>
      </c>
      <c r="B90" s="7" t="s">
        <v>105</v>
      </c>
      <c r="C90" s="7" t="s">
        <v>2</v>
      </c>
      <c r="D90" s="16" t="n">
        <v>-0.647050493289744</v>
      </c>
      <c r="E90" s="16" t="n">
        <v>0.46552396752826</v>
      </c>
      <c r="F90" s="17" t="n">
        <v>20</v>
      </c>
      <c r="G90" s="18" t="n">
        <f aca="false">IF(AND(ISNUMBER(D90),E90&gt;0),D90/E90,"")</f>
        <v>-1.38994023599969</v>
      </c>
      <c r="H90" s="18" t="n">
        <f aca="false">IF(G90="","",TDIST(ABS(G90),F90-1,2))</f>
        <v>0.180618590440801</v>
      </c>
    </row>
    <row r="91" customFormat="false" ht="15" hidden="false" customHeight="false" outlineLevel="0" collapsed="false">
      <c r="A91" s="7" t="s">
        <v>104</v>
      </c>
      <c r="B91" s="7" t="s">
        <v>105</v>
      </c>
      <c r="C91" s="7" t="s">
        <v>3</v>
      </c>
      <c r="D91" s="16" t="n">
        <v>-0.235299195463722</v>
      </c>
      <c r="E91" s="16" t="n">
        <v>0.00943408856846176</v>
      </c>
      <c r="F91" s="17" t="n">
        <v>20</v>
      </c>
      <c r="G91" s="18" t="n">
        <f aca="false">IF(AND(ISNUMBER(D91),E91&gt;0),D91/E91,"")</f>
        <v>-24.9413807975398</v>
      </c>
      <c r="H91" s="18" t="n">
        <f aca="false">IF(G91="","",TDIST(ABS(G91),F91-1,2))</f>
        <v>5.56283806659282E-016</v>
      </c>
    </row>
    <row r="92" customFormat="false" ht="15" hidden="false" customHeight="false" outlineLevel="0" collapsed="false">
      <c r="A92" s="7" t="s">
        <v>104</v>
      </c>
      <c r="B92" s="7" t="s">
        <v>105</v>
      </c>
      <c r="C92" s="7" t="s">
        <v>4</v>
      </c>
      <c r="D92" s="16" t="n">
        <v>-0.628072274865192</v>
      </c>
      <c r="E92" s="16" t="n">
        <v>0.393838127273275</v>
      </c>
      <c r="F92" s="17" t="n">
        <v>20</v>
      </c>
      <c r="G92" s="18" t="n">
        <f aca="false">IF(AND(ISNUMBER(D92),E92&gt;0),D92/E92,"")</f>
        <v>-1.59474726130156</v>
      </c>
      <c r="H92" s="18" t="n">
        <f aca="false">IF(G92="","",TDIST(ABS(G92),F92-1,2))</f>
        <v>0.127268263533658</v>
      </c>
    </row>
    <row r="93" customFormat="false" ht="15" hidden="false" customHeight="false" outlineLevel="0" collapsed="false">
      <c r="A93" s="7" t="s">
        <v>104</v>
      </c>
      <c r="B93" s="7" t="s">
        <v>106</v>
      </c>
      <c r="C93" s="7" t="s">
        <v>2</v>
      </c>
      <c r="D93" s="16" t="n">
        <v>1.52704411586063</v>
      </c>
      <c r="E93" s="16" t="n">
        <v>0.861793648521035</v>
      </c>
      <c r="F93" s="17" t="n">
        <v>20</v>
      </c>
      <c r="G93" s="18" t="n">
        <f aca="false">IF(AND(ISNUMBER(D93),E93&gt;0),D93/E93,"")</f>
        <v>1.7719370738938</v>
      </c>
      <c r="H93" s="18" t="n">
        <f aca="false">IF(G93="","",TDIST(ABS(G93),F93-1,2))</f>
        <v>0.0924421676250919</v>
      </c>
    </row>
    <row r="94" customFormat="false" ht="15" hidden="false" customHeight="false" outlineLevel="0" collapsed="false">
      <c r="A94" s="7" t="s">
        <v>104</v>
      </c>
      <c r="B94" s="7" t="s">
        <v>106</v>
      </c>
      <c r="C94" s="7" t="s">
        <v>3</v>
      </c>
      <c r="D94" s="16" t="n">
        <v>1.85732226558267</v>
      </c>
      <c r="E94" s="16" t="n">
        <v>1.47561754377538</v>
      </c>
      <c r="F94" s="17" t="n">
        <v>20</v>
      </c>
      <c r="G94" s="18" t="n">
        <f aca="false">IF(AND(ISNUMBER(D94),E94&gt;0),D94/E94,"")</f>
        <v>1.25867456199437</v>
      </c>
      <c r="H94" s="18" t="n">
        <f aca="false">IF(G94="","",TDIST(ABS(G94),F94-1,2))</f>
        <v>0.223394476369557</v>
      </c>
    </row>
    <row r="95" customFormat="false" ht="15" hidden="false" customHeight="false" outlineLevel="0" collapsed="false">
      <c r="A95" s="7" t="s">
        <v>104</v>
      </c>
      <c r="B95" s="7" t="s">
        <v>106</v>
      </c>
      <c r="C95" s="7" t="s">
        <v>4</v>
      </c>
      <c r="D95" s="16" t="n">
        <v>1.17330887449941</v>
      </c>
      <c r="E95" s="16" t="n">
        <v>1.00501603284985</v>
      </c>
      <c r="F95" s="17" t="n">
        <v>20</v>
      </c>
      <c r="G95" s="18" t="n">
        <f aca="false">IF(AND(ISNUMBER(D95),E95&gt;0),D95/E95,"")</f>
        <v>1.16745289244028</v>
      </c>
      <c r="H95" s="18" t="n">
        <f aca="false">IF(G95="","",TDIST(ABS(G95),F95-1,2))</f>
        <v>0.257470279824908</v>
      </c>
    </row>
    <row r="96" customFormat="false" ht="15" hidden="false" customHeight="false" outlineLevel="0" collapsed="false">
      <c r="A96" s="7" t="s">
        <v>104</v>
      </c>
      <c r="B96" s="7" t="s">
        <v>107</v>
      </c>
      <c r="C96" s="7" t="s">
        <v>2</v>
      </c>
      <c r="D96" s="16" t="n">
        <v>1.07752305840111</v>
      </c>
      <c r="E96" s="16" t="n">
        <v>0.545739263170287</v>
      </c>
      <c r="F96" s="17" t="n">
        <v>20</v>
      </c>
      <c r="G96" s="18" t="n">
        <f aca="false">IF(AND(ISNUMBER(D96),E96&gt;0),D96/E96,"")</f>
        <v>1.97442832341146</v>
      </c>
      <c r="H96" s="18" t="n">
        <f aca="false">IF(G96="","",TDIST(ABS(G96),F96-1,2))</f>
        <v>0.0630493051552618</v>
      </c>
    </row>
    <row r="97" customFormat="false" ht="15" hidden="false" customHeight="false" outlineLevel="0" collapsed="false">
      <c r="A97" s="7" t="s">
        <v>104</v>
      </c>
      <c r="B97" s="7" t="s">
        <v>107</v>
      </c>
      <c r="C97" s="7" t="s">
        <v>3</v>
      </c>
      <c r="D97" s="16" t="n">
        <v>0.927435674110207</v>
      </c>
      <c r="E97" s="16" t="n">
        <v>0.483605949044551</v>
      </c>
      <c r="F97" s="17" t="n">
        <v>20</v>
      </c>
      <c r="G97" s="18" t="n">
        <f aca="false">IF(AND(ISNUMBER(D97),E97&gt;0),D97/E97,"")</f>
        <v>1.91775075542913</v>
      </c>
      <c r="H97" s="18" t="n">
        <f aca="false">IF(G97="","",TDIST(ABS(G97),F97-1,2))</f>
        <v>0.0703001576951564</v>
      </c>
    </row>
    <row r="98" customFormat="false" ht="15" hidden="false" customHeight="false" outlineLevel="0" collapsed="false">
      <c r="A98" s="7" t="s">
        <v>104</v>
      </c>
      <c r="B98" s="7" t="s">
        <v>107</v>
      </c>
      <c r="C98" s="7" t="s">
        <v>4</v>
      </c>
      <c r="D98" s="16" t="n">
        <v>0.926538344743018</v>
      </c>
      <c r="E98" s="16" t="n">
        <v>0.676484786886961</v>
      </c>
      <c r="F98" s="17" t="n">
        <v>20</v>
      </c>
      <c r="G98" s="18" t="n">
        <f aca="false">IF(AND(ISNUMBER(D98),E98&gt;0),D98/E98,"")</f>
        <v>1.3696366314559</v>
      </c>
      <c r="H98" s="18" t="n">
        <f aca="false">IF(G98="","",TDIST(ABS(G98),F98-1,2))</f>
        <v>0.186771617759492</v>
      </c>
    </row>
    <row r="99" customFormat="false" ht="15" hidden="false" customHeight="false" outlineLevel="0" collapsed="false">
      <c r="A99" s="7" t="s">
        <v>104</v>
      </c>
      <c r="B99" s="7" t="s">
        <v>108</v>
      </c>
      <c r="C99" s="7" t="s">
        <v>2</v>
      </c>
      <c r="D99" s="16" t="n">
        <v>0.172055973583981</v>
      </c>
      <c r="E99" s="16" t="n">
        <v>0.720297819107417</v>
      </c>
      <c r="F99" s="17" t="n">
        <v>20</v>
      </c>
      <c r="G99" s="18" t="n">
        <f aca="false">IF(AND(ISNUMBER(D99),E99&gt;0),D99/E99,"")</f>
        <v>0.238867825252047</v>
      </c>
      <c r="H99" s="18" t="n">
        <f aca="false">IF(G99="","",TDIST(ABS(G99),F99-1,2))</f>
        <v>0.813765629992385</v>
      </c>
    </row>
    <row r="100" customFormat="false" ht="15" hidden="false" customHeight="false" outlineLevel="0" collapsed="false">
      <c r="A100" s="7" t="s">
        <v>104</v>
      </c>
      <c r="B100" s="7" t="s">
        <v>108</v>
      </c>
      <c r="C100" s="7" t="s">
        <v>3</v>
      </c>
      <c r="D100" s="16" t="n">
        <v>0.00603503721259622</v>
      </c>
      <c r="E100" s="16" t="n">
        <v>0.64225020917222</v>
      </c>
      <c r="F100" s="17" t="n">
        <v>20</v>
      </c>
      <c r="G100" s="18" t="n">
        <f aca="false">IF(AND(ISNUMBER(D100),E100&gt;0),D100/E100,"")</f>
        <v>0.00939670727452875</v>
      </c>
      <c r="H100" s="18" t="n">
        <f aca="false">IF(G100="","",TDIST(ABS(G100),F100-1,2))</f>
        <v>0.99260058713483</v>
      </c>
    </row>
    <row r="101" customFormat="false" ht="15" hidden="false" customHeight="false" outlineLevel="0" collapsed="false">
      <c r="A101" s="7" t="s">
        <v>104</v>
      </c>
      <c r="B101" s="7" t="s">
        <v>108</v>
      </c>
      <c r="C101" s="7" t="s">
        <v>4</v>
      </c>
      <c r="D101" s="16" t="n">
        <v>0.00932962818979774</v>
      </c>
      <c r="E101" s="16" t="n">
        <v>0.518363600999478</v>
      </c>
      <c r="F101" s="17" t="n">
        <v>20</v>
      </c>
      <c r="G101" s="18" t="n">
        <f aca="false">IF(AND(ISNUMBER(D101),E101&gt;0),D101/E101,"")</f>
        <v>0.0179982316887391</v>
      </c>
      <c r="H101" s="18" t="n">
        <f aca="false">IF(G101="","",TDIST(ABS(G101),F101-1,2))</f>
        <v>0.985827924823958</v>
      </c>
    </row>
    <row r="102" customFormat="false" ht="15" hidden="false" customHeight="false" outlineLevel="0" collapsed="false">
      <c r="A102" s="7" t="s">
        <v>109</v>
      </c>
      <c r="B102" s="7" t="s">
        <v>59</v>
      </c>
      <c r="C102" s="7" t="s">
        <v>2</v>
      </c>
      <c r="D102" s="16" t="n">
        <v>-0.0762212087239825</v>
      </c>
      <c r="E102" s="16" t="n">
        <v>0.100608938353406</v>
      </c>
      <c r="F102" s="17" t="n">
        <v>20</v>
      </c>
      <c r="G102" s="18" t="n">
        <f aca="false">IF(AND(ISNUMBER(D102),E102&gt;0),D102/E102,"")</f>
        <v>-0.757598777717369</v>
      </c>
      <c r="H102" s="18" t="n">
        <f aca="false">IF(G102="","",TDIST(ABS(G102),F102-1,2))</f>
        <v>0.457985001906923</v>
      </c>
    </row>
    <row r="103" customFormat="false" ht="15" hidden="false" customHeight="false" outlineLevel="0" collapsed="false">
      <c r="A103" s="7" t="s">
        <v>109</v>
      </c>
      <c r="B103" s="7" t="s">
        <v>59</v>
      </c>
      <c r="C103" s="7" t="s">
        <v>3</v>
      </c>
      <c r="D103" s="16" t="n">
        <v>-0.108736122361956</v>
      </c>
      <c r="E103" s="16" t="n">
        <v>0.0773460963238566</v>
      </c>
      <c r="F103" s="17" t="n">
        <v>20</v>
      </c>
      <c r="G103" s="18" t="n">
        <f aca="false">IF(AND(ISNUMBER(D103),E103&gt;0),D103/E103,"")</f>
        <v>-1.40583853006189</v>
      </c>
      <c r="H103" s="18" t="n">
        <f aca="false">IF(G103="","",TDIST(ABS(G103),F103-1,2))</f>
        <v>0.175914990383693</v>
      </c>
    </row>
    <row r="104" customFormat="false" ht="15" hidden="false" customHeight="false" outlineLevel="0" collapsed="false">
      <c r="A104" s="7" t="s">
        <v>109</v>
      </c>
      <c r="B104" s="7" t="s">
        <v>60</v>
      </c>
      <c r="C104" s="7" t="s">
        <v>2</v>
      </c>
      <c r="D104" s="16" t="n">
        <v>-0.245948624407798</v>
      </c>
      <c r="E104" s="16" t="n">
        <v>0.180249343768964</v>
      </c>
      <c r="F104" s="17" t="n">
        <v>20</v>
      </c>
      <c r="G104" s="18" t="n">
        <f aca="false">IF(AND(ISNUMBER(D104),E104&gt;0),D104/E104,"")</f>
        <v>-1.36449109475286</v>
      </c>
      <c r="H104" s="18" t="n">
        <f aca="false">IF(G104="","",TDIST(ABS(G104),F104-1,2))</f>
        <v>0.188357268078083</v>
      </c>
    </row>
    <row r="105" customFormat="false" ht="15" hidden="false" customHeight="false" outlineLevel="0" collapsed="false">
      <c r="A105" s="7" t="s">
        <v>109</v>
      </c>
      <c r="B105" s="7" t="s">
        <v>60</v>
      </c>
      <c r="C105" s="7" t="s">
        <v>3</v>
      </c>
      <c r="D105" s="16" t="n">
        <v>-0.597364966265856</v>
      </c>
      <c r="E105" s="16" t="n">
        <v>0.255977587422692</v>
      </c>
      <c r="F105" s="17" t="n">
        <v>20</v>
      </c>
      <c r="G105" s="18" t="n">
        <f aca="false">IF(AND(ISNUMBER(D105),E105&gt;0),D105/E105,"")</f>
        <v>-2.33366120948486</v>
      </c>
      <c r="H105" s="18" t="n">
        <f aca="false">IF(G105="","",TDIST(ABS(G105),F105-1,2))</f>
        <v>0.0307506062551012</v>
      </c>
    </row>
    <row r="106" customFormat="false" ht="15" hidden="false" customHeight="false" outlineLevel="0" collapsed="false">
      <c r="A106" s="7" t="s">
        <v>109</v>
      </c>
      <c r="B106" s="7" t="s">
        <v>61</v>
      </c>
      <c r="C106" s="7" t="s">
        <v>2</v>
      </c>
      <c r="D106" s="16" t="n">
        <v>0.139689857767295</v>
      </c>
      <c r="E106" s="16" t="n">
        <v>0.212406993888004</v>
      </c>
      <c r="F106" s="17" t="n">
        <v>20</v>
      </c>
      <c r="G106" s="18" t="n">
        <f aca="false">IF(AND(ISNUMBER(D106),E106&gt;0),D106/E106,"")</f>
        <v>0.657651874876348</v>
      </c>
      <c r="H106" s="18" t="n">
        <f aca="false">IF(G106="","",TDIST(ABS(G106),F106-1,2))</f>
        <v>0.518650737505789</v>
      </c>
    </row>
    <row r="107" customFormat="false" ht="15" hidden="false" customHeight="false" outlineLevel="0" collapsed="false">
      <c r="A107" s="7" t="s">
        <v>109</v>
      </c>
      <c r="B107" s="7" t="s">
        <v>61</v>
      </c>
      <c r="C107" s="7" t="s">
        <v>3</v>
      </c>
      <c r="D107" s="16" t="n">
        <v>0.30664925786466</v>
      </c>
      <c r="E107" s="16" t="n">
        <v>0.210482633888469</v>
      </c>
      <c r="F107" s="17" t="n">
        <v>20</v>
      </c>
      <c r="G107" s="18" t="n">
        <f aca="false">IF(AND(ISNUMBER(D107),E107&gt;0),D107/E107,"")</f>
        <v>1.45688626277429</v>
      </c>
      <c r="H107" s="18" t="n">
        <f aca="false">IF(G107="","",TDIST(ABS(G107),F107-1,2))</f>
        <v>0.161476598700081</v>
      </c>
    </row>
    <row r="108" customFormat="false" ht="15" hidden="false" customHeight="false" outlineLevel="0" collapsed="false">
      <c r="A108" s="7" t="s">
        <v>109</v>
      </c>
      <c r="B108" s="7" t="s">
        <v>62</v>
      </c>
      <c r="C108" s="7" t="s">
        <v>2</v>
      </c>
      <c r="D108" s="16" t="n">
        <v>0.025231196353485</v>
      </c>
      <c r="E108" s="16" t="n">
        <v>0.221876603476246</v>
      </c>
      <c r="F108" s="17" t="n">
        <v>20</v>
      </c>
      <c r="G108" s="18" t="n">
        <f aca="false">IF(AND(ISNUMBER(D108),E108&gt;0),D108/E108,"")</f>
        <v>0.113717246244876</v>
      </c>
      <c r="H108" s="18" t="n">
        <f aca="false">IF(G108="","",TDIST(ABS(G108),F108-1,2))</f>
        <v>0.91065496299372</v>
      </c>
    </row>
    <row r="109" customFormat="false" ht="15" hidden="false" customHeight="false" outlineLevel="0" collapsed="false">
      <c r="A109" s="7" t="s">
        <v>109</v>
      </c>
      <c r="B109" s="7" t="s">
        <v>62</v>
      </c>
      <c r="C109" s="7" t="s">
        <v>3</v>
      </c>
      <c r="D109" s="16" t="n">
        <v>0.289511478164849</v>
      </c>
      <c r="E109" s="16" t="n">
        <v>0.368472475279035</v>
      </c>
      <c r="F109" s="17" t="n">
        <v>20</v>
      </c>
      <c r="G109" s="18" t="n">
        <f aca="false">IF(AND(ISNUMBER(D109),E109&gt;0),D109/E109,"")</f>
        <v>0.785707203626563</v>
      </c>
      <c r="H109" s="18" t="n">
        <f aca="false">IF(G109="","",TDIST(ABS(G109),F109-1,2))</f>
        <v>0.441727869489153</v>
      </c>
    </row>
    <row r="110" customFormat="false" ht="15" hidden="false" customHeight="false" outlineLevel="0" collapsed="false">
      <c r="A110" s="7" t="s">
        <v>109</v>
      </c>
      <c r="B110" s="7" t="s">
        <v>63</v>
      </c>
      <c r="C110" s="7" t="s">
        <v>2</v>
      </c>
      <c r="D110" s="16" t="n">
        <v>-2.86797542067489</v>
      </c>
      <c r="E110" s="16" t="n">
        <v>1.35437024327979</v>
      </c>
      <c r="F110" s="17" t="n">
        <v>20</v>
      </c>
      <c r="G110" s="18" t="n">
        <f aca="false">IF(AND(ISNUMBER(D110),E110&gt;0),D110/E110,"")</f>
        <v>-2.11757119953381</v>
      </c>
      <c r="H110" s="18" t="n">
        <f aca="false">IF(G110="","",TDIST(ABS(G110),F110-1,2))</f>
        <v>0.0476250767443424</v>
      </c>
    </row>
    <row r="111" customFormat="false" ht="15" hidden="false" customHeight="false" outlineLevel="0" collapsed="false">
      <c r="A111" s="7" t="s">
        <v>109</v>
      </c>
      <c r="B111" s="7" t="s">
        <v>63</v>
      </c>
      <c r="C111" s="7" t="s">
        <v>3</v>
      </c>
      <c r="D111" s="16" t="n">
        <v>-1.68576313465376</v>
      </c>
      <c r="E111" s="16" t="n">
        <v>1.07164359212409</v>
      </c>
      <c r="F111" s="17" t="n">
        <v>20</v>
      </c>
      <c r="G111" s="18" t="n">
        <f aca="false">IF(AND(ISNUMBER(D111),E111&gt;0),D111/E111,"")</f>
        <v>-1.57306323393623</v>
      </c>
      <c r="H111" s="18" t="n">
        <f aca="false">IF(G111="","",TDIST(ABS(G111),F111-1,2))</f>
        <v>0.132208682050768</v>
      </c>
    </row>
    <row r="112" customFormat="false" ht="15" hidden="false" customHeight="false" outlineLevel="0" collapsed="false">
      <c r="A112" s="7" t="s">
        <v>109</v>
      </c>
      <c r="B112" s="7" t="s">
        <v>64</v>
      </c>
      <c r="C112" s="7" t="s">
        <v>2</v>
      </c>
      <c r="D112" s="16" t="n">
        <v>-0.530506895982806</v>
      </c>
      <c r="E112" s="16" t="n">
        <v>0.344679388546858</v>
      </c>
      <c r="F112" s="17" t="n">
        <v>20</v>
      </c>
      <c r="G112" s="18" t="n">
        <f aca="false">IF(AND(ISNUMBER(D112),E112&gt;0),D112/E112,"")</f>
        <v>-1.53913147583145</v>
      </c>
      <c r="H112" s="18" t="n">
        <f aca="false">IF(G112="","",TDIST(ABS(G112),F112-1,2))</f>
        <v>0.140260856418709</v>
      </c>
    </row>
    <row r="113" customFormat="false" ht="15" hidden="false" customHeight="false" outlineLevel="0" collapsed="false">
      <c r="A113" s="7" t="s">
        <v>109</v>
      </c>
      <c r="B113" s="7" t="s">
        <v>64</v>
      </c>
      <c r="C113" s="7" t="s">
        <v>3</v>
      </c>
      <c r="D113" s="16" t="n">
        <v>-1.31418932975418</v>
      </c>
      <c r="E113" s="16" t="n">
        <v>0.453719270977947</v>
      </c>
      <c r="F113" s="17" t="n">
        <v>20</v>
      </c>
      <c r="G113" s="18" t="n">
        <f aca="false">IF(AND(ISNUMBER(D113),E113&gt;0),D113/E113,"")</f>
        <v>-2.89648118080058</v>
      </c>
      <c r="H113" s="18" t="n">
        <f aca="false">IF(G113="","",TDIST(ABS(G113),F113-1,2))</f>
        <v>0.00924992299185175</v>
      </c>
    </row>
    <row r="114" customFormat="false" ht="15" hidden="false" customHeight="false" outlineLevel="0" collapsed="false">
      <c r="A114" s="7" t="s">
        <v>109</v>
      </c>
      <c r="B114" s="7" t="s">
        <v>65</v>
      </c>
      <c r="C114" s="7" t="s">
        <v>2</v>
      </c>
      <c r="D114" s="16" t="n">
        <v>-0.19176402973336</v>
      </c>
      <c r="E114" s="16" t="n">
        <v>0.161199853935844</v>
      </c>
      <c r="F114" s="17" t="n">
        <v>20</v>
      </c>
      <c r="G114" s="18" t="n">
        <f aca="false">IF(AND(ISNUMBER(D114),E114&gt;0),D114/E114,"")</f>
        <v>-1.18960424002419</v>
      </c>
      <c r="H114" s="18" t="n">
        <f aca="false">IF(G114="","",TDIST(ABS(G114),F114-1,2))</f>
        <v>0.248855889716192</v>
      </c>
    </row>
    <row r="115" customFormat="false" ht="15" hidden="false" customHeight="false" outlineLevel="0" collapsed="false">
      <c r="A115" s="7" t="s">
        <v>109</v>
      </c>
      <c r="B115" s="7" t="s">
        <v>65</v>
      </c>
      <c r="C115" s="7" t="s">
        <v>3</v>
      </c>
      <c r="D115" s="16" t="n">
        <v>0.0152024978701122</v>
      </c>
      <c r="E115" s="16" t="n">
        <v>0.148278921103792</v>
      </c>
      <c r="F115" s="17" t="n">
        <v>20</v>
      </c>
      <c r="G115" s="18" t="n">
        <f aca="false">IF(AND(ISNUMBER(D115),E115&gt;0),D115/E115,"")</f>
        <v>0.102526358817183</v>
      </c>
      <c r="H115" s="18" t="n">
        <f aca="false">IF(G115="","",TDIST(ABS(G115),F115-1,2))</f>
        <v>0.919413249720255</v>
      </c>
    </row>
    <row r="116" customFormat="false" ht="15" hidden="false" customHeight="false" outlineLevel="0" collapsed="false">
      <c r="A116" s="7" t="s">
        <v>110</v>
      </c>
      <c r="B116" s="7" t="s">
        <v>111</v>
      </c>
      <c r="C116" s="7" t="s">
        <v>95</v>
      </c>
      <c r="D116" s="16" t="n">
        <v>-0.0660490205612972</v>
      </c>
      <c r="E116" s="16" t="n">
        <v>0.139711117576722</v>
      </c>
      <c r="F116" s="17" t="n">
        <v>20</v>
      </c>
      <c r="G116" s="18" t="n">
        <f aca="false">IF(AND(ISNUMBER(D116),E116&gt;0),D116/E116,"")</f>
        <v>-0.472754221044911</v>
      </c>
      <c r="H116" s="18" t="n">
        <f aca="false">IF(G116="","",TDIST(ABS(G116),F116-1,2))</f>
        <v>0.641773884501959</v>
      </c>
    </row>
    <row r="117" customFormat="false" ht="15" hidden="false" customHeight="false" outlineLevel="0" collapsed="false">
      <c r="A117" s="7" t="s">
        <v>110</v>
      </c>
      <c r="B117" s="7" t="s">
        <v>111</v>
      </c>
      <c r="C117" s="7" t="s">
        <v>96</v>
      </c>
      <c r="D117" s="16" t="n">
        <v>-0.0983817961675623</v>
      </c>
      <c r="E117" s="16" t="n">
        <v>0.0732534949880445</v>
      </c>
      <c r="F117" s="17" t="n">
        <v>20</v>
      </c>
      <c r="G117" s="18" t="n">
        <f aca="false">IF(AND(ISNUMBER(D117),E117&gt;0),D117/E117,"")</f>
        <v>-1.34303211312469</v>
      </c>
      <c r="H117" s="18" t="n">
        <f aca="false">IF(G117="","",TDIST(ABS(G117),F117-1,2))</f>
        <v>0.195085972405547</v>
      </c>
    </row>
    <row r="118" customFormat="false" ht="15" hidden="false" customHeight="false" outlineLevel="0" collapsed="false">
      <c r="A118" s="7" t="s">
        <v>110</v>
      </c>
      <c r="B118" s="7" t="s">
        <v>111</v>
      </c>
      <c r="C118" s="7" t="s">
        <v>97</v>
      </c>
      <c r="D118" s="16" t="n">
        <v>0.0323327756062651</v>
      </c>
      <c r="E118" s="16" t="n">
        <v>0.142530695593586</v>
      </c>
      <c r="F118" s="17" t="n">
        <v>20</v>
      </c>
      <c r="G118" s="18" t="n">
        <f aca="false">IF(AND(ISNUMBER(D118),E118&gt;0),D118/E118,"")</f>
        <v>0.226847806162815</v>
      </c>
      <c r="H118" s="18" t="n">
        <f aca="false">IF(G118="","",TDIST(ABS(G118),F118-1,2))</f>
        <v>0.822964924064055</v>
      </c>
    </row>
    <row r="119" customFormat="false" ht="15" hidden="false" customHeight="false" outlineLevel="0" collapsed="false">
      <c r="A119" s="7" t="s">
        <v>110</v>
      </c>
      <c r="B119" s="7" t="s">
        <v>112</v>
      </c>
      <c r="C119" s="7" t="s">
        <v>95</v>
      </c>
      <c r="D119" s="16" t="n">
        <v>-0.581697466043161</v>
      </c>
      <c r="E119" s="16" t="n">
        <v>0.270536531084174</v>
      </c>
      <c r="F119" s="17" t="n">
        <v>20</v>
      </c>
      <c r="G119" s="18" t="n">
        <f aca="false">IF(AND(ISNUMBER(D119),E119&gt;0),D119/E119,"")</f>
        <v>-2.15016235963406</v>
      </c>
      <c r="H119" s="18" t="n">
        <f aca="false">IF(G119="","",TDIST(ABS(G119),F119-1,2))</f>
        <v>0.0446301689893111</v>
      </c>
    </row>
    <row r="120" customFormat="false" ht="15" hidden="false" customHeight="false" outlineLevel="0" collapsed="false">
      <c r="A120" s="7" t="s">
        <v>110</v>
      </c>
      <c r="B120" s="7" t="s">
        <v>112</v>
      </c>
      <c r="C120" s="7" t="s">
        <v>96</v>
      </c>
      <c r="D120" s="16" t="n">
        <v>0.428040699607419</v>
      </c>
      <c r="E120" s="16" t="n">
        <v>0.490023851236788</v>
      </c>
      <c r="F120" s="17" t="n">
        <v>20</v>
      </c>
      <c r="G120" s="18" t="n">
        <f aca="false">IF(AND(ISNUMBER(D120),E120&gt;0),D120/E120,"")</f>
        <v>0.873509929214819</v>
      </c>
      <c r="H120" s="18" t="n">
        <f aca="false">IF(G120="","",TDIST(ABS(G120),F120-1,2))</f>
        <v>0.393291864707153</v>
      </c>
    </row>
    <row r="121" customFormat="false" ht="15" hidden="false" customHeight="false" outlineLevel="0" collapsed="false">
      <c r="A121" s="7" t="s">
        <v>110</v>
      </c>
      <c r="B121" s="7" t="s">
        <v>112</v>
      </c>
      <c r="C121" s="7" t="s">
        <v>97</v>
      </c>
      <c r="D121" s="16" t="n">
        <v>-1.00973816565058</v>
      </c>
      <c r="E121" s="16" t="n">
        <v>0.552826957005927</v>
      </c>
      <c r="F121" s="17" t="n">
        <v>20</v>
      </c>
      <c r="G121" s="18" t="n">
        <f aca="false">IF(AND(ISNUMBER(D121),E121&gt;0),D121/E121,"")</f>
        <v>-1.82649950921216</v>
      </c>
      <c r="H121" s="18" t="n">
        <f aca="false">IF(G121="","",TDIST(ABS(G121),F121-1,2))</f>
        <v>0.0835303483603948</v>
      </c>
    </row>
    <row r="122" customFormat="false" ht="15" hidden="false" customHeight="false" outlineLevel="0" collapsed="false">
      <c r="A122" s="7" t="s">
        <v>110</v>
      </c>
      <c r="B122" s="7" t="s">
        <v>113</v>
      </c>
      <c r="C122" s="7" t="s">
        <v>95</v>
      </c>
      <c r="D122" s="16" t="n">
        <v>0.453351667887439</v>
      </c>
      <c r="E122" s="16" t="n">
        <v>0.308936896355123</v>
      </c>
      <c r="F122" s="17" t="n">
        <v>20</v>
      </c>
      <c r="G122" s="18" t="n">
        <f aca="false">IF(AND(ISNUMBER(D122),E122&gt;0),D122/E122,"")</f>
        <v>1.4674571837684</v>
      </c>
      <c r="H122" s="18" t="n">
        <f aca="false">IF(G122="","",TDIST(ABS(G122),F122-1,2))</f>
        <v>0.158610760951102</v>
      </c>
    </row>
    <row r="123" customFormat="false" ht="15" hidden="false" customHeight="false" outlineLevel="0" collapsed="false">
      <c r="A123" s="7" t="s">
        <v>110</v>
      </c>
      <c r="B123" s="7" t="s">
        <v>113</v>
      </c>
      <c r="C123" s="7" t="s">
        <v>96</v>
      </c>
      <c r="D123" s="16" t="n">
        <v>-0.10089244613074</v>
      </c>
      <c r="E123" s="16" t="n">
        <v>0.281864026375122</v>
      </c>
      <c r="F123" s="17" t="n">
        <v>20</v>
      </c>
      <c r="G123" s="18" t="n">
        <f aca="false">IF(AND(ISNUMBER(D123),E123&gt;0),D123/E123,"")</f>
        <v>-0.357947225221518</v>
      </c>
      <c r="H123" s="18" t="n">
        <f aca="false">IF(G123="","",TDIST(ABS(G123),F123-1,2))</f>
        <v>0.724328621273546</v>
      </c>
    </row>
    <row r="124" customFormat="false" ht="15" hidden="false" customHeight="false" outlineLevel="0" collapsed="false">
      <c r="A124" s="7" t="s">
        <v>110</v>
      </c>
      <c r="B124" s="7" t="s">
        <v>113</v>
      </c>
      <c r="C124" s="7" t="s">
        <v>97</v>
      </c>
      <c r="D124" s="16" t="n">
        <v>0.554244114018179</v>
      </c>
      <c r="E124" s="16" t="n">
        <v>0.387905347247004</v>
      </c>
      <c r="F124" s="17" t="n">
        <v>20</v>
      </c>
      <c r="G124" s="18" t="n">
        <f aca="false">IF(AND(ISNUMBER(D124),E124&gt;0),D124/E124,"")</f>
        <v>1.42881277082591</v>
      </c>
      <c r="H124" s="18" t="n">
        <f aca="false">IF(G124="","",TDIST(ABS(G124),F124-1,2))</f>
        <v>0.169292816897406</v>
      </c>
    </row>
    <row r="125" customFormat="false" ht="15" hidden="false" customHeight="false" outlineLevel="0" collapsed="false">
      <c r="A125" s="7" t="s">
        <v>110</v>
      </c>
      <c r="B125" s="7" t="s">
        <v>114</v>
      </c>
      <c r="C125" s="7" t="s">
        <v>95</v>
      </c>
      <c r="D125" s="16" t="n">
        <v>0.0765552142751101</v>
      </c>
      <c r="E125" s="16" t="n">
        <v>0.510882944385065</v>
      </c>
      <c r="F125" s="17" t="n">
        <v>20</v>
      </c>
      <c r="G125" s="18" t="n">
        <f aca="false">IF(AND(ISNUMBER(D125),E125&gt;0),D125/E125,"")</f>
        <v>0.149848835465152</v>
      </c>
      <c r="H125" s="18" t="n">
        <f aca="false">IF(G125="","",TDIST(ABS(G125),F125-1,2))</f>
        <v>0.882463137719595</v>
      </c>
    </row>
    <row r="126" customFormat="false" ht="15" hidden="false" customHeight="false" outlineLevel="0" collapsed="false">
      <c r="A126" s="7" t="s">
        <v>110</v>
      </c>
      <c r="B126" s="7" t="s">
        <v>114</v>
      </c>
      <c r="C126" s="7" t="s">
        <v>96</v>
      </c>
      <c r="D126" s="16" t="n">
        <v>0.121929955116847</v>
      </c>
      <c r="E126" s="16" t="n">
        <v>0.533657825277752</v>
      </c>
      <c r="F126" s="17" t="n">
        <v>20</v>
      </c>
      <c r="G126" s="18" t="n">
        <f aca="false">IF(AND(ISNUMBER(D126),E126&gt;0),D126/E126,"")</f>
        <v>0.228479653705792</v>
      </c>
      <c r="H126" s="18" t="n">
        <f aca="false">IF(G126="","",TDIST(ABS(G126),F126-1,2))</f>
        <v>0.821714444262828</v>
      </c>
    </row>
    <row r="127" customFormat="false" ht="15" hidden="false" customHeight="false" outlineLevel="0" collapsed="false">
      <c r="A127" s="7" t="s">
        <v>110</v>
      </c>
      <c r="B127" s="7" t="s">
        <v>114</v>
      </c>
      <c r="C127" s="7" t="s">
        <v>97</v>
      </c>
      <c r="D127" s="16" t="n">
        <v>-0.0453747408417365</v>
      </c>
      <c r="E127" s="16" t="n">
        <v>0.738984896829648</v>
      </c>
      <c r="F127" s="17" t="n">
        <v>20</v>
      </c>
      <c r="G127" s="18" t="n">
        <f aca="false">IF(AND(ISNUMBER(D127),E127&gt;0),D127/E127,"")</f>
        <v>-0.0614014454644482</v>
      </c>
      <c r="H127" s="18" t="n">
        <f aca="false">IF(G127="","",TDIST(ABS(G127),F127-1,2))</f>
        <v>0.951680801282348</v>
      </c>
    </row>
    <row r="128" customFormat="false" ht="15" hidden="false" customHeight="false" outlineLevel="0" collapsed="false">
      <c r="A128" s="7" t="s">
        <v>110</v>
      </c>
      <c r="B128" s="7" t="s">
        <v>115</v>
      </c>
      <c r="C128" s="7" t="s">
        <v>95</v>
      </c>
      <c r="D128" s="16" t="n">
        <v>-1.25963320893547</v>
      </c>
      <c r="E128" s="16" t="n">
        <v>1.90544696331493</v>
      </c>
      <c r="F128" s="17" t="n">
        <v>20</v>
      </c>
      <c r="G128" s="18" t="n">
        <f aca="false">IF(AND(ISNUMBER(D128),E128&gt;0),D128/E128,"")</f>
        <v>-0.661069677186957</v>
      </c>
      <c r="H128" s="18" t="n">
        <f aca="false">IF(G128="","",TDIST(ABS(G128),F128-1,2))</f>
        <v>0.516504291038884</v>
      </c>
    </row>
    <row r="129" customFormat="false" ht="15" hidden="false" customHeight="false" outlineLevel="0" collapsed="false">
      <c r="A129" s="7" t="s">
        <v>110</v>
      </c>
      <c r="B129" s="7" t="s">
        <v>115</v>
      </c>
      <c r="C129" s="7" t="s">
        <v>96</v>
      </c>
      <c r="D129" s="16" t="n">
        <v>-1.78460303538206</v>
      </c>
      <c r="E129" s="16" t="n">
        <v>2.06615562827206</v>
      </c>
      <c r="F129" s="17" t="n">
        <v>20</v>
      </c>
      <c r="G129" s="18" t="n">
        <f aca="false">IF(AND(ISNUMBER(D129),E129&gt;0),D129/E129,"")</f>
        <v>-0.863731178311354</v>
      </c>
      <c r="H129" s="18" t="n">
        <f aca="false">IF(G129="","",TDIST(ABS(G129),F129-1,2))</f>
        <v>0.398508453668105</v>
      </c>
    </row>
    <row r="130" customFormat="false" ht="15" hidden="false" customHeight="false" outlineLevel="0" collapsed="false">
      <c r="A130" s="7" t="s">
        <v>110</v>
      </c>
      <c r="B130" s="7" t="s">
        <v>115</v>
      </c>
      <c r="C130" s="7" t="s">
        <v>97</v>
      </c>
      <c r="D130" s="16" t="n">
        <v>0.524969826446597</v>
      </c>
      <c r="E130" s="16" t="n">
        <v>2.27964264400984</v>
      </c>
      <c r="F130" s="17" t="n">
        <v>20</v>
      </c>
      <c r="G130" s="18" t="n">
        <f aca="false">IF(AND(ISNUMBER(D130),E130&gt;0),D130/E130,"")</f>
        <v>0.23028601777829</v>
      </c>
      <c r="H130" s="18" t="n">
        <f aca="false">IF(G130="","",TDIST(ABS(G130),F130-1,2))</f>
        <v>0.82033080373997</v>
      </c>
    </row>
    <row r="131" customFormat="false" ht="15" hidden="false" customHeight="false" outlineLevel="0" collapsed="false">
      <c r="A131" s="7" t="s">
        <v>110</v>
      </c>
      <c r="B131" s="7" t="s">
        <v>116</v>
      </c>
      <c r="C131" s="7" t="s">
        <v>95</v>
      </c>
      <c r="D131" s="16" t="n">
        <v>0.0617054519260295</v>
      </c>
      <c r="E131" s="16" t="n">
        <v>0.931931054398142</v>
      </c>
      <c r="F131" s="17" t="n">
        <v>20</v>
      </c>
      <c r="G131" s="18" t="n">
        <f aca="false">IF(AND(ISNUMBER(D131),E131&gt;0),D131/E131,"")</f>
        <v>0.0662124645753757</v>
      </c>
      <c r="H131" s="18" t="n">
        <f aca="false">IF(G131="","",TDIST(ABS(G131),F131-1,2))</f>
        <v>0.947900430264026</v>
      </c>
    </row>
    <row r="132" customFormat="false" ht="15" hidden="false" customHeight="false" outlineLevel="0" collapsed="false">
      <c r="A132" s="7" t="s">
        <v>110</v>
      </c>
      <c r="B132" s="7" t="s">
        <v>116</v>
      </c>
      <c r="C132" s="7" t="s">
        <v>96</v>
      </c>
      <c r="D132" s="16" t="n">
        <v>-1.39356061759997</v>
      </c>
      <c r="E132" s="16" t="n">
        <v>1.48929793400427</v>
      </c>
      <c r="F132" s="17" t="n">
        <v>20</v>
      </c>
      <c r="G132" s="18" t="n">
        <f aca="false">IF(AND(ISNUMBER(D132),E132&gt;0),D132/E132,"")</f>
        <v>-0.935716478067697</v>
      </c>
      <c r="H132" s="18" t="n">
        <f aca="false">IF(G132="","",TDIST(ABS(G132),F132-1,2))</f>
        <v>0.361160848874861</v>
      </c>
    </row>
    <row r="133" customFormat="false" ht="15" hidden="false" customHeight="false" outlineLevel="0" collapsed="false">
      <c r="A133" s="7" t="s">
        <v>110</v>
      </c>
      <c r="B133" s="7" t="s">
        <v>116</v>
      </c>
      <c r="C133" s="7" t="s">
        <v>97</v>
      </c>
      <c r="D133" s="16" t="n">
        <v>1.455266069526</v>
      </c>
      <c r="E133" s="16" t="n">
        <v>1.66430827482899</v>
      </c>
      <c r="F133" s="17" t="n">
        <v>20</v>
      </c>
      <c r="G133" s="18" t="n">
        <f aca="false">IF(AND(ISNUMBER(D133),E133&gt;0),D133/E133,"")</f>
        <v>0.874396944085091</v>
      </c>
      <c r="H133" s="18" t="n">
        <f aca="false">IF(G133="","",TDIST(ABS(G133),F133-1,2))</f>
        <v>0.39282089618815</v>
      </c>
    </row>
    <row r="134" customFormat="false" ht="15" hidden="false" customHeight="false" outlineLevel="0" collapsed="false">
      <c r="A134" s="7" t="s">
        <v>110</v>
      </c>
      <c r="B134" s="7" t="s">
        <v>117</v>
      </c>
      <c r="C134" s="7" t="s">
        <v>95</v>
      </c>
      <c r="D134" s="16" t="n">
        <v>-0.242733785440934</v>
      </c>
      <c r="E134" s="16" t="n">
        <v>0.189348540410542</v>
      </c>
      <c r="F134" s="17" t="n">
        <v>20</v>
      </c>
      <c r="G134" s="18" t="n">
        <f aca="false">IF(AND(ISNUMBER(D134),E134&gt;0),D134/E134,"")</f>
        <v>-1.28194167705039</v>
      </c>
      <c r="H134" s="18" t="n">
        <f aca="false">IF(G134="","",TDIST(ABS(G134),F134-1,2))</f>
        <v>0.215285653216847</v>
      </c>
    </row>
    <row r="135" customFormat="false" ht="15" hidden="false" customHeight="false" outlineLevel="0" collapsed="false">
      <c r="A135" s="7" t="s">
        <v>110</v>
      </c>
      <c r="B135" s="7" t="s">
        <v>117</v>
      </c>
      <c r="C135" s="7" t="s">
        <v>96</v>
      </c>
      <c r="D135" s="16" t="n">
        <v>-0.0506064880582067</v>
      </c>
      <c r="E135" s="16" t="n">
        <v>0.0702473493520832</v>
      </c>
      <c r="F135" s="17" t="n">
        <v>20</v>
      </c>
      <c r="G135" s="18" t="n">
        <f aca="false">IF(AND(ISNUMBER(D135),E135&gt;0),D135/E135,"")</f>
        <v>-0.720404236244766</v>
      </c>
      <c r="H135" s="18" t="n">
        <f aca="false">IF(G135="","",TDIST(ABS(G135),F135-1,2))</f>
        <v>0.480046109566765</v>
      </c>
    </row>
    <row r="136" customFormat="false" ht="15" hidden="false" customHeight="false" outlineLevel="0" collapsed="false">
      <c r="A136" s="7" t="s">
        <v>110</v>
      </c>
      <c r="B136" s="7" t="s">
        <v>117</v>
      </c>
      <c r="C136" s="7" t="s">
        <v>97</v>
      </c>
      <c r="D136" s="16" t="n">
        <v>-0.192127297382727</v>
      </c>
      <c r="E136" s="16" t="n">
        <v>0.201428151877558</v>
      </c>
      <c r="F136" s="17" t="n">
        <v>20</v>
      </c>
      <c r="G136" s="18" t="n">
        <f aca="false">IF(AND(ISNUMBER(D136),E136&gt;0),D136/E136,"")</f>
        <v>-0.953825448885195</v>
      </c>
      <c r="H136" s="18" t="n">
        <f aca="false">IF(G136="","",TDIST(ABS(G136),F136-1,2))</f>
        <v>0.352150446180484</v>
      </c>
    </row>
    <row r="137" customFormat="false" ht="15" hidden="false" customHeight="false" outlineLevel="0" collapsed="false">
      <c r="A137" s="7" t="s">
        <v>110</v>
      </c>
      <c r="B137" s="7" t="s">
        <v>118</v>
      </c>
      <c r="C137" s="7" t="s">
        <v>95</v>
      </c>
      <c r="D137" s="16" t="n">
        <v>-0.993793818347911</v>
      </c>
      <c r="E137" s="16" t="n">
        <v>0.240453257372512</v>
      </c>
      <c r="F137" s="17" t="n">
        <v>20</v>
      </c>
      <c r="G137" s="18" t="n">
        <f aca="false">IF(AND(ISNUMBER(D137),E137&gt;0),D137/E137,"")</f>
        <v>-4.13300210280919</v>
      </c>
      <c r="H137" s="18" t="n">
        <f aca="false">IF(G137="","",TDIST(ABS(G137),F137-1,2))</f>
        <v>0.000565492287110026</v>
      </c>
    </row>
    <row r="138" customFormat="false" ht="15" hidden="false" customHeight="false" outlineLevel="0" collapsed="false">
      <c r="A138" s="7" t="s">
        <v>110</v>
      </c>
      <c r="B138" s="7" t="s">
        <v>118</v>
      </c>
      <c r="C138" s="7" t="s">
        <v>96</v>
      </c>
      <c r="D138" s="16" t="n">
        <v>-0.0783798066489625</v>
      </c>
      <c r="E138" s="16" t="n">
        <v>0.32974581814401</v>
      </c>
      <c r="F138" s="17" t="n">
        <v>20</v>
      </c>
      <c r="G138" s="18" t="n">
        <f aca="false">IF(AND(ISNUMBER(D138),E138&gt;0),D138/E138,"")</f>
        <v>-0.237697651755303</v>
      </c>
      <c r="H138" s="18" t="n">
        <f aca="false">IF(G138="","",TDIST(ABS(G138),F138-1,2))</f>
        <v>0.81466000495754</v>
      </c>
    </row>
    <row r="139" customFormat="false" ht="15" hidden="false" customHeight="false" outlineLevel="0" collapsed="false">
      <c r="A139" s="7" t="s">
        <v>110</v>
      </c>
      <c r="B139" s="7" t="s">
        <v>118</v>
      </c>
      <c r="C139" s="7" t="s">
        <v>97</v>
      </c>
      <c r="D139" s="16" t="n">
        <v>-0.915414011698949</v>
      </c>
      <c r="E139" s="16" t="n">
        <v>0.298704883631873</v>
      </c>
      <c r="F139" s="17" t="n">
        <v>20</v>
      </c>
      <c r="G139" s="18" t="n">
        <f aca="false">IF(AND(ISNUMBER(D139),E139&gt;0),D139/E139,"")</f>
        <v>-3.06461012812604</v>
      </c>
      <c r="H139" s="18" t="n">
        <f aca="false">IF(G139="","",TDIST(ABS(G139),F139-1,2))</f>
        <v>0.00637840592656693</v>
      </c>
    </row>
    <row r="140" customFormat="false" ht="15" hidden="false" customHeight="false" outlineLevel="0" collapsed="false">
      <c r="A140" s="7" t="s">
        <v>110</v>
      </c>
      <c r="B140" s="7" t="s">
        <v>119</v>
      </c>
      <c r="C140" s="7" t="s">
        <v>95</v>
      </c>
      <c r="D140" s="16" t="n">
        <v>0.193927994371173</v>
      </c>
      <c r="E140" s="16" t="n">
        <v>0.271832308722979</v>
      </c>
      <c r="F140" s="17" t="n">
        <v>20</v>
      </c>
      <c r="G140" s="18" t="n">
        <f aca="false">IF(AND(ISNUMBER(D140),E140&gt;0),D140/E140,"")</f>
        <v>0.713410393643835</v>
      </c>
      <c r="H140" s="18" t="n">
        <f aca="false">IF(G140="","",TDIST(ABS(G140),F140-1,2))</f>
        <v>0.484263332272432</v>
      </c>
    </row>
    <row r="141" customFormat="false" ht="15" hidden="false" customHeight="false" outlineLevel="0" collapsed="false">
      <c r="A141" s="7" t="s">
        <v>110</v>
      </c>
      <c r="B141" s="7" t="s">
        <v>119</v>
      </c>
      <c r="C141" s="7" t="s">
        <v>96</v>
      </c>
      <c r="D141" s="16" t="n">
        <v>0.0991900231307288</v>
      </c>
      <c r="E141" s="16" t="n">
        <v>0.331705916931979</v>
      </c>
      <c r="F141" s="17" t="n">
        <v>20</v>
      </c>
      <c r="G141" s="18" t="n">
        <f aca="false">IF(AND(ISNUMBER(D141),E141&gt;0),D141/E141,"")</f>
        <v>0.29903000841275</v>
      </c>
      <c r="H141" s="18" t="n">
        <f aca="false">IF(G141="","",TDIST(ABS(G141),F141-1,2))</f>
        <v>0.768163344141241</v>
      </c>
    </row>
    <row r="142" customFormat="false" ht="15" hidden="false" customHeight="false" outlineLevel="0" collapsed="false">
      <c r="A142" s="7" t="s">
        <v>110</v>
      </c>
      <c r="B142" s="7" t="s">
        <v>119</v>
      </c>
      <c r="C142" s="7" t="s">
        <v>97</v>
      </c>
      <c r="D142" s="16" t="n">
        <v>0.0947379712404445</v>
      </c>
      <c r="E142" s="16" t="n">
        <v>0.334357033459019</v>
      </c>
      <c r="F142" s="17" t="n">
        <v>20</v>
      </c>
      <c r="G142" s="18" t="n">
        <f aca="false">IF(AND(ISNUMBER(D142),E142&gt;0),D142/E142,"")</f>
        <v>0.283343736664826</v>
      </c>
      <c r="H142" s="18" t="n">
        <f aca="false">IF(G142="","",TDIST(ABS(G142),F142-1,2))</f>
        <v>0.779977590292073</v>
      </c>
    </row>
    <row r="143" customFormat="false" ht="15" hidden="false" customHeight="false" outlineLevel="0" collapsed="false">
      <c r="A143" s="7" t="s">
        <v>110</v>
      </c>
      <c r="B143" s="7" t="s">
        <v>120</v>
      </c>
      <c r="C143" s="7" t="s">
        <v>95</v>
      </c>
      <c r="D143" s="16" t="n">
        <v>1.15089830959283</v>
      </c>
      <c r="E143" s="16" t="n">
        <v>0.582919884148699</v>
      </c>
      <c r="F143" s="17" t="n">
        <v>20</v>
      </c>
      <c r="G143" s="18" t="n">
        <f aca="false">IF(AND(ISNUMBER(D143),E143&gt;0),D143/E143,"")</f>
        <v>1.97436790353037</v>
      </c>
      <c r="H143" s="18" t="n">
        <f aca="false">IF(G143="","",TDIST(ABS(G143),F143-1,2))</f>
        <v>0.0630566658979433</v>
      </c>
    </row>
    <row r="144" customFormat="false" ht="15" hidden="false" customHeight="false" outlineLevel="0" collapsed="false">
      <c r="A144" s="7" t="s">
        <v>110</v>
      </c>
      <c r="B144" s="7" t="s">
        <v>120</v>
      </c>
      <c r="C144" s="7" t="s">
        <v>96</v>
      </c>
      <c r="D144" s="16" t="n">
        <v>-0.698354082168486</v>
      </c>
      <c r="E144" s="16" t="n">
        <v>0.144240229643797</v>
      </c>
      <c r="F144" s="17" t="n">
        <v>20</v>
      </c>
      <c r="G144" s="18" t="n">
        <f aca="false">IF(AND(ISNUMBER(D144),E144&gt;0),D144/E144,"")</f>
        <v>-4.84160406492057</v>
      </c>
      <c r="H144" s="18" t="n">
        <f aca="false">IF(G144="","",TDIST(ABS(G144),F144-1,2))</f>
        <v>0.000113353888111463</v>
      </c>
    </row>
    <row r="145" customFormat="false" ht="15" hidden="false" customHeight="false" outlineLevel="0" collapsed="false">
      <c r="A145" s="7" t="s">
        <v>110</v>
      </c>
      <c r="B145" s="7" t="s">
        <v>120</v>
      </c>
      <c r="C145" s="7" t="s">
        <v>97</v>
      </c>
      <c r="D145" s="16" t="n">
        <v>1.84925239176132</v>
      </c>
      <c r="E145" s="16" t="n">
        <v>0.659973217905859</v>
      </c>
      <c r="F145" s="17" t="n">
        <v>20</v>
      </c>
      <c r="G145" s="18" t="n">
        <f aca="false">IF(AND(ISNUMBER(D145),E145&gt;0),D145/E145,"")</f>
        <v>2.80201126589519</v>
      </c>
      <c r="H145" s="18" t="n">
        <f aca="false">IF(G145="","",TDIST(ABS(G145),F145-1,2))</f>
        <v>0.0113737227301315</v>
      </c>
    </row>
    <row r="146" customFormat="false" ht="15" hidden="false" customHeight="false" outlineLevel="0" collapsed="false">
      <c r="A146" s="7" t="s">
        <v>110</v>
      </c>
      <c r="B146" s="7" t="s">
        <v>121</v>
      </c>
      <c r="C146" s="7" t="s">
        <v>95</v>
      </c>
      <c r="D146" s="16" t="n">
        <v>-0.119765548555888</v>
      </c>
      <c r="E146" s="16" t="n">
        <v>1.90983084506884</v>
      </c>
      <c r="F146" s="17" t="n">
        <v>20</v>
      </c>
      <c r="G146" s="18" t="n">
        <f aca="false">IF(AND(ISNUMBER(D146),E146&gt;0),D146/E146,"")</f>
        <v>-0.0627100294589553</v>
      </c>
      <c r="H146" s="18" t="n">
        <f aca="false">IF(G146="","",TDIST(ABS(G146),F146-1,2))</f>
        <v>0.950652430512369</v>
      </c>
    </row>
    <row r="147" customFormat="false" ht="15" hidden="false" customHeight="false" outlineLevel="0" collapsed="false">
      <c r="A147" s="7" t="s">
        <v>110</v>
      </c>
      <c r="B147" s="7" t="s">
        <v>121</v>
      </c>
      <c r="C147" s="7" t="s">
        <v>96</v>
      </c>
      <c r="D147" s="16" t="n">
        <v>-2.58398985675947</v>
      </c>
      <c r="E147" s="16" t="n">
        <v>1.63510917772025</v>
      </c>
      <c r="F147" s="17" t="n">
        <v>20</v>
      </c>
      <c r="G147" s="18" t="n">
        <f aca="false">IF(AND(ISNUMBER(D147),E147&gt;0),D147/E147,"")</f>
        <v>-1.58031640453648</v>
      </c>
      <c r="H147" s="18" t="n">
        <f aca="false">IF(G147="","",TDIST(ABS(G147),F147-1,2))</f>
        <v>0.13053856159598</v>
      </c>
    </row>
    <row r="148" customFormat="false" ht="15" hidden="false" customHeight="false" outlineLevel="0" collapsed="false">
      <c r="A148" s="7" t="s">
        <v>110</v>
      </c>
      <c r="B148" s="7" t="s">
        <v>121</v>
      </c>
      <c r="C148" s="7" t="s">
        <v>97</v>
      </c>
      <c r="D148" s="16" t="n">
        <v>2.46422430820359</v>
      </c>
      <c r="E148" s="16" t="n">
        <v>2.36495007507865</v>
      </c>
      <c r="F148" s="17" t="n">
        <v>20</v>
      </c>
      <c r="G148" s="18" t="n">
        <f aca="false">IF(AND(ISNUMBER(D148),E148&gt;0),D148/E148,"")</f>
        <v>1.04197730606285</v>
      </c>
      <c r="H148" s="18" t="n">
        <f aca="false">IF(G148="","",TDIST(ABS(G148),F148-1,2))</f>
        <v>0.310499988591694</v>
      </c>
    </row>
    <row r="149" customFormat="false" ht="15" hidden="false" customHeight="false" outlineLevel="0" collapsed="false">
      <c r="A149" s="7" t="s">
        <v>110</v>
      </c>
      <c r="B149" s="7" t="s">
        <v>122</v>
      </c>
      <c r="C149" s="7" t="s">
        <v>95</v>
      </c>
      <c r="D149" s="16" t="n">
        <v>-0.921203503418809</v>
      </c>
      <c r="E149" s="16" t="n">
        <v>2.03991142555109</v>
      </c>
      <c r="F149" s="17" t="n">
        <v>20</v>
      </c>
      <c r="G149" s="18" t="n">
        <f aca="false">IF(AND(ISNUMBER(D149),E149&gt;0),D149/E149,"")</f>
        <v>-0.451589952328418</v>
      </c>
      <c r="H149" s="18" t="n">
        <f aca="false">IF(G149="","",TDIST(ABS(G149),F149-1,2))</f>
        <v>0.656676862338819</v>
      </c>
    </row>
    <row r="150" customFormat="false" ht="15" hidden="false" customHeight="false" outlineLevel="0" collapsed="false">
      <c r="A150" s="7" t="s">
        <v>110</v>
      </c>
      <c r="B150" s="7" t="s">
        <v>122</v>
      </c>
      <c r="C150" s="7" t="s">
        <v>96</v>
      </c>
      <c r="D150" s="16" t="n">
        <v>0.826609000776361</v>
      </c>
      <c r="E150" s="16" t="n">
        <v>0.613420216521158</v>
      </c>
      <c r="F150" s="17" t="n">
        <v>20</v>
      </c>
      <c r="G150" s="18" t="n">
        <f aca="false">IF(AND(ISNUMBER(D150),E150&gt;0),D150/E150,"")</f>
        <v>1.34754117734209</v>
      </c>
      <c r="H150" s="18" t="n">
        <f aca="false">IF(G150="","",TDIST(ABS(G150),F150-1,2))</f>
        <v>0.193656509855704</v>
      </c>
    </row>
    <row r="151" customFormat="false" ht="15" hidden="false" customHeight="false" outlineLevel="0" collapsed="false">
      <c r="A151" s="7" t="s">
        <v>110</v>
      </c>
      <c r="B151" s="7" t="s">
        <v>122</v>
      </c>
      <c r="C151" s="7" t="s">
        <v>97</v>
      </c>
      <c r="D151" s="16" t="n">
        <v>-1.74781250419517</v>
      </c>
      <c r="E151" s="16" t="n">
        <v>2.48205740349858</v>
      </c>
      <c r="F151" s="17" t="n">
        <v>20</v>
      </c>
      <c r="G151" s="18" t="n">
        <f aca="false">IF(AND(ISNUMBER(D151),E151&gt;0),D151/E151,"")</f>
        <v>-0.704178920975617</v>
      </c>
      <c r="H151" s="18" t="n">
        <f aca="false">IF(G151="","",TDIST(ABS(G151),F151-1,2))</f>
        <v>0.489862922695805</v>
      </c>
    </row>
    <row r="152" customFormat="false" ht="15" hidden="false" customHeight="false" outlineLevel="0" collapsed="false">
      <c r="A152" s="7" t="s">
        <v>110</v>
      </c>
      <c r="B152" s="7" t="s">
        <v>123</v>
      </c>
      <c r="C152" s="7" t="s">
        <v>95</v>
      </c>
      <c r="D152" s="16" t="n">
        <v>0.194102742890636</v>
      </c>
      <c r="E152" s="16" t="n">
        <v>0.308650654742431</v>
      </c>
      <c r="F152" s="17" t="n">
        <v>20</v>
      </c>
      <c r="G152" s="18" t="n">
        <f aca="false">IF(AND(ISNUMBER(D152),E152&gt;0),D152/E152,"")</f>
        <v>0.628875202136262</v>
      </c>
      <c r="H152" s="18" t="n">
        <f aca="false">IF(G152="","",TDIST(ABS(G152),F152-1,2))</f>
        <v>0.536918857485545</v>
      </c>
    </row>
    <row r="153" customFormat="false" ht="15" hidden="false" customHeight="false" outlineLevel="0" collapsed="false">
      <c r="A153" s="7" t="s">
        <v>110</v>
      </c>
      <c r="B153" s="7" t="s">
        <v>123</v>
      </c>
      <c r="C153" s="7" t="s">
        <v>96</v>
      </c>
      <c r="D153" s="16" t="n">
        <v>-0.152871920119911</v>
      </c>
      <c r="E153" s="16" t="n">
        <v>0.129025315167698</v>
      </c>
      <c r="F153" s="17" t="n">
        <v>20</v>
      </c>
      <c r="G153" s="18" t="n">
        <f aca="false">IF(AND(ISNUMBER(D153),E153&gt;0),D153/E153,"")</f>
        <v>-1.18482113313359</v>
      </c>
      <c r="H153" s="18" t="n">
        <f aca="false">IF(G153="","",TDIST(ABS(G153),F153-1,2))</f>
        <v>0.250697325098406</v>
      </c>
    </row>
    <row r="154" customFormat="false" ht="15" hidden="false" customHeight="false" outlineLevel="0" collapsed="false">
      <c r="A154" s="7" t="s">
        <v>110</v>
      </c>
      <c r="B154" s="7" t="s">
        <v>123</v>
      </c>
      <c r="C154" s="7" t="s">
        <v>97</v>
      </c>
      <c r="D154" s="16" t="n">
        <v>0.346974663010547</v>
      </c>
      <c r="E154" s="16" t="n">
        <v>0.386701753641736</v>
      </c>
      <c r="F154" s="17" t="n">
        <v>20</v>
      </c>
      <c r="G154" s="18" t="n">
        <f aca="false">IF(AND(ISNUMBER(D154),E154&gt;0),D154/E154,"")</f>
        <v>0.897266846459677</v>
      </c>
      <c r="H154" s="18" t="n">
        <f aca="false">IF(G154="","",TDIST(ABS(G154),F154-1,2))</f>
        <v>0.380805638092511</v>
      </c>
    </row>
    <row r="155" customFormat="false" ht="15" hidden="false" customHeight="false" outlineLevel="0" collapsed="false">
      <c r="A155" s="7" t="s">
        <v>110</v>
      </c>
      <c r="B155" s="7" t="s">
        <v>124</v>
      </c>
      <c r="C155" s="7" t="s">
        <v>95</v>
      </c>
      <c r="D155" s="16" t="n">
        <v>1.0374011496703</v>
      </c>
      <c r="E155" s="16" t="n">
        <v>0.539262862158099</v>
      </c>
      <c r="F155" s="17" t="n">
        <v>20</v>
      </c>
      <c r="G155" s="18" t="n">
        <f aca="false">IF(AND(ISNUMBER(D155),E155&gt;0),D155/E155,"")</f>
        <v>1.92373927905712</v>
      </c>
      <c r="H155" s="18" t="n">
        <f aca="false">IF(G155="","",TDIST(ABS(G155),F155-1,2))</f>
        <v>0.0695005408196367</v>
      </c>
    </row>
    <row r="156" customFormat="false" ht="15" hidden="false" customHeight="false" outlineLevel="0" collapsed="false">
      <c r="A156" s="7" t="s">
        <v>110</v>
      </c>
      <c r="B156" s="7" t="s">
        <v>124</v>
      </c>
      <c r="C156" s="7" t="s">
        <v>96</v>
      </c>
      <c r="D156" s="16" t="n">
        <v>-0.503984781699748</v>
      </c>
      <c r="E156" s="16" t="n">
        <v>0.235760863000414</v>
      </c>
      <c r="F156" s="17" t="n">
        <v>20</v>
      </c>
      <c r="G156" s="18" t="n">
        <f aca="false">IF(AND(ISNUMBER(D156),E156&gt;0),D156/E156,"")</f>
        <v>-2.13769484589502</v>
      </c>
      <c r="H156" s="18" t="n">
        <f aca="false">IF(G156="","",TDIST(ABS(G156),F156-1,2))</f>
        <v>0.0457550044442562</v>
      </c>
    </row>
    <row r="157" customFormat="false" ht="15" hidden="false" customHeight="false" outlineLevel="0" collapsed="false">
      <c r="A157" s="7" t="s">
        <v>110</v>
      </c>
      <c r="B157" s="7" t="s">
        <v>124</v>
      </c>
      <c r="C157" s="7" t="s">
        <v>97</v>
      </c>
      <c r="D157" s="16" t="n">
        <v>1.54138593137005</v>
      </c>
      <c r="E157" s="16" t="n">
        <v>0.63602509500394</v>
      </c>
      <c r="F157" s="17" t="n">
        <v>20</v>
      </c>
      <c r="G157" s="18" t="n">
        <f aca="false">IF(AND(ISNUMBER(D157),E157&gt;0),D157/E157,"")</f>
        <v>2.4234671610882</v>
      </c>
      <c r="H157" s="18" t="n">
        <f aca="false">IF(G157="","",TDIST(ABS(G157),F157-1,2))</f>
        <v>0.0255260907232482</v>
      </c>
    </row>
    <row r="158" customFormat="false" ht="15" hidden="false" customHeight="false" outlineLevel="0" collapsed="false">
      <c r="A158" s="7" t="s">
        <v>110</v>
      </c>
      <c r="B158" s="7" t="s">
        <v>125</v>
      </c>
      <c r="C158" s="7" t="s">
        <v>95</v>
      </c>
      <c r="D158" s="16" t="n">
        <v>-0.117843115128931</v>
      </c>
      <c r="E158" s="16" t="n">
        <v>0.458027071370541</v>
      </c>
      <c r="F158" s="17" t="n">
        <v>20</v>
      </c>
      <c r="G158" s="18" t="n">
        <f aca="false">IF(AND(ISNUMBER(D158),E158&gt;0),D158/E158,"")</f>
        <v>-0.257284170510517</v>
      </c>
      <c r="H158" s="18" t="n">
        <f aca="false">IF(G158="","",TDIST(ABS(G158),F158-1,2))</f>
        <v>0.799725163729394</v>
      </c>
    </row>
    <row r="159" customFormat="false" ht="15" hidden="false" customHeight="false" outlineLevel="0" collapsed="false">
      <c r="A159" s="7" t="s">
        <v>110</v>
      </c>
      <c r="B159" s="7" t="s">
        <v>125</v>
      </c>
      <c r="C159" s="7" t="s">
        <v>96</v>
      </c>
      <c r="D159" s="16" t="n">
        <v>0.307803226794081</v>
      </c>
      <c r="E159" s="16" t="n">
        <v>0.28054659752084</v>
      </c>
      <c r="F159" s="17" t="n">
        <v>20</v>
      </c>
      <c r="G159" s="18" t="n">
        <f aca="false">IF(AND(ISNUMBER(D159),E159&gt;0),D159/E159,"")</f>
        <v>1.09715544410128</v>
      </c>
      <c r="H159" s="18" t="n">
        <f aca="false">IF(G159="","",TDIST(ABS(G159),F159-1,2))</f>
        <v>0.28628446668429</v>
      </c>
    </row>
    <row r="160" customFormat="false" ht="15" hidden="false" customHeight="false" outlineLevel="0" collapsed="false">
      <c r="A160" s="7" t="s">
        <v>110</v>
      </c>
      <c r="B160" s="7" t="s">
        <v>125</v>
      </c>
      <c r="C160" s="7" t="s">
        <v>97</v>
      </c>
      <c r="D160" s="16" t="n">
        <v>-0.425646341923012</v>
      </c>
      <c r="E160" s="16" t="n">
        <v>0.386869407660641</v>
      </c>
      <c r="F160" s="17" t="n">
        <v>20</v>
      </c>
      <c r="G160" s="18" t="n">
        <f aca="false">IF(AND(ISNUMBER(D160),E160&gt;0),D160/E160,"")</f>
        <v>-1.1002326198312</v>
      </c>
      <c r="H160" s="18" t="n">
        <f aca="false">IF(G160="","",TDIST(ABS(G160),F160-1,2))</f>
        <v>0.284975674771523</v>
      </c>
    </row>
    <row r="161" customFormat="false" ht="15" hidden="false" customHeight="false" outlineLevel="0" collapsed="false">
      <c r="A161" s="7" t="s">
        <v>110</v>
      </c>
      <c r="B161" s="7" t="s">
        <v>126</v>
      </c>
      <c r="C161" s="7" t="s">
        <v>95</v>
      </c>
      <c r="D161" s="16" t="n">
        <v>0.215614495039525</v>
      </c>
      <c r="E161" s="16" t="n">
        <v>0.984303667493857</v>
      </c>
      <c r="F161" s="17" t="n">
        <v>20</v>
      </c>
      <c r="G161" s="18" t="n">
        <f aca="false">IF(AND(ISNUMBER(D161),E161&gt;0),D161/E161,"")</f>
        <v>0.219052820953621</v>
      </c>
      <c r="H161" s="18" t="n">
        <f aca="false">IF(G161="","",TDIST(ABS(G161),F161-1,2))</f>
        <v>0.828944846352237</v>
      </c>
    </row>
    <row r="162" customFormat="false" ht="15" hidden="false" customHeight="false" outlineLevel="0" collapsed="false">
      <c r="A162" s="7" t="s">
        <v>110</v>
      </c>
      <c r="B162" s="7" t="s">
        <v>126</v>
      </c>
      <c r="C162" s="7" t="s">
        <v>96</v>
      </c>
      <c r="D162" s="16" t="n">
        <v>-0.589630237121836</v>
      </c>
      <c r="E162" s="16" t="n">
        <v>0.697092271768723</v>
      </c>
      <c r="F162" s="17" t="n">
        <v>20</v>
      </c>
      <c r="G162" s="18" t="n">
        <f aca="false">IF(AND(ISNUMBER(D162),E162&gt;0),D162/E162,"")</f>
        <v>-0.845842453002348</v>
      </c>
      <c r="H162" s="18" t="n">
        <f aca="false">IF(G162="","",TDIST(ABS(G162),F162-1,2))</f>
        <v>0.408167324725082</v>
      </c>
    </row>
    <row r="163" customFormat="false" ht="15" hidden="false" customHeight="false" outlineLevel="0" collapsed="false">
      <c r="A163" s="7" t="s">
        <v>110</v>
      </c>
      <c r="B163" s="7" t="s">
        <v>126</v>
      </c>
      <c r="C163" s="7" t="s">
        <v>97</v>
      </c>
      <c r="D163" s="16" t="n">
        <v>0.805244732161361</v>
      </c>
      <c r="E163" s="16" t="n">
        <v>1.39509690556364</v>
      </c>
      <c r="F163" s="17" t="n">
        <v>20</v>
      </c>
      <c r="G163" s="18" t="n">
        <f aca="false">IF(AND(ISNUMBER(D163),E163&gt;0),D163/E163,"")</f>
        <v>0.577196271420321</v>
      </c>
      <c r="H163" s="18" t="n">
        <f aca="false">IF(G163="","",TDIST(ABS(G163),F163-1,2))</f>
        <v>0.570583640040933</v>
      </c>
    </row>
    <row r="164" customFormat="false" ht="15" hidden="false" customHeight="false" outlineLevel="0" collapsed="false">
      <c r="A164" s="7" t="s">
        <v>110</v>
      </c>
      <c r="B164" s="7" t="s">
        <v>127</v>
      </c>
      <c r="C164" s="7" t="s">
        <v>95</v>
      </c>
      <c r="D164" s="16" t="n">
        <v>-6.17226844687435</v>
      </c>
      <c r="E164" s="16" t="n">
        <v>4.29083123906399</v>
      </c>
      <c r="F164" s="17" t="n">
        <v>20</v>
      </c>
      <c r="G164" s="18" t="n">
        <f aca="false">IF(AND(ISNUMBER(D164),E164&gt;0),D164/E164,"")</f>
        <v>-1.43847849122605</v>
      </c>
      <c r="H164" s="18" t="n">
        <f aca="false">IF(G164="","",TDIST(ABS(G164),F164-1,2))</f>
        <v>0.166567745878876</v>
      </c>
    </row>
    <row r="165" customFormat="false" ht="15" hidden="false" customHeight="false" outlineLevel="0" collapsed="false">
      <c r="A165" s="7" t="s">
        <v>110</v>
      </c>
      <c r="B165" s="7" t="s">
        <v>127</v>
      </c>
      <c r="C165" s="7" t="s">
        <v>96</v>
      </c>
      <c r="D165" s="16" t="n">
        <v>-1.418613375403</v>
      </c>
      <c r="E165" s="16" t="n">
        <v>1.0523568168254</v>
      </c>
      <c r="F165" s="17" t="n">
        <v>20</v>
      </c>
      <c r="G165" s="18" t="n">
        <f aca="false">IF(AND(ISNUMBER(D165),E165&gt;0),D165/E165,"")</f>
        <v>-1.34803457603141</v>
      </c>
      <c r="H165" s="18" t="n">
        <f aca="false">IF(G165="","",TDIST(ABS(G165),F165-1,2))</f>
        <v>0.193500598238325</v>
      </c>
    </row>
    <row r="166" customFormat="false" ht="15" hidden="false" customHeight="false" outlineLevel="0" collapsed="false">
      <c r="A166" s="7" t="s">
        <v>110</v>
      </c>
      <c r="B166" s="7" t="s">
        <v>127</v>
      </c>
      <c r="C166" s="7" t="s">
        <v>97</v>
      </c>
      <c r="D166" s="16" t="n">
        <v>-4.75365507147135</v>
      </c>
      <c r="E166" s="16" t="n">
        <v>4.3943378026372</v>
      </c>
      <c r="F166" s="17" t="n">
        <v>20</v>
      </c>
      <c r="G166" s="18" t="n">
        <f aca="false">IF(AND(ISNUMBER(D166),E166&gt;0),D166/E166,"")</f>
        <v>-1.08176824017</v>
      </c>
      <c r="H166" s="18" t="n">
        <f aca="false">IF(G166="","",TDIST(ABS(G166),F166-1,2))</f>
        <v>0.292894796170534</v>
      </c>
    </row>
    <row r="167" customFormat="false" ht="15" hidden="false" customHeight="false" outlineLevel="0" collapsed="false">
      <c r="A167" s="7" t="s">
        <v>110</v>
      </c>
      <c r="B167" s="7" t="s">
        <v>128</v>
      </c>
      <c r="C167" s="7" t="s">
        <v>95</v>
      </c>
      <c r="D167" s="16"/>
      <c r="E167" s="16"/>
      <c r="F167" s="17" t="n">
        <v>20</v>
      </c>
      <c r="G167" s="18" t="str">
        <f aca="false">IF(AND(ISNUMBER(D167),E167&gt;0),D167/E167,"")</f>
        <v/>
      </c>
      <c r="H167" s="18" t="str">
        <f aca="false">IF(G167="","",TDIST(ABS(G167),F167-1,2))</f>
        <v/>
      </c>
    </row>
    <row r="168" customFormat="false" ht="15" hidden="false" customHeight="false" outlineLevel="0" collapsed="false">
      <c r="A168" s="7" t="s">
        <v>110</v>
      </c>
      <c r="B168" s="7" t="s">
        <v>128</v>
      </c>
      <c r="C168" s="7" t="s">
        <v>96</v>
      </c>
      <c r="D168" s="16" t="n">
        <v>-0.0579838885885142</v>
      </c>
      <c r="E168" s="16" t="n">
        <v>0.467518538579391</v>
      </c>
      <c r="F168" s="17" t="n">
        <v>20</v>
      </c>
      <c r="G168" s="18" t="n">
        <f aca="false">IF(AND(ISNUMBER(D168),E168&gt;0),D168/E168,"")</f>
        <v>-0.124024790042989</v>
      </c>
      <c r="H168" s="18" t="n">
        <f aca="false">IF(G168="","",TDIST(ABS(G168),F168-1,2))</f>
        <v>0.902598343781873</v>
      </c>
    </row>
    <row r="169" customFormat="false" ht="15" hidden="false" customHeight="false" outlineLevel="0" collapsed="false">
      <c r="A169" s="7" t="s">
        <v>110</v>
      </c>
      <c r="B169" s="7" t="s">
        <v>128</v>
      </c>
      <c r="C169" s="7" t="s">
        <v>97</v>
      </c>
      <c r="D169" s="16"/>
      <c r="E169" s="16"/>
      <c r="F169" s="17" t="n">
        <v>20</v>
      </c>
      <c r="G169" s="18" t="str">
        <f aca="false">IF(AND(ISNUMBER(D169),E169&gt;0),D169/E169,"")</f>
        <v/>
      </c>
      <c r="H169" s="18" t="str">
        <f aca="false">IF(G169="","",TDIST(ABS(G169),F169-1,2))</f>
        <v/>
      </c>
    </row>
    <row r="170" customFormat="false" ht="15" hidden="false" customHeight="false" outlineLevel="0" collapsed="false">
      <c r="A170" s="7" t="s">
        <v>110</v>
      </c>
      <c r="B170" s="7" t="s">
        <v>129</v>
      </c>
      <c r="C170" s="7" t="s">
        <v>95</v>
      </c>
      <c r="D170" s="16" t="n">
        <v>-0.00433002931814237</v>
      </c>
      <c r="E170" s="16" t="n">
        <v>0.112735932629093</v>
      </c>
      <c r="F170" s="17" t="n">
        <v>20</v>
      </c>
      <c r="G170" s="18" t="n">
        <f aca="false">IF(AND(ISNUMBER(D170),E170&gt;0),D170/E170,"")</f>
        <v>-0.0384085997885732</v>
      </c>
      <c r="H170" s="18" t="n">
        <f aca="false">IF(G170="","",TDIST(ABS(G170),F170-1,2))</f>
        <v>0.969762604593007</v>
      </c>
    </row>
    <row r="171" customFormat="false" ht="15" hidden="false" customHeight="false" outlineLevel="0" collapsed="false">
      <c r="A171" s="7" t="s">
        <v>110</v>
      </c>
      <c r="B171" s="7" t="s">
        <v>129</v>
      </c>
      <c r="C171" s="7" t="s">
        <v>96</v>
      </c>
      <c r="D171" s="16" t="n">
        <v>-0.104421847301865</v>
      </c>
      <c r="E171" s="16" t="n">
        <v>0.0925680828191098</v>
      </c>
      <c r="F171" s="17" t="n">
        <v>20</v>
      </c>
      <c r="G171" s="18" t="n">
        <f aca="false">IF(AND(ISNUMBER(D171),E171&gt;0),D171/E171,"")</f>
        <v>-1.12805455316515</v>
      </c>
      <c r="H171" s="18" t="n">
        <f aca="false">IF(G171="","",TDIST(ABS(G171),F171-1,2))</f>
        <v>0.273340604728247</v>
      </c>
    </row>
    <row r="172" customFormat="false" ht="15" hidden="false" customHeight="false" outlineLevel="0" collapsed="false">
      <c r="A172" s="7" t="s">
        <v>110</v>
      </c>
      <c r="B172" s="7" t="s">
        <v>129</v>
      </c>
      <c r="C172" s="7" t="s">
        <v>97</v>
      </c>
      <c r="D172" s="16" t="n">
        <v>0.100091817983723</v>
      </c>
      <c r="E172" s="16" t="n">
        <v>0.16696932568397</v>
      </c>
      <c r="F172" s="17" t="n">
        <v>20</v>
      </c>
      <c r="G172" s="18" t="n">
        <f aca="false">IF(AND(ISNUMBER(D172),E172&gt;0),D172/E172,"")</f>
        <v>0.599462311857035</v>
      </c>
      <c r="H172" s="18" t="n">
        <f aca="false">IF(G172="","",TDIST(ABS(G172),F172-1,2))</f>
        <v>0.55594636117665</v>
      </c>
    </row>
    <row r="173" customFormat="false" ht="15" hidden="false" customHeight="false" outlineLevel="0" collapsed="false">
      <c r="A173" s="7" t="s">
        <v>110</v>
      </c>
      <c r="B173" s="7" t="s">
        <v>130</v>
      </c>
      <c r="C173" s="7" t="s">
        <v>95</v>
      </c>
      <c r="D173" s="16" t="n">
        <v>-0.646509638326698</v>
      </c>
      <c r="E173" s="16" t="n">
        <v>0.746232600912863</v>
      </c>
      <c r="F173" s="17" t="n">
        <v>20</v>
      </c>
      <c r="G173" s="18" t="n">
        <f aca="false">IF(AND(ISNUMBER(D173),E173&gt;0),D173/E173,"")</f>
        <v>-0.866364773578407</v>
      </c>
      <c r="H173" s="18" t="n">
        <f aca="false">IF(G173="","",TDIST(ABS(G173),F173-1,2))</f>
        <v>0.397099118168527</v>
      </c>
    </row>
    <row r="174" customFormat="false" ht="15" hidden="false" customHeight="false" outlineLevel="0" collapsed="false">
      <c r="A174" s="7" t="s">
        <v>110</v>
      </c>
      <c r="B174" s="7" t="s">
        <v>130</v>
      </c>
      <c r="C174" s="7" t="s">
        <v>96</v>
      </c>
      <c r="D174" s="16" t="n">
        <v>-0.296358923459322</v>
      </c>
      <c r="E174" s="16" t="n">
        <v>0.268689431558897</v>
      </c>
      <c r="F174" s="17" t="n">
        <v>20</v>
      </c>
      <c r="G174" s="18" t="n">
        <f aca="false">IF(AND(ISNUMBER(D174),E174&gt;0),D174/E174,"")</f>
        <v>-1.10297945750933</v>
      </c>
      <c r="H174" s="18" t="n">
        <f aca="false">IF(G174="","",TDIST(ABS(G174),F174-1,2))</f>
        <v>0.283811081048479</v>
      </c>
    </row>
    <row r="175" customFormat="false" ht="15" hidden="false" customHeight="false" outlineLevel="0" collapsed="false">
      <c r="A175" s="7" t="s">
        <v>110</v>
      </c>
      <c r="B175" s="7" t="s">
        <v>130</v>
      </c>
      <c r="C175" s="7" t="s">
        <v>97</v>
      </c>
      <c r="D175" s="16" t="n">
        <v>-0.350150714867376</v>
      </c>
      <c r="E175" s="16" t="n">
        <v>0.862196863056576</v>
      </c>
      <c r="F175" s="17" t="n">
        <v>20</v>
      </c>
      <c r="G175" s="18" t="n">
        <f aca="false">IF(AND(ISNUMBER(D175),E175&gt;0),D175/E175,"")</f>
        <v>-0.406114577622164</v>
      </c>
      <c r="H175" s="18" t="n">
        <f aca="false">IF(G175="","",TDIST(ABS(G175),F175-1,2))</f>
        <v>0.689195890091633</v>
      </c>
    </row>
    <row r="176" customFormat="false" ht="15" hidden="false" customHeight="false" outlineLevel="0" collapsed="false">
      <c r="A176" s="7" t="s">
        <v>110</v>
      </c>
      <c r="B176" s="7" t="s">
        <v>131</v>
      </c>
      <c r="C176" s="7" t="s">
        <v>95</v>
      </c>
      <c r="D176" s="16" t="n">
        <v>0.00091434284330377</v>
      </c>
      <c r="E176" s="16" t="n">
        <v>0.0929059791551302</v>
      </c>
      <c r="F176" s="17" t="n">
        <v>20</v>
      </c>
      <c r="G176" s="18" t="n">
        <f aca="false">IF(AND(ISNUMBER(D176),E176&gt;0),D176/E176,"")</f>
        <v>0.00984159309894405</v>
      </c>
      <c r="H176" s="18" t="n">
        <f aca="false">IF(G176="","",TDIST(ABS(G176),F176-1,2))</f>
        <v>0.992250274578146</v>
      </c>
    </row>
    <row r="177" customFormat="false" ht="15" hidden="false" customHeight="false" outlineLevel="0" collapsed="false">
      <c r="A177" s="7" t="s">
        <v>110</v>
      </c>
      <c r="B177" s="7" t="s">
        <v>131</v>
      </c>
      <c r="C177" s="7" t="s">
        <v>96</v>
      </c>
      <c r="D177" s="16" t="n">
        <v>0.306932985131484</v>
      </c>
      <c r="E177" s="16" t="n">
        <v>0.358172044328565</v>
      </c>
      <c r="F177" s="17" t="n">
        <v>20</v>
      </c>
      <c r="G177" s="18" t="n">
        <f aca="false">IF(AND(ISNUMBER(D177),E177&gt;0),D177/E177,"")</f>
        <v>0.856942885385892</v>
      </c>
      <c r="H177" s="18" t="n">
        <f aca="false">IF(G177="","",TDIST(ABS(G177),F177-1,2))</f>
        <v>0.402156108065976</v>
      </c>
    </row>
    <row r="178" customFormat="false" ht="15" hidden="false" customHeight="false" outlineLevel="0" collapsed="false">
      <c r="A178" s="7" t="s">
        <v>110</v>
      </c>
      <c r="B178" s="7" t="s">
        <v>131</v>
      </c>
      <c r="C178" s="7" t="s">
        <v>97</v>
      </c>
      <c r="D178" s="16" t="n">
        <v>-0.30601864228818</v>
      </c>
      <c r="E178" s="16" t="n">
        <v>0.388988347167909</v>
      </c>
      <c r="F178" s="17" t="n">
        <v>20</v>
      </c>
      <c r="G178" s="18" t="n">
        <f aca="false">IF(AND(ISNUMBER(D178),E178&gt;0),D178/E178,"")</f>
        <v>-0.786703880761973</v>
      </c>
      <c r="H178" s="18" t="n">
        <f aca="false">IF(G178="","",TDIST(ABS(G178),F178-1,2))</f>
        <v>0.44115803975234</v>
      </c>
    </row>
    <row r="179" customFormat="false" ht="15" hidden="false" customHeight="false" outlineLevel="0" collapsed="false">
      <c r="A179" s="7" t="s">
        <v>110</v>
      </c>
      <c r="B179" s="7" t="s">
        <v>132</v>
      </c>
      <c r="C179" s="7" t="s">
        <v>95</v>
      </c>
      <c r="D179" s="16" t="n">
        <v>3.17657184153982</v>
      </c>
      <c r="E179" s="16" t="n">
        <v>0.797894795788783</v>
      </c>
      <c r="F179" s="17" t="n">
        <v>20</v>
      </c>
      <c r="G179" s="18" t="n">
        <f aca="false">IF(AND(ISNUMBER(D179),E179&gt;0),D179/E179,"")</f>
        <v>3.98119132786111</v>
      </c>
      <c r="H179" s="18" t="n">
        <f aca="false">IF(G179="","",TDIST(ABS(G179),F179-1,2))</f>
        <v>0.000799828742914099</v>
      </c>
    </row>
    <row r="180" customFormat="false" ht="15" hidden="false" customHeight="false" outlineLevel="0" collapsed="false">
      <c r="A180" s="7" t="s">
        <v>110</v>
      </c>
      <c r="B180" s="7" t="s">
        <v>132</v>
      </c>
      <c r="C180" s="7" t="s">
        <v>96</v>
      </c>
      <c r="D180" s="16" t="n">
        <v>0.203530631606013</v>
      </c>
      <c r="E180" s="16" t="n">
        <v>0.448216327363472</v>
      </c>
      <c r="F180" s="17" t="n">
        <v>20</v>
      </c>
      <c r="G180" s="18" t="n">
        <f aca="false">IF(AND(ISNUMBER(D180),E180&gt;0),D180/E180,"")</f>
        <v>0.454090177399904</v>
      </c>
      <c r="H180" s="18" t="n">
        <f aca="false">IF(G180="","",TDIST(ABS(G180),F180-1,2))</f>
        <v>0.654908441192881</v>
      </c>
    </row>
    <row r="181" customFormat="false" ht="15" hidden="false" customHeight="false" outlineLevel="0" collapsed="false">
      <c r="A181" s="7" t="s">
        <v>110</v>
      </c>
      <c r="B181" s="7" t="s">
        <v>132</v>
      </c>
      <c r="C181" s="7" t="s">
        <v>97</v>
      </c>
      <c r="D181" s="16" t="n">
        <v>2.9730412099338</v>
      </c>
      <c r="E181" s="16" t="n">
        <v>0.620727321605657</v>
      </c>
      <c r="F181" s="17" t="n">
        <v>20</v>
      </c>
      <c r="G181" s="18" t="n">
        <f aca="false">IF(AND(ISNUMBER(D181),E181&gt;0),D181/E181,"")</f>
        <v>4.78960907060339</v>
      </c>
      <c r="H181" s="18" t="n">
        <f aca="false">IF(G181="","",TDIST(ABS(G181),F181-1,2))</f>
        <v>0.000127410509139234</v>
      </c>
    </row>
    <row r="182" customFormat="false" ht="15" hidden="false" customHeight="false" outlineLevel="0" collapsed="false">
      <c r="A182" s="7" t="s">
        <v>110</v>
      </c>
      <c r="B182" s="7" t="s">
        <v>133</v>
      </c>
      <c r="C182" s="7" t="s">
        <v>95</v>
      </c>
      <c r="D182" s="16" t="n">
        <v>-10.5618772096846</v>
      </c>
      <c r="E182" s="16" t="n">
        <v>1.57700570359413</v>
      </c>
      <c r="F182" s="17" t="n">
        <v>20</v>
      </c>
      <c r="G182" s="18" t="n">
        <f aca="false">IF(AND(ISNUMBER(D182),E182&gt;0),D182/E182,"")</f>
        <v>-6.69742486385002</v>
      </c>
      <c r="H182" s="18" t="n">
        <f aca="false">IF(G182="","",TDIST(ABS(G182),F182-1,2))</f>
        <v>2.10826149676095E-006</v>
      </c>
    </row>
    <row r="183" customFormat="false" ht="15" hidden="false" customHeight="false" outlineLevel="0" collapsed="false">
      <c r="A183" s="7" t="s">
        <v>110</v>
      </c>
      <c r="B183" s="7" t="s">
        <v>133</v>
      </c>
      <c r="C183" s="7" t="s">
        <v>96</v>
      </c>
      <c r="D183" s="16" t="n">
        <v>-1.18031455729362</v>
      </c>
      <c r="E183" s="16" t="n">
        <v>1.18230792521146</v>
      </c>
      <c r="F183" s="17" t="n">
        <v>20</v>
      </c>
      <c r="G183" s="18" t="n">
        <f aca="false">IF(AND(ISNUMBER(D183),E183&gt;0),D183/E183,"")</f>
        <v>-0.998314002743841</v>
      </c>
      <c r="H183" s="18" t="n">
        <f aca="false">IF(G183="","",TDIST(ABS(G183),F183-1,2))</f>
        <v>0.330672387012616</v>
      </c>
    </row>
    <row r="184" customFormat="false" ht="15" hidden="false" customHeight="false" outlineLevel="0" collapsed="false">
      <c r="A184" s="7" t="s">
        <v>110</v>
      </c>
      <c r="B184" s="7" t="s">
        <v>133</v>
      </c>
      <c r="C184" s="7" t="s">
        <v>97</v>
      </c>
      <c r="D184" s="16" t="n">
        <v>-9.38156265239102</v>
      </c>
      <c r="E184" s="16" t="n">
        <v>2.14032954253554</v>
      </c>
      <c r="F184" s="17" t="n">
        <v>20</v>
      </c>
      <c r="G184" s="18" t="n">
        <f aca="false">IF(AND(ISNUMBER(D184),E184&gt;0),D184/E184,"")</f>
        <v>-4.38323279941142</v>
      </c>
      <c r="H184" s="18" t="n">
        <f aca="false">IF(G184="","",TDIST(ABS(G184),F184-1,2))</f>
        <v>0.000319681558165743</v>
      </c>
    </row>
    <row r="185" customFormat="false" ht="15" hidden="false" customHeight="false" outlineLevel="0" collapsed="false">
      <c r="A185" s="7" t="s">
        <v>110</v>
      </c>
      <c r="B185" s="7" t="s">
        <v>134</v>
      </c>
      <c r="C185" s="7" t="s">
        <v>95</v>
      </c>
      <c r="D185" s="16" t="n">
        <v>0.830890245426953</v>
      </c>
      <c r="E185" s="16" t="n">
        <v>0.885156511160667</v>
      </c>
      <c r="F185" s="17" t="n">
        <v>20</v>
      </c>
      <c r="G185" s="18" t="n">
        <f aca="false">IF(AND(ISNUMBER(D185),E185&gt;0),D185/E185,"")</f>
        <v>0.938693027674217</v>
      </c>
      <c r="H185" s="18" t="n">
        <f aca="false">IF(G185="","",TDIST(ABS(G185),F185-1,2))</f>
        <v>0.35966917635438</v>
      </c>
    </row>
    <row r="186" customFormat="false" ht="15" hidden="false" customHeight="false" outlineLevel="0" collapsed="false">
      <c r="A186" s="7" t="s">
        <v>110</v>
      </c>
      <c r="B186" s="7" t="s">
        <v>134</v>
      </c>
      <c r="C186" s="7" t="s">
        <v>96</v>
      </c>
      <c r="D186" s="16" t="n">
        <v>-1.24108019290351</v>
      </c>
      <c r="E186" s="16" t="n">
        <v>0.71180047476318</v>
      </c>
      <c r="F186" s="17" t="n">
        <v>20</v>
      </c>
      <c r="G186" s="18" t="n">
        <f aca="false">IF(AND(ISNUMBER(D186),E186&gt;0),D186/E186,"")</f>
        <v>-1.74357876526624</v>
      </c>
      <c r="H186" s="18" t="n">
        <f aca="false">IF(G186="","",TDIST(ABS(G186),F186-1,2))</f>
        <v>0.0973917809952819</v>
      </c>
    </row>
    <row r="187" customFormat="false" ht="15" hidden="false" customHeight="false" outlineLevel="0" collapsed="false">
      <c r="A187" s="7" t="s">
        <v>110</v>
      </c>
      <c r="B187" s="7" t="s">
        <v>134</v>
      </c>
      <c r="C187" s="7" t="s">
        <v>97</v>
      </c>
      <c r="D187" s="16" t="n">
        <v>2.07197043833046</v>
      </c>
      <c r="E187" s="16" t="n">
        <v>1.24686459570681</v>
      </c>
      <c r="F187" s="17" t="n">
        <v>20</v>
      </c>
      <c r="G187" s="18" t="n">
        <f aca="false">IF(AND(ISNUMBER(D187),E187&gt;0),D187/E187,"")</f>
        <v>1.66174454344493</v>
      </c>
      <c r="H187" s="18" t="n">
        <f aca="false">IF(G187="","",TDIST(ABS(G187),F187-1,2))</f>
        <v>0.112974984096523</v>
      </c>
    </row>
    <row r="188" customFormat="false" ht="15" hidden="false" customHeight="false" outlineLevel="0" collapsed="false">
      <c r="A188" s="7" t="s">
        <v>110</v>
      </c>
      <c r="B188" s="7" t="s">
        <v>135</v>
      </c>
      <c r="C188" s="7" t="s">
        <v>95</v>
      </c>
      <c r="D188" s="16" t="n">
        <v>-0.0563284054753471</v>
      </c>
      <c r="E188" s="16" t="n">
        <v>0.0807249882015553</v>
      </c>
      <c r="F188" s="17" t="n">
        <v>20</v>
      </c>
      <c r="G188" s="18" t="n">
        <f aca="false">IF(AND(ISNUMBER(D188),E188&gt;0),D188/E188,"")</f>
        <v>-0.697781526269233</v>
      </c>
      <c r="H188" s="18" t="n">
        <f aca="false">IF(G188="","",TDIST(ABS(G188),F188-1,2))</f>
        <v>0.49376542098608</v>
      </c>
    </row>
    <row r="189" customFormat="false" ht="15" hidden="false" customHeight="false" outlineLevel="0" collapsed="false">
      <c r="A189" s="7" t="s">
        <v>110</v>
      </c>
      <c r="B189" s="7" t="s">
        <v>135</v>
      </c>
      <c r="C189" s="7" t="s">
        <v>96</v>
      </c>
      <c r="D189" s="16" t="n">
        <v>-0.118287718419324</v>
      </c>
      <c r="E189" s="16" t="n">
        <v>0.116260330167757</v>
      </c>
      <c r="F189" s="17" t="n">
        <v>20</v>
      </c>
      <c r="G189" s="18" t="n">
        <f aca="false">IF(AND(ISNUMBER(D189),E189&gt;0),D189/E189,"")</f>
        <v>-1.01743834933758</v>
      </c>
      <c r="H189" s="18" t="n">
        <f aca="false">IF(G189="","",TDIST(ABS(G189),F189-1,2))</f>
        <v>0.321726590282024</v>
      </c>
    </row>
    <row r="190" customFormat="false" ht="15" hidden="false" customHeight="false" outlineLevel="0" collapsed="false">
      <c r="A190" s="7" t="s">
        <v>110</v>
      </c>
      <c r="B190" s="7" t="s">
        <v>135</v>
      </c>
      <c r="C190" s="7" t="s">
        <v>97</v>
      </c>
      <c r="D190" s="16" t="n">
        <v>0.0619593129439772</v>
      </c>
      <c r="E190" s="16" t="n">
        <v>0.12765920993964</v>
      </c>
      <c r="F190" s="17" t="n">
        <v>20</v>
      </c>
      <c r="G190" s="18" t="n">
        <f aca="false">IF(AND(ISNUMBER(D190),E190&gt;0),D190/E190,"")</f>
        <v>0.485349337296328</v>
      </c>
      <c r="H190" s="18" t="n">
        <f aca="false">IF(G190="","",TDIST(ABS(G190),F190-1,2))</f>
        <v>0.632977859004936</v>
      </c>
    </row>
    <row r="191" customFormat="false" ht="15" hidden="false" customHeight="false" outlineLevel="0" collapsed="false">
      <c r="A191" s="7" t="s">
        <v>110</v>
      </c>
      <c r="B191" s="7" t="s">
        <v>136</v>
      </c>
      <c r="C191" s="7" t="s">
        <v>95</v>
      </c>
      <c r="D191" s="16" t="n">
        <v>-0.758153094420343</v>
      </c>
      <c r="E191" s="16" t="n">
        <v>0.334948636945693</v>
      </c>
      <c r="F191" s="17" t="n">
        <v>20</v>
      </c>
      <c r="G191" s="18" t="n">
        <f aca="false">IF(AND(ISNUMBER(D191),E191&gt;0),D191/E191,"")</f>
        <v>-2.2634906095864</v>
      </c>
      <c r="H191" s="18" t="n">
        <f aca="false">IF(G191="","",TDIST(ABS(G191),F191-1,2))</f>
        <v>0.0355049785705133</v>
      </c>
    </row>
    <row r="192" customFormat="false" ht="15" hidden="false" customHeight="false" outlineLevel="0" collapsed="false">
      <c r="A192" s="7" t="s">
        <v>110</v>
      </c>
      <c r="B192" s="7" t="s">
        <v>136</v>
      </c>
      <c r="C192" s="7" t="s">
        <v>96</v>
      </c>
      <c r="D192" s="16" t="n">
        <v>-0.604499358890049</v>
      </c>
      <c r="E192" s="16" t="n">
        <v>0.344526567951199</v>
      </c>
      <c r="F192" s="17" t="n">
        <v>20</v>
      </c>
      <c r="G192" s="18" t="n">
        <f aca="false">IF(AND(ISNUMBER(D192),E192&gt;0),D192/E192,"")</f>
        <v>-1.75457980638426</v>
      </c>
      <c r="H192" s="18" t="n">
        <f aca="false">IF(G192="","",TDIST(ABS(G192),F192-1,2))</f>
        <v>0.0954451252652182</v>
      </c>
    </row>
    <row r="193" customFormat="false" ht="15" hidden="false" customHeight="false" outlineLevel="0" collapsed="false">
      <c r="A193" s="7" t="s">
        <v>110</v>
      </c>
      <c r="B193" s="7" t="s">
        <v>136</v>
      </c>
      <c r="C193" s="7" t="s">
        <v>97</v>
      </c>
      <c r="D193" s="16" t="n">
        <v>-0.153653735530294</v>
      </c>
      <c r="E193" s="16" t="n">
        <v>0.438283413732288</v>
      </c>
      <c r="F193" s="17" t="n">
        <v>20</v>
      </c>
      <c r="G193" s="18" t="n">
        <f aca="false">IF(AND(ISNUMBER(D193),E193&gt;0),D193/E193,"")</f>
        <v>-0.350580767412175</v>
      </c>
      <c r="H193" s="18" t="n">
        <f aca="false">IF(G193="","",TDIST(ABS(G193),F193-1,2))</f>
        <v>0.729759792219079</v>
      </c>
    </row>
    <row r="194" customFormat="false" ht="15" hidden="false" customHeight="false" outlineLevel="0" collapsed="false">
      <c r="A194" s="7" t="s">
        <v>110</v>
      </c>
      <c r="B194" s="7" t="s">
        <v>137</v>
      </c>
      <c r="C194" s="7" t="s">
        <v>95</v>
      </c>
      <c r="D194" s="16" t="n">
        <v>0.421192682163924</v>
      </c>
      <c r="E194" s="16" t="n">
        <v>0.304756499169443</v>
      </c>
      <c r="F194" s="17" t="n">
        <v>20</v>
      </c>
      <c r="G194" s="18" t="n">
        <f aca="false">IF(AND(ISNUMBER(D194),E194&gt;0),D194/E194,"")</f>
        <v>1.38206300214042</v>
      </c>
      <c r="H194" s="18" t="n">
        <f aca="false">IF(G194="","",TDIST(ABS(G194),F194-1,2))</f>
        <v>0.182986224819211</v>
      </c>
    </row>
    <row r="195" customFormat="false" ht="15" hidden="false" customHeight="false" outlineLevel="0" collapsed="false">
      <c r="A195" s="7" t="s">
        <v>110</v>
      </c>
      <c r="B195" s="7" t="s">
        <v>137</v>
      </c>
      <c r="C195" s="7" t="s">
        <v>96</v>
      </c>
      <c r="D195" s="16" t="n">
        <v>0.335602384347654</v>
      </c>
      <c r="E195" s="16" t="n">
        <v>0.322597060263315</v>
      </c>
      <c r="F195" s="17" t="n">
        <v>20</v>
      </c>
      <c r="G195" s="18" t="n">
        <f aca="false">IF(AND(ISNUMBER(D195),E195&gt;0),D195/E195,"")</f>
        <v>1.04031445318728</v>
      </c>
      <c r="H195" s="18" t="n">
        <f aca="false">IF(G195="","",TDIST(ABS(G195),F195-1,2))</f>
        <v>0.31125181799547</v>
      </c>
    </row>
    <row r="196" customFormat="false" ht="15" hidden="false" customHeight="false" outlineLevel="0" collapsed="false">
      <c r="A196" s="7" t="s">
        <v>110</v>
      </c>
      <c r="B196" s="7" t="s">
        <v>137</v>
      </c>
      <c r="C196" s="7" t="s">
        <v>97</v>
      </c>
      <c r="D196" s="16" t="n">
        <v>0.0855902978162693</v>
      </c>
      <c r="E196" s="16" t="n">
        <v>0.435616546613951</v>
      </c>
      <c r="F196" s="17" t="n">
        <v>20</v>
      </c>
      <c r="G196" s="18" t="n">
        <f aca="false">IF(AND(ISNUMBER(D196),E196&gt;0),D196/E196,"")</f>
        <v>0.196480823516836</v>
      </c>
      <c r="H196" s="18" t="n">
        <f aca="false">IF(G196="","",TDIST(ABS(G196),F196-1,2))</f>
        <v>0.846320186686486</v>
      </c>
    </row>
    <row r="197" customFormat="false" ht="15" hidden="false" customHeight="false" outlineLevel="0" collapsed="false">
      <c r="A197" s="7" t="s">
        <v>110</v>
      </c>
      <c r="B197" s="7" t="s">
        <v>138</v>
      </c>
      <c r="C197" s="7" t="s">
        <v>95</v>
      </c>
      <c r="D197" s="16" t="n">
        <v>0.818163290676734</v>
      </c>
      <c r="E197" s="16" t="n">
        <v>0.749209744794638</v>
      </c>
      <c r="F197" s="17" t="n">
        <v>20</v>
      </c>
      <c r="G197" s="18" t="n">
        <f aca="false">IF(AND(ISNUMBER(D197),E197&gt;0),D197/E197,"")</f>
        <v>1.09203503606456</v>
      </c>
      <c r="H197" s="18" t="n">
        <f aca="false">IF(G197="","",TDIST(ABS(G197),F197-1,2))</f>
        <v>0.288472004166688</v>
      </c>
    </row>
    <row r="198" customFormat="false" ht="15" hidden="false" customHeight="false" outlineLevel="0" collapsed="false">
      <c r="A198" s="7" t="s">
        <v>110</v>
      </c>
      <c r="B198" s="7" t="s">
        <v>138</v>
      </c>
      <c r="C198" s="7" t="s">
        <v>96</v>
      </c>
      <c r="D198" s="16" t="n">
        <v>0.152633918289246</v>
      </c>
      <c r="E198" s="16" t="n">
        <v>0.449243904375947</v>
      </c>
      <c r="F198" s="17" t="n">
        <v>20</v>
      </c>
      <c r="G198" s="18" t="n">
        <f aca="false">IF(AND(ISNUMBER(D198),E198&gt;0),D198/E198,"")</f>
        <v>0.339757349632317</v>
      </c>
      <c r="H198" s="18" t="n">
        <f aca="false">IF(G198="","",TDIST(ABS(G198),F198-1,2))</f>
        <v>0.737766295641451</v>
      </c>
    </row>
    <row r="199" customFormat="false" ht="15" hidden="false" customHeight="false" outlineLevel="0" collapsed="false">
      <c r="A199" s="7" t="s">
        <v>110</v>
      </c>
      <c r="B199" s="7" t="s">
        <v>138</v>
      </c>
      <c r="C199" s="7" t="s">
        <v>97</v>
      </c>
      <c r="D199" s="16" t="n">
        <v>0.665529372387488</v>
      </c>
      <c r="E199" s="16" t="n">
        <v>0.940073342173122</v>
      </c>
      <c r="F199" s="17" t="n">
        <v>20</v>
      </c>
      <c r="G199" s="18" t="n">
        <f aca="false">IF(AND(ISNUMBER(D199),E199&gt;0),D199/E199,"")</f>
        <v>0.707954733456239</v>
      </c>
      <c r="H199" s="18" t="n">
        <f aca="false">IF(G199="","",TDIST(ABS(G199),F199-1,2))</f>
        <v>0.487568064735744</v>
      </c>
    </row>
    <row r="200" customFormat="false" ht="15" hidden="false" customHeight="false" outlineLevel="0" collapsed="false">
      <c r="A200" s="7" t="s">
        <v>110</v>
      </c>
      <c r="B200" s="7" t="s">
        <v>139</v>
      </c>
      <c r="C200" s="7" t="s">
        <v>95</v>
      </c>
      <c r="D200" s="16" t="n">
        <v>-0.294673464669226</v>
      </c>
      <c r="E200" s="16" t="n">
        <v>1.311466254628</v>
      </c>
      <c r="F200" s="17" t="n">
        <v>20</v>
      </c>
      <c r="G200" s="18" t="n">
        <f aca="false">IF(AND(ISNUMBER(D200),E200&gt;0),D200/E200,"")</f>
        <v>-0.224690085337202</v>
      </c>
      <c r="H200" s="18" t="n">
        <f aca="false">IF(G200="","",TDIST(ABS(G200),F200-1,2))</f>
        <v>0.824619124647188</v>
      </c>
    </row>
    <row r="201" customFormat="false" ht="15" hidden="false" customHeight="false" outlineLevel="0" collapsed="false">
      <c r="A201" s="7" t="s">
        <v>110</v>
      </c>
      <c r="B201" s="7" t="s">
        <v>139</v>
      </c>
      <c r="C201" s="7" t="s">
        <v>96</v>
      </c>
      <c r="D201" s="16" t="n">
        <v>-2.59906724540415</v>
      </c>
      <c r="E201" s="16" t="n">
        <v>0.931655867514713</v>
      </c>
      <c r="F201" s="17" t="n">
        <v>20</v>
      </c>
      <c r="G201" s="18" t="n">
        <f aca="false">IF(AND(ISNUMBER(D201),E201&gt;0),D201/E201,"")</f>
        <v>-2.7897288430517</v>
      </c>
      <c r="H201" s="18" t="n">
        <f aca="false">IF(G201="","",TDIST(ABS(G201),F201-1,2))</f>
        <v>0.0116820240342417</v>
      </c>
    </row>
    <row r="202" customFormat="false" ht="15" hidden="false" customHeight="false" outlineLevel="0" collapsed="false">
      <c r="A202" s="7" t="s">
        <v>110</v>
      </c>
      <c r="B202" s="7" t="s">
        <v>139</v>
      </c>
      <c r="C202" s="7" t="s">
        <v>97</v>
      </c>
      <c r="D202" s="16" t="n">
        <v>2.30439378073492</v>
      </c>
      <c r="E202" s="16" t="n">
        <v>1.76192563973805</v>
      </c>
      <c r="F202" s="17" t="n">
        <v>20</v>
      </c>
      <c r="G202" s="18" t="n">
        <f aca="false">IF(AND(ISNUMBER(D202),E202&gt;0),D202/E202,"")</f>
        <v>1.30788367497593</v>
      </c>
      <c r="H202" s="18" t="n">
        <f aca="false">IF(G202="","",TDIST(ABS(G202),F202-1,2))</f>
        <v>0.206516777199378</v>
      </c>
    </row>
    <row r="203" customFormat="false" ht="15" hidden="false" customHeight="false" outlineLevel="0" collapsed="false">
      <c r="A203" s="7" t="s">
        <v>110</v>
      </c>
      <c r="B203" s="7" t="s">
        <v>140</v>
      </c>
      <c r="C203" s="7" t="s">
        <v>95</v>
      </c>
      <c r="D203" s="16" t="n">
        <v>-1.32087411194677</v>
      </c>
      <c r="E203" s="16" t="n">
        <v>0.736206289469976</v>
      </c>
      <c r="F203" s="17" t="n">
        <v>20</v>
      </c>
      <c r="G203" s="18" t="n">
        <f aca="false">IF(AND(ISNUMBER(D203),E203&gt;0),D203/E203,"")</f>
        <v>-1.79416303669141</v>
      </c>
      <c r="H203" s="18" t="n">
        <f aca="false">IF(G203="","",TDIST(ABS(G203),F203-1,2))</f>
        <v>0.0887167904227611</v>
      </c>
    </row>
    <row r="204" customFormat="false" ht="15" hidden="false" customHeight="false" outlineLevel="0" collapsed="false">
      <c r="A204" s="7" t="s">
        <v>110</v>
      </c>
      <c r="B204" s="7" t="s">
        <v>140</v>
      </c>
      <c r="C204" s="7" t="s">
        <v>96</v>
      </c>
      <c r="D204" s="16" t="n">
        <v>-2.45258028786526</v>
      </c>
      <c r="E204" s="16" t="n">
        <v>1.9555694338999</v>
      </c>
      <c r="F204" s="17" t="n">
        <v>20</v>
      </c>
      <c r="G204" s="18" t="n">
        <f aca="false">IF(AND(ISNUMBER(D204),E204&gt;0),D204/E204,"")</f>
        <v>-1.25415147391325</v>
      </c>
      <c r="H204" s="18" t="n">
        <f aca="false">IF(G204="","",TDIST(ABS(G204),F204-1,2))</f>
        <v>0.224997894878688</v>
      </c>
    </row>
    <row r="205" customFormat="false" ht="15" hidden="false" customHeight="false" outlineLevel="0" collapsed="false">
      <c r="A205" s="7" t="s">
        <v>110</v>
      </c>
      <c r="B205" s="7" t="s">
        <v>140</v>
      </c>
      <c r="C205" s="7" t="s">
        <v>97</v>
      </c>
      <c r="D205" s="16" t="n">
        <v>1.1317061759185</v>
      </c>
      <c r="E205" s="16" t="n">
        <v>2.41810217846417</v>
      </c>
      <c r="F205" s="17" t="n">
        <v>20</v>
      </c>
      <c r="G205" s="18" t="n">
        <f aca="false">IF(AND(ISNUMBER(D205),E205&gt;0),D205/E205,"")</f>
        <v>0.468014208000626</v>
      </c>
      <c r="H205" s="18" t="n">
        <f aca="false">IF(G205="","",TDIST(ABS(G205),F205-1,2))</f>
        <v>0.645098371902775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2026-10-16T15:49:53Z</dcterms:created>
  <dc:creator>openpyxl</dc:creator>
  <dc:description/>
  <dc:language>en-US</dc:language>
  <cp:lastModifiedBy/>
  <dcterms:modified xsi:type="dcterms:W3CDTF">2026-10-16T15:49:53Z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