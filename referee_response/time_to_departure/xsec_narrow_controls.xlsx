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V" sheetId="1" state="visible" r:id="rId3"/>
    <sheet name="Table VI" sheetId="2" state="visible" r:id="rId4"/>
    <sheet name="Table VII" sheetId="3" state="visible" r:id="rId5"/>
    <sheet name="Specification comparison" sheetId="4" state="visible" r:id="rId6"/>
    <sheet name="Compensation splits" sheetId="5" state="visible" r:id="rId7"/>
    <sheet name="Period split" sheetId="6" state="visible" r:id="rId8"/>
    <sheet name="Log pay x time" sheetId="7" state="visible" r:id="rId9"/>
    <sheet name="Estimat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<sst xmlns="http://schemas.openxmlformats.org/spreadsheetml/2006/main" count="1856" uniqueCount="151">
  <si>
    <t xml:space="preserve">Table V: CIO Incentives and Plan Performance, Narrow Controls</t>
  </si>
  <si>
    <t xml:space="preserve">Underpaid is the paper's indicator (CIO total compensation below $224,578, the pooled 2009-2014 median; see xsec_interactions_fye1.xlsx, Underpaid checks). Panel C instead uses pay below the median of reported CIO pay in the same fiscal year, filled within the CIO's spell at the plan. Young CIOs are 46 years old or younger (missing when CIO age is missing). Each panel reports one regression of plan performance on Conflicted CIO interacted with the group indicator, with the control variables also interacted with the group indicator, and fiscal-year-end date fixed effects. The control variables are Size, the lagged funding ratio and the lagged allocations to equities, fixed income, real estate, private equity, hedge funds, other alternatives, commodities and cash, each interacted with the group indicator (the funding split omits the lagged funding ratio, as in the paper's code). Benchmark-Adjusted Return is the plan's return minus the updated policy benchmark (reported in the plan's financial report or, where none is stated, an inferred value graded A or B). The p-value row tests that the two Conflicted CIO coefficients are equal. The standard errors are double clustered by plan and year (plan and fiscal-year-end date for the financial-center split). Coefficients marked with ***, **, and * are significant at the 1%, 5%, and 10% level, respectively.</t>
  </si>
  <si>
    <t xml:space="preserve">Panel A. Effect of Conflict for Underpaid CIOs</t>
  </si>
  <si>
    <t xml:space="preserve">Peer-Adjusted Return (t)</t>
  </si>
  <si>
    <t xml:space="preserve">Benchmark-Adjusted Return, Updated Benchmark (t)</t>
  </si>
  <si>
    <t xml:space="preserve">Underpaid CIOs</t>
  </si>
  <si>
    <t xml:space="preserve">Not Underpaid CIOs</t>
  </si>
  <si>
    <t xml:space="preserve">Conflicted CIO</t>
  </si>
  <si>
    <t xml:space="preserve">p-value: equal coefficients</t>
  </si>
  <si>
    <t xml:space="preserve">Observations</t>
  </si>
  <si>
    <t xml:space="preserve">Adjusted R-squared</t>
  </si>
  <si>
    <t xml:space="preserve">Controls</t>
  </si>
  <si>
    <t xml:space="preserve">Narrow</t>
  </si>
  <si>
    <t xml:space="preserve">Fiscal-Year-End FE</t>
  </si>
  <si>
    <t xml:space="preserve">Yes</t>
  </si>
  <si>
    <t xml:space="preserve">Panel B. Effect of Conflict for Younger CIOs</t>
  </si>
  <si>
    <t xml:space="preserve">Young CIOs</t>
  </si>
  <si>
    <t xml:space="preserve">Not Young CIOs</t>
  </si>
  <si>
    <t xml:space="preserve">Panel C. Effect of Conflict for Underpaid CIOs, Annual Median</t>
  </si>
  <si>
    <t xml:space="preserve">Underpaid (annual median)</t>
  </si>
  <si>
    <t xml:space="preserve">Not Underpaid (annual median)</t>
  </si>
  <si>
    <t xml:space="preserve">Table VI: Alternative Pathways and Plan Performance, Narrow Controls</t>
  </si>
  <si>
    <t xml:space="preserve">Prior Private Exp. equals 1 for CIOs with prior private firm experience; Financial Center equals 1 for plans headquartered in financial centers. Each panel reports one regression of plan performance on Conflicted CIO interacted with the group indicator, with the control variables also interacted with the group indicator, and fiscal-year-end date fixed effects. The control variables are Size, the lagged funding ratio and the lagged allocations to equities, fixed income, real estate, private equity, hedge funds, other alternatives, commodities and cash, each interacted with the group indicator (the funding split omits the lagged funding ratio, as in the paper's code). Benchmark-Adjusted Return is the plan's return minus the updated policy benchmark (reported in the plan's financial report or, where none is stated, an inferred value graded A or B). The p-value row tests that the two Conflicted CIO coefficients are equal. The standard errors are double clustered by plan and year (plan and fiscal-year-end date for the financial-center split). Coefficients marked with ***, **, and * are significant at the 1%, 5%, and 10% level, respectively.</t>
  </si>
  <si>
    <t xml:space="preserve">Panel A. Effect of Conflict for CIOs With and Without Prior Private Experience</t>
  </si>
  <si>
    <t xml:space="preserve">No Prior Private Exp.</t>
  </si>
  <si>
    <t xml:space="preserve">Prior Private Exp.</t>
  </si>
  <si>
    <t xml:space="preserve">Panel B. Effect of Conflict for Plans Located in Financial Centers</t>
  </si>
  <si>
    <t xml:space="preserve">Non-Financial Center</t>
  </si>
  <si>
    <t xml:space="preserve">Financial Center</t>
  </si>
  <si>
    <t xml:space="preserve">Table VII: Governance and Plan Performance, Narrow Controls</t>
  </si>
  <si>
    <t xml:space="preserve">High Discount Rate equals 1 if the plan's discount rate is above 8%; High Funding equals 1 for funding ratios of at least 92% (missing when the funding ratio is missing). Each panel reports one regression of plan performance on Conflicted CIO interacted with the group indicator, with the control variables also interacted with the group indicator, and fiscal-year-end date fixed effects. The control variables are Size, the lagged funding ratio and the lagged allocations to equities, fixed income, real estate, private equity, hedge funds, other alternatives, commodities and cash, each interacted with the group indicator (the funding split omits the lagged funding ratio, as in the paper's code). Benchmark-Adjusted Return is the plan's return minus the updated policy benchmark (reported in the plan's financial report or, where none is stated, an inferred value graded A or B). The p-value row tests that the two Conflicted CIO coefficients are equal. The standard errors are double clustered by plan and year (plan and fiscal-year-end date for the financial-center split). Coefficients marked with ***, **, and * are significant at the 1%, 5%, and 10% level, respectively.</t>
  </si>
  <si>
    <t xml:space="preserve">Panel A. Effect of Conflict Based on Liability Discount Rate</t>
  </si>
  <si>
    <t xml:space="preserve">High Discount Rate</t>
  </si>
  <si>
    <t xml:space="preserve">Not High Discount Rate</t>
  </si>
  <si>
    <t xml:space="preserve">Panel B. Effect of Conflict Based on Funding</t>
  </si>
  <si>
    <t xml:space="preserve">High Funding</t>
  </si>
  <si>
    <t xml:space="preserve">Lower Funding</t>
  </si>
  <si>
    <t xml:space="preserve">Cross-Sectional Splits Under Alternative Controls and Fixed Effects</t>
  </si>
  <si>
    <t xml:space="preserve">Each block re-estimates one split under five specifications. 'Narrow controls' are listed in the table notes of Tables V-VII on this workbook; 'Paper controls' are the control variables of the corresponding regression in the paper's code. 'Paper-controls sample' keeps only plan-years with all of the paper's controls non-missing, so the row differs from the one above it only in the control variables. The last row of each block is the published specification. Benchmark-Adjusted Return is the plan's return minus the updated policy benchmark (reported in the plan's financial report or, where none is stated, an inferred value graded A or B). The p-value row tests that the two Conflicted CIO coefficients are equal. The standard errors are double clustered by plan and year (plan and fiscal-year-end date for the financial-center split). Coefficients marked with ***, **, and * are significant at the 1%, 5%, and 10% level, respectively.</t>
  </si>
  <si>
    <t xml:space="preserve">Table V, Panel A: Group 1 = Underpaid CIOs; Group 0 = Not Underpaid CIOs</t>
  </si>
  <si>
    <t xml:space="preserve">Group 1 x Conflicted</t>
  </si>
  <si>
    <t xml:space="preserve">Group 0 x Conflicted</t>
  </si>
  <si>
    <t xml:space="preserve">p-value equal</t>
  </si>
  <si>
    <t xml:space="preserve">Obs.</t>
  </si>
  <si>
    <t xml:space="preserve">Narrow controls, fiscal-year-end FE</t>
  </si>
  <si>
    <t xml:space="preserve">Narrow controls, year FE</t>
  </si>
  <si>
    <t xml:space="preserve">Narrow controls, fiscal-year-end FE, paper-controls sample</t>
  </si>
  <si>
    <t xml:space="preserve">Paper controls, fiscal-year-end FE</t>
  </si>
  <si>
    <t xml:space="preserve">Paper controls, year FE (published specification)</t>
  </si>
  <si>
    <t xml:space="preserve">Table V, Panel C: Group 1 = Underpaid (annual median); Group 0 = Not Underpaid (annual median)</t>
  </si>
  <si>
    <t xml:space="preserve">Table V, Panel B: Group 1 = Young CIOs; Group 0 = Not Young CIOs</t>
  </si>
  <si>
    <t xml:space="preserve">Table VI, Panel A: Group 1 = Prior Private Exp.; Group 0 = No Prior Private Exp.</t>
  </si>
  <si>
    <t xml:space="preserve">Table VI, Panel B: Group 1 = Financial Center; Group 0 = Non-Financial Center</t>
  </si>
  <si>
    <t xml:space="preserve">Table VII, Panel A: Group 1 = High Discount Rate; Group 0 = Not High Discount Rate</t>
  </si>
  <si>
    <t xml:space="preserve">Table VII, Panel B: Group 1 = High Funding; Group 0 = Lower Funding</t>
  </si>
  <si>
    <t xml:space="preserve">Effect of Conflict by CIO Pay: Alternative Definitions</t>
  </si>
  <si>
    <t xml:space="preserve">Each row splits the sample by a different definition of high versus low CIO pay, computed from reported CIO_TotalComp over all plan-years with reported pay and filled within the CIO's spell at the plan (years without reported pay take the nearest earlier reported year, or the first reported year), as the paper's Underpaid measure is filled. The first row reproduces the paper's Underpaid cutoff on this sample (spells without any reported pay drop out). Inflation-adjusted pay deflates by the CPI-U annual average (BLS series CUUR0000SA0) to 2020 dollars. Pay given plan size is the residual from a regression of log pay on Size and fiscal-year indicators. The top-third, top-quarter and bottom-third cutoffs are computed within each fiscal year. The last columns report the share of plan-years in the lower-paid group, overall, for conflicted plan-years, and by period (2001-2008 / 2009-2014 / 2015-2020). Panel A uses the narrow controls with fiscal-year-end date fixed effects; Panel B uses the paper's controls for the Underpaid split with year fixed effects (the published specification). Benchmark-Adjusted Return is the plan's return minus the updated policy benchmark (reported in the plan's financial report or, where none is stated, an inferred value graded A or B). The p-value row tests that the two Conflicted CIO coefficients are equal. The standard errors are double clustered by plan and year (plan and fiscal-year-end date for the financial-center split). Coefficients marked with ***, **, and * are significant at the 1%, 5%, and 10% level, respectively.</t>
  </si>
  <si>
    <t xml:space="preserve">Panel A. Narrow controls, fiscal-year-end FE</t>
  </si>
  <si>
    <t xml:space="preserve">Definition of the lower-paid group</t>
  </si>
  <si>
    <t xml:space="preserve">Lower-paid x Conflicted</t>
  </si>
  <si>
    <t xml:space="preserve">Higher-paid x Conflicted</t>
  </si>
  <si>
    <t xml:space="preserve">Share lower-paid (all / conflicted)</t>
  </si>
  <si>
    <t xml:space="preserve">Share lower-paid by period</t>
  </si>
  <si>
    <t xml:space="preserve">Below $224,578 (paper code: pooled 2009-14 median)</t>
  </si>
  <si>
    <t xml:space="preserve">0.53 / 0.64</t>
  </si>
  <si>
    <t xml:space="preserve">0.73 / 0.47 / 0.27</t>
  </si>
  <si>
    <t xml:space="preserve">Below the median of that fiscal year (paper text)</t>
  </si>
  <si>
    <t xml:space="preserve">0.47 / 0.56</t>
  </si>
  <si>
    <t xml:space="preserve">0.45 / 0.50 / 0.44</t>
  </si>
  <si>
    <t xml:space="preserve">Below the pooled median of inflation-adjusted pay</t>
  </si>
  <si>
    <t xml:space="preserve">0.48 / 0.52</t>
  </si>
  <si>
    <t xml:space="preserve">0.62 / 0.47 / 0.27</t>
  </si>
  <si>
    <t xml:space="preserve">Below the median pay given plan size (paper text)</t>
  </si>
  <si>
    <t xml:space="preserve">0.46 / 0.56</t>
  </si>
  <si>
    <t xml:space="preserve">0.46 / 0.48 / 0.46</t>
  </si>
  <si>
    <t xml:space="preserve">Top third of pay that year vs. rest</t>
  </si>
  <si>
    <t xml:space="preserve">0.63 / 0.74</t>
  </si>
  <si>
    <t xml:space="preserve">0.61 / 0.67 / 0.61</t>
  </si>
  <si>
    <t xml:space="preserve">Top quarter of pay that year vs. rest</t>
  </si>
  <si>
    <t xml:space="preserve">0.73 / 0.82</t>
  </si>
  <si>
    <t xml:space="preserve">0.74 / 0.76 / 0.68</t>
  </si>
  <si>
    <t xml:space="preserve">Bottom third of pay that year vs. rest</t>
  </si>
  <si>
    <t xml:space="preserve">0.28 / 0.36</t>
  </si>
  <si>
    <t xml:space="preserve">0.27 / 0.31 / 0.25</t>
  </si>
  <si>
    <t xml:space="preserve">Panel B. Paper controls, year FE (published specification)</t>
  </si>
  <si>
    <t xml:space="preserve">Effect of Conflict in 2001-2008 and 2009-2020</t>
  </si>
  <si>
    <t xml:space="preserve">Each regression interacts Conflicted CIO and the control variables with an indicator for fiscal years 2001-2008, as in the cross-sectional splits. The first specification uses the narrow controls with fiscal-year-end date fixed effects; the second uses the paper's controls for the Underpaid split with year fixed effects. The sample has 192 conflicted plan-years (32 CIOs) in 2001-2008 and 175 (27 CIOs) in 2009-2020. Benchmark-Adjusted Return is the plan's return minus the updated policy benchmark (reported in the plan's financial report or, where none is stated, an inferred value graded A or B). The p-value row tests that the two Conflicted CIO coefficients are equal. The standard errors are double clustered by plan and year (plan and fiscal-year-end date for the financial-center split). Coefficients marked with ***, **, and * are significant at the 1%, 5%, and 10% level, respectively.</t>
  </si>
  <si>
    <t xml:space="preserve">Specification</t>
  </si>
  <si>
    <t xml:space="preserve">2001-2008 x Conflicted</t>
  </si>
  <si>
    <t xml:space="preserve">2009-2020 x Conflicted</t>
  </si>
  <si>
    <t xml:space="preserve">Log CIO Pay Interaction, Allowing the Effect of Conflict to Vary Over Time</t>
  </si>
  <si>
    <t xml:space="preserve">Each column re-estimates the Log CIO Total Comp. column of the interaction specification (xsec_interactions_fye1.xlsx: all Table III controls, fiscal-year-end date fixed effects, log pay in the same fiscal year centered at its regression-sample mean, plan-years with reported pay). Columns (2)-(4) add interactions of Conflicted CIO with an indicator for 2001-2008, a linear fiscal-year trend, or fiscal-year indicators (each centered), so that the effect of conflict may differ over time; in column (4) the log pay interaction is identified only from differences in pay among conflicted CIOs in the same fiscal year. Benchmark-Adjusted Return is the plan's return minus the updated policy benchmark (reported in the plan's financial report or, where none is stated, an inferred value graded A or B). The standard errors are double clustered by plan and year. Coefficients marked with ***, **, and * are significant at the 1%, 5%, and 10% level, respectively.</t>
  </si>
  <si>
    <t xml:space="preserve">Panel A. Peer-Adjusted Returns</t>
  </si>
  <si>
    <t xml:space="preserve">(1)
Log pay (as in the Interactions sheet)</t>
  </si>
  <si>
    <t xml:space="preserve">(2)
+ Conflicted x 2001-2008 indicator</t>
  </si>
  <si>
    <t xml:space="preserve">(3)
+ Conflicted x linear year trend</t>
  </si>
  <si>
    <t xml:space="preserve">(4)
+ Conflicted x fiscal-year indicators</t>
  </si>
  <si>
    <t xml:space="preserve">Conflicted CIO (at mean log pay)</t>
  </si>
  <si>
    <t xml:space="preserve">Conflicted CIO x Log CIO Total Comp.</t>
  </si>
  <si>
    <t xml:space="preserve">Log CIO Total Comp.</t>
  </si>
  <si>
    <t xml:space="preserve">Conflicted CIO x 2001-2008</t>
  </si>
  <si>
    <t xml:space="preserve">Panel B. Benchmark-Adjusted Returns (updated benchmark)</t>
  </si>
  <si>
    <t xml:space="preserve">Estimates behind the tables. Blue = regression output (coefficient, SE, minimum cluster count). t and p are formulas; p uses the t distribution with (min clusters - 1) df. SE double clustered by plan and fiscal year (plan and fiscal-year-end date for the financial-center split), with the eigenvalue fix.</t>
  </si>
  <si>
    <t xml:space="preserve">Table</t>
  </si>
  <si>
    <t xml:space="preserve">Dependent variable</t>
  </si>
  <si>
    <t xml:space="preserve">Term</t>
  </si>
  <si>
    <t xml:space="preserve">Coefficient</t>
  </si>
  <si>
    <t xml:space="preserve">SE</t>
  </si>
  <si>
    <t xml:space="preserve">Clusters (min)</t>
  </si>
  <si>
    <t xml:space="preserve">t</t>
  </si>
  <si>
    <t xml:space="preserve">p</t>
  </si>
  <si>
    <t xml:space="preserve">Table V, Panel A</t>
  </si>
  <si>
    <t xml:space="preserve">Narrow controls, fye1 FE</t>
  </si>
  <si>
    <t xml:space="preserve">peer_adj_ret100</t>
  </si>
  <si>
    <t xml:space="preserve">Underpaid CIOs x Conflicted</t>
  </si>
  <si>
    <t xml:space="preserve">Not Underpaid CIOs x Conflicted</t>
  </si>
  <si>
    <t xml:space="preserve">b_AB</t>
  </si>
  <si>
    <t xml:space="preserve">difference</t>
  </si>
  <si>
    <t xml:space="preserve">Table V, Panel B</t>
  </si>
  <si>
    <t xml:space="preserve">Young CIOs x Conflicted</t>
  </si>
  <si>
    <t xml:space="preserve">Not Young CIOs x Conflicted</t>
  </si>
  <si>
    <t xml:space="preserve">Table V, Panel C</t>
  </si>
  <si>
    <t xml:space="preserve">Underpaid (annual median) x Conflicted</t>
  </si>
  <si>
    <t xml:space="preserve">Not Underpaid (annual median) x Conflicted</t>
  </si>
  <si>
    <t xml:space="preserve">Table VI, Panel A</t>
  </si>
  <si>
    <t xml:space="preserve">No Prior Private Exp. x Conflicted</t>
  </si>
  <si>
    <t xml:space="preserve">Prior Private Exp. x Conflicted</t>
  </si>
  <si>
    <t xml:space="preserve">Table VI, Panel B</t>
  </si>
  <si>
    <t xml:space="preserve">Non-Financial Center x Conflicted</t>
  </si>
  <si>
    <t xml:space="preserve">Financial Center x Conflicted</t>
  </si>
  <si>
    <t xml:space="preserve">Table VII, Panel A</t>
  </si>
  <si>
    <t xml:space="preserve">High Discount Rate x Conflicted</t>
  </si>
  <si>
    <t xml:space="preserve">Not High Discount Rate x Conflicted</t>
  </si>
  <si>
    <t xml:space="preserve">Table VII, Panel B</t>
  </si>
  <si>
    <t xml:space="preserve">High Funding x Conflicted</t>
  </si>
  <si>
    <t xml:space="preserve">Lower Funding x Conflicted</t>
  </si>
  <si>
    <t xml:space="preserve">a</t>
  </si>
  <si>
    <t xml:space="preserve">b</t>
  </si>
  <si>
    <t xml:space="preserve">Compensation: Below $224,578 (paper code: pooled 2009-14 median)</t>
  </si>
  <si>
    <t xml:space="preserve">Compensation: Below the median of that fiscal year (paper text)</t>
  </si>
  <si>
    <t xml:space="preserve">Compensation: Below the pooled median of inflation-adjusted pay</t>
  </si>
  <si>
    <t xml:space="preserve">Compensation: Below the median pay given plan size (paper text)</t>
  </si>
  <si>
    <t xml:space="preserve">Compensation: Top third of pay that year vs. rest</t>
  </si>
  <si>
    <t xml:space="preserve">Compensation: Top quarter of pay that year vs. rest</t>
  </si>
  <si>
    <t xml:space="preserve">Compensation: Bottom third of pay that year vs. rest</t>
  </si>
  <si>
    <t xml:space="preserve">Period split</t>
  </si>
  <si>
    <t xml:space="preserve">Log pay x time</t>
  </si>
  <si>
    <t xml:space="preserve">Log pay (as in the Interactions sheet)</t>
  </si>
  <si>
    <t xml:space="preserve">+ Conflicted x 2001-2008 indicator</t>
  </si>
  <si>
    <t xml:space="preserve">+ Conflicted x linear year trend</t>
  </si>
  <si>
    <t xml:space="preserve">+ Conflicted x fiscal-year indicators</t>
  </si>
</sst>
</file>

<file path=xl/styles.xml><?xml version="1.0" encoding="utf-8"?>
<styleSheet xmlns="http://schemas.openxmlformats.org/spreadsheetml/2006/main">
  <numFmts count="4">
    <numFmt numFmtId="164" formatCode="General"/>
    <numFmt numFmtId="165" formatCode="0.000"/>
    <numFmt numFmtId="166" formatCode="#,##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true" applyAlignment="true" applyProtection="false">
      <alignment horizontal="center" vertical="center" textRotation="0" wrapText="true" indent="0" shrinkToFit="false"/>
      <protection locked="true" hidden="false"/>
    </xf>
    <xf numFmtId="166" fontId="5"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5" fontId="5" fillId="0" borderId="2"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5"/>
  </cols>
  <sheetData>
    <row r="1" customFormat="false" ht="15" hidden="false" customHeight="false" outlineLevel="0" collapsed="false">
      <c r="A1" s="1" t="s">
        <v>0</v>
      </c>
    </row>
    <row r="2" customFormat="false" ht="210" hidden="false" customHeight="true" outlineLevel="0" collapsed="false">
      <c r="A2" s="2" t="s">
        <v>1</v>
      </c>
      <c r="B2" s="2"/>
      <c r="C2" s="2"/>
      <c r="D2" s="2"/>
      <c r="E2" s="2"/>
    </row>
    <row r="4" customFormat="false" ht="15" hidden="false" customHeight="false" outlineLevel="0" collapsed="false">
      <c r="A4" s="1" t="s">
        <v>2</v>
      </c>
    </row>
    <row r="5" customFormat="false" ht="30" hidden="false" customHeight="true" outlineLevel="0" collapsed="false">
      <c r="A5" s="3"/>
      <c r="B5" s="4" t="s">
        <v>3</v>
      </c>
      <c r="C5" s="4"/>
      <c r="D5" s="4" t="s">
        <v>4</v>
      </c>
      <c r="E5" s="4"/>
    </row>
    <row r="6" customFormat="false" ht="30" hidden="false" customHeight="true" outlineLevel="0" collapsed="false">
      <c r="A6" s="5"/>
      <c r="B6" s="6" t="s">
        <v>5</v>
      </c>
      <c r="C6" s="6" t="s">
        <v>6</v>
      </c>
      <c r="D6" s="6" t="s">
        <v>5</v>
      </c>
      <c r="E6" s="6" t="s">
        <v>6</v>
      </c>
    </row>
    <row r="7" customFormat="false" ht="15" hidden="false" customHeight="false" outlineLevel="0" collapsed="false">
      <c r="A7" s="7" t="s">
        <v>7</v>
      </c>
      <c r="B7" s="8" t="str">
        <f aca="false">IF(Estimates!I4="","n/a",TEXT(Estimates!E4,"0.000")&amp;IF(Estimates!I4&lt;0.01,"***",IF(Estimates!I4&lt;0.05,"**",IF(Estimates!I4&lt;0.1,"*",""))))</f>
        <v>-0.616***</v>
      </c>
      <c r="C7" s="8" t="str">
        <f aca="false">IF(Estimates!I5="","n/a",TEXT(Estimates!E5,"0.000")&amp;IF(Estimates!I5&lt;0.01,"***",IF(Estimates!I5&lt;0.05,"**",IF(Estimates!I5&lt;0.1,"*",""))))</f>
        <v>-0.316</v>
      </c>
      <c r="D7" s="8" t="str">
        <f aca="false">IF(Estimates!I6="","n/a",TEXT(Estimates!E6,"0.000")&amp;IF(Estimates!I6&lt;0.01,"***",IF(Estimates!I6&lt;0.05,"**",IF(Estimates!I6&lt;0.1,"*",""))))</f>
        <v>-0.398**</v>
      </c>
      <c r="E7" s="8" t="str">
        <f aca="false">IF(Estimates!I7="","n/a",TEXT(Estimates!E7,"0.000")&amp;IF(Estimates!I7&lt;0.01,"***",IF(Estimates!I7&lt;0.05,"**",IF(Estimates!I7&lt;0.1,"*",""))))</f>
        <v>-0.300*</v>
      </c>
    </row>
    <row r="8" customFormat="false" ht="15" hidden="false" customHeight="false" outlineLevel="0" collapsed="false">
      <c r="B8" s="8" t="str">
        <f aca="false">IF(Estimates!H4="","","("&amp;TEXT(Estimates!H4,"0.00")&amp;")")</f>
        <v>(-3.53)</v>
      </c>
      <c r="C8" s="8" t="str">
        <f aca="false">IF(Estimates!H5="","","("&amp;TEXT(Estimates!H5,"0.00")&amp;")")</f>
        <v>(-1.24)</v>
      </c>
      <c r="D8" s="8" t="str">
        <f aca="false">IF(Estimates!H6="","","("&amp;TEXT(Estimates!H6,"0.00")&amp;")")</f>
        <v>(-2.66)</v>
      </c>
      <c r="E8" s="8" t="str">
        <f aca="false">IF(Estimates!H7="","","("&amp;TEXT(Estimates!H7,"0.00")&amp;")")</f>
        <v>(-1.79)</v>
      </c>
    </row>
    <row r="10" customFormat="false" ht="15" hidden="false" customHeight="false" outlineLevel="0" collapsed="false">
      <c r="A10" s="7" t="s">
        <v>8</v>
      </c>
      <c r="B10" s="9" t="n">
        <f aca="false">IF(Estimates!I8="","",Estimates!I8)</f>
        <v>0.294900593206157</v>
      </c>
      <c r="C10" s="9"/>
      <c r="D10" s="9" t="n">
        <f aca="false">IF(Estimates!I9="","",Estimates!I9)</f>
        <v>0.653770580207377</v>
      </c>
      <c r="E10" s="9"/>
    </row>
    <row r="11" customFormat="false" ht="15" hidden="false" customHeight="false" outlineLevel="0" collapsed="false">
      <c r="A11" s="7" t="s">
        <v>9</v>
      </c>
      <c r="B11" s="10" t="n">
        <v>1638</v>
      </c>
      <c r="C11" s="10"/>
      <c r="D11" s="10" t="n">
        <v>1450</v>
      </c>
      <c r="E11" s="10"/>
    </row>
    <row r="12" customFormat="false" ht="15" hidden="false" customHeight="false" outlineLevel="0" collapsed="false">
      <c r="A12" s="7" t="s">
        <v>10</v>
      </c>
      <c r="B12" s="9" t="n">
        <v>0.0471644612293859</v>
      </c>
      <c r="C12" s="9"/>
      <c r="D12" s="9" t="n">
        <v>0.144235334107159</v>
      </c>
      <c r="E12" s="9"/>
    </row>
    <row r="13" customFormat="false" ht="15" hidden="false" customHeight="true" outlineLevel="0" collapsed="false">
      <c r="A13" s="7" t="s">
        <v>11</v>
      </c>
      <c r="B13" s="11" t="s">
        <v>12</v>
      </c>
      <c r="C13" s="11"/>
      <c r="D13" s="11" t="s">
        <v>12</v>
      </c>
      <c r="E13" s="11"/>
    </row>
    <row r="14" customFormat="false" ht="15" hidden="false" customHeight="true" outlineLevel="0" collapsed="false">
      <c r="A14" s="12" t="s">
        <v>13</v>
      </c>
      <c r="B14" s="6" t="s">
        <v>14</v>
      </c>
      <c r="C14" s="6"/>
      <c r="D14" s="6" t="s">
        <v>14</v>
      </c>
      <c r="E14" s="6"/>
    </row>
    <row r="17" customFormat="false" ht="15" hidden="false" customHeight="false" outlineLevel="0" collapsed="false">
      <c r="A17" s="1" t="s">
        <v>15</v>
      </c>
    </row>
    <row r="18" customFormat="false" ht="30" hidden="false" customHeight="true" outlineLevel="0" collapsed="false">
      <c r="A18" s="3"/>
      <c r="B18" s="4" t="s">
        <v>3</v>
      </c>
      <c r="C18" s="4"/>
      <c r="D18" s="4" t="s">
        <v>4</v>
      </c>
      <c r="E18" s="4"/>
    </row>
    <row r="19" customFormat="false" ht="30" hidden="false" customHeight="true" outlineLevel="0" collapsed="false">
      <c r="A19" s="5"/>
      <c r="B19" s="6" t="s">
        <v>16</v>
      </c>
      <c r="C19" s="6" t="s">
        <v>17</v>
      </c>
      <c r="D19" s="6" t="s">
        <v>16</v>
      </c>
      <c r="E19" s="6" t="s">
        <v>17</v>
      </c>
    </row>
    <row r="20" customFormat="false" ht="15" hidden="false" customHeight="false" outlineLevel="0" collapsed="false">
      <c r="A20" s="7" t="s">
        <v>7</v>
      </c>
      <c r="B20" s="8" t="str">
        <f aca="false">IF(Estimates!I10="","n/a",TEXT(Estimates!E10,"0.000")&amp;IF(Estimates!I10&lt;0.01,"***",IF(Estimates!I10&lt;0.05,"**",IF(Estimates!I10&lt;0.1,"*",""))))</f>
        <v>-0.681**</v>
      </c>
      <c r="C20" s="8" t="str">
        <f aca="false">IF(Estimates!I11="","n/a",TEXT(Estimates!E11,"0.000")&amp;IF(Estimates!I11&lt;0.01,"***",IF(Estimates!I11&lt;0.05,"**",IF(Estimates!I11&lt;0.1,"*",""))))</f>
        <v>-0.467*</v>
      </c>
      <c r="D20" s="8" t="str">
        <f aca="false">IF(Estimates!I12="","n/a",TEXT(Estimates!E12,"0.000")&amp;IF(Estimates!I12&lt;0.01,"***",IF(Estimates!I12&lt;0.05,"**",IF(Estimates!I12&lt;0.1,"*",""))))</f>
        <v>-0.482**</v>
      </c>
      <c r="E20" s="8" t="str">
        <f aca="false">IF(Estimates!I13="","n/a",TEXT(Estimates!E13,"0.000")&amp;IF(Estimates!I13&lt;0.01,"***",IF(Estimates!I13&lt;0.05,"**",IF(Estimates!I13&lt;0.1,"*",""))))</f>
        <v>-0.473</v>
      </c>
    </row>
    <row r="21" customFormat="false" ht="15" hidden="false" customHeight="false" outlineLevel="0" collapsed="false">
      <c r="B21" s="8" t="str">
        <f aca="false">IF(Estimates!H10="","","("&amp;TEXT(Estimates!H10,"0.00")&amp;")")</f>
        <v>(-2.32)</v>
      </c>
      <c r="C21" s="8" t="str">
        <f aca="false">IF(Estimates!H11="","","("&amp;TEXT(Estimates!H11,"0.00")&amp;")")</f>
        <v>(-2.03)</v>
      </c>
      <c r="D21" s="8" t="str">
        <f aca="false">IF(Estimates!H12="","","("&amp;TEXT(Estimates!H12,"0.00")&amp;")")</f>
        <v>(-2.16)</v>
      </c>
      <c r="E21" s="8" t="str">
        <f aca="false">IF(Estimates!H13="","","("&amp;TEXT(Estimates!H13,"0.00")&amp;")")</f>
        <v>(-1.63)</v>
      </c>
    </row>
    <row r="23" customFormat="false" ht="15" hidden="false" customHeight="false" outlineLevel="0" collapsed="false">
      <c r="A23" s="7" t="s">
        <v>8</v>
      </c>
      <c r="B23" s="9" t="n">
        <f aca="false">IF(Estimates!I14="","",Estimates!I14)</f>
        <v>0.601313746468471</v>
      </c>
      <c r="C23" s="9"/>
      <c r="D23" s="9" t="n">
        <f aca="false">IF(Estimates!I15="","",Estimates!I15)</f>
        <v>0.979228585188274</v>
      </c>
      <c r="E23" s="9"/>
    </row>
    <row r="24" customFormat="false" ht="15" hidden="false" customHeight="false" outlineLevel="0" collapsed="false">
      <c r="A24" s="7" t="s">
        <v>9</v>
      </c>
      <c r="B24" s="10" t="n">
        <v>1716</v>
      </c>
      <c r="C24" s="10"/>
      <c r="D24" s="10" t="n">
        <v>1525</v>
      </c>
      <c r="E24" s="10"/>
    </row>
    <row r="25" customFormat="false" ht="15" hidden="false" customHeight="false" outlineLevel="0" collapsed="false">
      <c r="A25" s="7" t="s">
        <v>10</v>
      </c>
      <c r="B25" s="9" t="n">
        <v>0.0547601459818302</v>
      </c>
      <c r="C25" s="9"/>
      <c r="D25" s="9" t="n">
        <v>0.150485891069971</v>
      </c>
      <c r="E25" s="9"/>
    </row>
    <row r="26" customFormat="false" ht="15" hidden="false" customHeight="true" outlineLevel="0" collapsed="false">
      <c r="A26" s="7" t="s">
        <v>11</v>
      </c>
      <c r="B26" s="11" t="s">
        <v>12</v>
      </c>
      <c r="C26" s="11"/>
      <c r="D26" s="11" t="s">
        <v>12</v>
      </c>
      <c r="E26" s="11"/>
    </row>
    <row r="27" customFormat="false" ht="15" hidden="false" customHeight="true" outlineLevel="0" collapsed="false">
      <c r="A27" s="12" t="s">
        <v>13</v>
      </c>
      <c r="B27" s="6" t="s">
        <v>14</v>
      </c>
      <c r="C27" s="6"/>
      <c r="D27" s="6" t="s">
        <v>14</v>
      </c>
      <c r="E27" s="6"/>
    </row>
    <row r="30" customFormat="false" ht="15" hidden="false" customHeight="false" outlineLevel="0" collapsed="false">
      <c r="A30" s="1" t="s">
        <v>18</v>
      </c>
    </row>
    <row r="31" customFormat="false" ht="30" hidden="false" customHeight="true" outlineLevel="0" collapsed="false">
      <c r="A31" s="3"/>
      <c r="B31" s="4" t="s">
        <v>3</v>
      </c>
      <c r="C31" s="4"/>
      <c r="D31" s="4" t="s">
        <v>4</v>
      </c>
      <c r="E31" s="4"/>
    </row>
    <row r="32" customFormat="false" ht="30" hidden="false" customHeight="true" outlineLevel="0" collapsed="false">
      <c r="A32" s="5"/>
      <c r="B32" s="6" t="s">
        <v>19</v>
      </c>
      <c r="C32" s="6" t="s">
        <v>20</v>
      </c>
      <c r="D32" s="6" t="s">
        <v>19</v>
      </c>
      <c r="E32" s="6" t="s">
        <v>20</v>
      </c>
    </row>
    <row r="33" customFormat="false" ht="15" hidden="false" customHeight="false" outlineLevel="0" collapsed="false">
      <c r="A33" s="7" t="s">
        <v>7</v>
      </c>
      <c r="B33" s="8" t="str">
        <f aca="false">IF(Estimates!I16="","n/a",TEXT(Estimates!E16,"0.000")&amp;IF(Estimates!I16&lt;0.01,"***",IF(Estimates!I16&lt;0.05,"**",IF(Estimates!I16&lt;0.1,"*",""))))</f>
        <v>-0.254</v>
      </c>
      <c r="C33" s="8" t="str">
        <f aca="false">IF(Estimates!I17="","n/a",TEXT(Estimates!E17,"0.000")&amp;IF(Estimates!I17&lt;0.01,"***",IF(Estimates!I17&lt;0.05,"**",IF(Estimates!I17&lt;0.1,"*",""))))</f>
        <v>-0.492</v>
      </c>
      <c r="D33" s="8" t="str">
        <f aca="false">IF(Estimates!I18="","n/a",TEXT(Estimates!E18,"0.000")&amp;IF(Estimates!I18&lt;0.01,"***",IF(Estimates!I18&lt;0.05,"**",IF(Estimates!I18&lt;0.1,"*",""))))</f>
        <v>-0.023</v>
      </c>
      <c r="E33" s="8" t="str">
        <f aca="false">IF(Estimates!I19="","n/a",TEXT(Estimates!E19,"0.000")&amp;IF(Estimates!I19&lt;0.01,"***",IF(Estimates!I19&lt;0.05,"**",IF(Estimates!I19&lt;0.1,"*",""))))</f>
        <v>-0.947*</v>
      </c>
    </row>
    <row r="34" customFormat="false" ht="15" hidden="false" customHeight="false" outlineLevel="0" collapsed="false">
      <c r="B34" s="8" t="str">
        <f aca="false">IF(Estimates!H16="","","("&amp;TEXT(Estimates!H16,"0.00")&amp;")")</f>
        <v>(-1.16)</v>
      </c>
      <c r="C34" s="8" t="str">
        <f aca="false">IF(Estimates!H17="","","("&amp;TEXT(Estimates!H17,"0.00")&amp;")")</f>
        <v>(-1.46)</v>
      </c>
      <c r="D34" s="8" t="str">
        <f aca="false">IF(Estimates!H18="","","("&amp;TEXT(Estimates!H18,"0.00")&amp;")")</f>
        <v>(-0.12)</v>
      </c>
      <c r="E34" s="8" t="str">
        <f aca="false">IF(Estimates!H19="","","("&amp;TEXT(Estimates!H19,"0.00")&amp;")")</f>
        <v>(-2.08)</v>
      </c>
    </row>
    <row r="36" customFormat="false" ht="15" hidden="false" customHeight="false" outlineLevel="0" collapsed="false">
      <c r="A36" s="7" t="s">
        <v>8</v>
      </c>
      <c r="B36" s="9" t="n">
        <f aca="false">IF(Estimates!I20="","",Estimates!I20)</f>
        <v>0.552054015775866</v>
      </c>
      <c r="C36" s="9"/>
      <c r="D36" s="9" t="n">
        <f aca="false">IF(Estimates!I21="","",Estimates!I21)</f>
        <v>0.0616682751193709</v>
      </c>
      <c r="E36" s="9"/>
    </row>
    <row r="37" customFormat="false" ht="15" hidden="false" customHeight="false" outlineLevel="0" collapsed="false">
      <c r="A37" s="7" t="s">
        <v>9</v>
      </c>
      <c r="B37" s="10" t="n">
        <v>1431</v>
      </c>
      <c r="C37" s="10"/>
      <c r="D37" s="10" t="n">
        <v>1278</v>
      </c>
      <c r="E37" s="10"/>
    </row>
    <row r="38" customFormat="false" ht="15" hidden="false" customHeight="false" outlineLevel="0" collapsed="false">
      <c r="A38" s="7" t="s">
        <v>10</v>
      </c>
      <c r="B38" s="9" t="n">
        <v>0.070499116790757</v>
      </c>
      <c r="C38" s="9"/>
      <c r="D38" s="9" t="n">
        <v>0.157347460740698</v>
      </c>
      <c r="E38" s="9"/>
    </row>
    <row r="39" customFormat="false" ht="15" hidden="false" customHeight="true" outlineLevel="0" collapsed="false">
      <c r="A39" s="7" t="s">
        <v>11</v>
      </c>
      <c r="B39" s="11" t="s">
        <v>12</v>
      </c>
      <c r="C39" s="11"/>
      <c r="D39" s="11" t="s">
        <v>12</v>
      </c>
      <c r="E39" s="11"/>
    </row>
    <row r="40" customFormat="false" ht="15" hidden="false" customHeight="true" outlineLevel="0" collapsed="false">
      <c r="A40" s="12" t="s">
        <v>13</v>
      </c>
      <c r="B40" s="6" t="s">
        <v>14</v>
      </c>
      <c r="C40" s="6"/>
      <c r="D40" s="6" t="s">
        <v>14</v>
      </c>
      <c r="E40" s="6"/>
    </row>
  </sheetData>
  <mergeCells count="37">
    <mergeCell ref="A2:E2"/>
    <mergeCell ref="B5:C5"/>
    <mergeCell ref="D5:E5"/>
    <mergeCell ref="B10:C10"/>
    <mergeCell ref="D10:E10"/>
    <mergeCell ref="B11:C11"/>
    <mergeCell ref="D11:E11"/>
    <mergeCell ref="B12:C12"/>
    <mergeCell ref="D12:E12"/>
    <mergeCell ref="B13:C13"/>
    <mergeCell ref="D13:E13"/>
    <mergeCell ref="B14:C14"/>
    <mergeCell ref="D14:E14"/>
    <mergeCell ref="B18:C18"/>
    <mergeCell ref="D18:E18"/>
    <mergeCell ref="B23:C23"/>
    <mergeCell ref="D23:E23"/>
    <mergeCell ref="B24:C24"/>
    <mergeCell ref="D24:E24"/>
    <mergeCell ref="B25:C25"/>
    <mergeCell ref="D25:E25"/>
    <mergeCell ref="B26:C26"/>
    <mergeCell ref="D26:E26"/>
    <mergeCell ref="B27:C27"/>
    <mergeCell ref="D27:E27"/>
    <mergeCell ref="B31:C31"/>
    <mergeCell ref="D31:E31"/>
    <mergeCell ref="B36:C36"/>
    <mergeCell ref="D36:E36"/>
    <mergeCell ref="B37:C37"/>
    <mergeCell ref="D37:E37"/>
    <mergeCell ref="B38:C38"/>
    <mergeCell ref="D38:E38"/>
    <mergeCell ref="B39:C39"/>
    <mergeCell ref="D39:E39"/>
    <mergeCell ref="B40:C40"/>
    <mergeCell ref="D40:E4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5"/>
  </cols>
  <sheetData>
    <row r="1" customFormat="false" ht="15" hidden="false" customHeight="false" outlineLevel="0" collapsed="false">
      <c r="A1" s="1" t="s">
        <v>21</v>
      </c>
    </row>
    <row r="2" customFormat="false" ht="168" hidden="false" customHeight="true" outlineLevel="0" collapsed="false">
      <c r="A2" s="2" t="s">
        <v>22</v>
      </c>
      <c r="B2" s="2"/>
      <c r="C2" s="2"/>
      <c r="D2" s="2"/>
      <c r="E2" s="2"/>
    </row>
    <row r="4" customFormat="false" ht="15" hidden="false" customHeight="false" outlineLevel="0" collapsed="false">
      <c r="A4" s="1" t="s">
        <v>23</v>
      </c>
    </row>
    <row r="5" customFormat="false" ht="30" hidden="false" customHeight="true" outlineLevel="0" collapsed="false">
      <c r="A5" s="3"/>
      <c r="B5" s="4" t="s">
        <v>3</v>
      </c>
      <c r="C5" s="4"/>
      <c r="D5" s="4" t="s">
        <v>4</v>
      </c>
      <c r="E5" s="4"/>
    </row>
    <row r="6" customFormat="false" ht="30" hidden="false" customHeight="true" outlineLevel="0" collapsed="false">
      <c r="A6" s="5"/>
      <c r="B6" s="6" t="s">
        <v>24</v>
      </c>
      <c r="C6" s="6" t="s">
        <v>25</v>
      </c>
      <c r="D6" s="6" t="s">
        <v>24</v>
      </c>
      <c r="E6" s="6" t="s">
        <v>25</v>
      </c>
    </row>
    <row r="7" customFormat="false" ht="15" hidden="false" customHeight="false" outlineLevel="0" collapsed="false">
      <c r="A7" s="7" t="s">
        <v>7</v>
      </c>
      <c r="B7" s="8" t="str">
        <f aca="false">IF(Estimates!I22="","n/a",TEXT(Estimates!E22,"0.000")&amp;IF(Estimates!I22&lt;0.01,"***",IF(Estimates!I22&lt;0.05,"**",IF(Estimates!I22&lt;0.1,"*",""))))</f>
        <v>-0.986***</v>
      </c>
      <c r="C7" s="8" t="str">
        <f aca="false">IF(Estimates!I23="","n/a",TEXT(Estimates!E23,"0.000")&amp;IF(Estimates!I23&lt;0.01,"***",IF(Estimates!I23&lt;0.05,"**",IF(Estimates!I23&lt;0.1,"*",""))))</f>
        <v>-0.134</v>
      </c>
      <c r="D7" s="8" t="str">
        <f aca="false">IF(Estimates!I24="","n/a",TEXT(Estimates!E24,"0.000")&amp;IF(Estimates!I24&lt;0.01,"***",IF(Estimates!I24&lt;0.05,"**",IF(Estimates!I24&lt;0.1,"*",""))))</f>
        <v>-0.688*</v>
      </c>
      <c r="E7" s="8" t="str">
        <f aca="false">IF(Estimates!I25="","n/a",TEXT(Estimates!E25,"0.000")&amp;IF(Estimates!I25&lt;0.01,"***",IF(Estimates!I25&lt;0.05,"**",IF(Estimates!I25&lt;0.1,"*",""))))</f>
        <v>-0.237*</v>
      </c>
    </row>
    <row r="8" customFormat="false" ht="15" hidden="false" customHeight="false" outlineLevel="0" collapsed="false">
      <c r="B8" s="8" t="str">
        <f aca="false">IF(Estimates!H22="","","("&amp;TEXT(Estimates!H22,"0.00")&amp;")")</f>
        <v>(-2.90)</v>
      </c>
      <c r="C8" s="8" t="str">
        <f aca="false">IF(Estimates!H23="","","("&amp;TEXT(Estimates!H23,"0.00")&amp;")")</f>
        <v>(-0.64)</v>
      </c>
      <c r="D8" s="8" t="str">
        <f aca="false">IF(Estimates!H24="","","("&amp;TEXT(Estimates!H24,"0.00")&amp;")")</f>
        <v>(-1.90)</v>
      </c>
      <c r="E8" s="8" t="str">
        <f aca="false">IF(Estimates!H25="","","("&amp;TEXT(Estimates!H25,"0.00")&amp;")")</f>
        <v>(-2.04)</v>
      </c>
    </row>
    <row r="10" customFormat="false" ht="15" hidden="false" customHeight="false" outlineLevel="0" collapsed="false">
      <c r="A10" s="7" t="s">
        <v>8</v>
      </c>
      <c r="B10" s="9" t="n">
        <f aca="false">IF(Estimates!I26="","",Estimates!I26)</f>
        <v>0.0979295714828382</v>
      </c>
      <c r="C10" s="9"/>
      <c r="D10" s="9" t="n">
        <f aca="false">IF(Estimates!I27="","",Estimates!I27)</f>
        <v>0.294878651942014</v>
      </c>
      <c r="E10" s="9"/>
    </row>
    <row r="11" customFormat="false" ht="15" hidden="false" customHeight="false" outlineLevel="0" collapsed="false">
      <c r="A11" s="7" t="s">
        <v>9</v>
      </c>
      <c r="B11" s="10" t="n">
        <v>1623</v>
      </c>
      <c r="C11" s="10"/>
      <c r="D11" s="10" t="n">
        <v>1441</v>
      </c>
      <c r="E11" s="10"/>
    </row>
    <row r="12" customFormat="false" ht="15" hidden="false" customHeight="false" outlineLevel="0" collapsed="false">
      <c r="A12" s="7" t="s">
        <v>10</v>
      </c>
      <c r="B12" s="9" t="n">
        <v>0.0599993093562986</v>
      </c>
      <c r="C12" s="9"/>
      <c r="D12" s="9" t="n">
        <v>0.1433056458273</v>
      </c>
      <c r="E12" s="9"/>
    </row>
    <row r="13" customFormat="false" ht="15" hidden="false" customHeight="true" outlineLevel="0" collapsed="false">
      <c r="A13" s="7" t="s">
        <v>11</v>
      </c>
      <c r="B13" s="11" t="s">
        <v>12</v>
      </c>
      <c r="C13" s="11"/>
      <c r="D13" s="11" t="s">
        <v>12</v>
      </c>
      <c r="E13" s="11"/>
    </row>
    <row r="14" customFormat="false" ht="15" hidden="false" customHeight="true" outlineLevel="0" collapsed="false">
      <c r="A14" s="12" t="s">
        <v>13</v>
      </c>
      <c r="B14" s="6" t="s">
        <v>14</v>
      </c>
      <c r="C14" s="6"/>
      <c r="D14" s="6" t="s">
        <v>14</v>
      </c>
      <c r="E14" s="6"/>
    </row>
    <row r="17" customFormat="false" ht="15" hidden="false" customHeight="false" outlineLevel="0" collapsed="false">
      <c r="A17" s="1" t="s">
        <v>26</v>
      </c>
    </row>
    <row r="18" customFormat="false" ht="30" hidden="false" customHeight="true" outlineLevel="0" collapsed="false">
      <c r="A18" s="3"/>
      <c r="B18" s="4" t="s">
        <v>3</v>
      </c>
      <c r="C18" s="4"/>
      <c r="D18" s="4" t="s">
        <v>4</v>
      </c>
      <c r="E18" s="4"/>
    </row>
    <row r="19" customFormat="false" ht="30" hidden="false" customHeight="true" outlineLevel="0" collapsed="false">
      <c r="A19" s="5"/>
      <c r="B19" s="6" t="s">
        <v>27</v>
      </c>
      <c r="C19" s="6" t="s">
        <v>28</v>
      </c>
      <c r="D19" s="6" t="s">
        <v>27</v>
      </c>
      <c r="E19" s="6" t="s">
        <v>28</v>
      </c>
    </row>
    <row r="20" customFormat="false" ht="15" hidden="false" customHeight="false" outlineLevel="0" collapsed="false">
      <c r="A20" s="7" t="s">
        <v>7</v>
      </c>
      <c r="B20" s="8" t="str">
        <f aca="false">IF(Estimates!I28="","n/a",TEXT(Estimates!E28,"0.000")&amp;IF(Estimates!I28&lt;0.01,"***",IF(Estimates!I28&lt;0.05,"**",IF(Estimates!I28&lt;0.1,"*",""))))</f>
        <v>-0.780***</v>
      </c>
      <c r="C20" s="8" t="str">
        <f aca="false">IF(Estimates!I29="","n/a",TEXT(Estimates!E29,"0.000")&amp;IF(Estimates!I29&lt;0.01,"***",IF(Estimates!I29&lt;0.05,"**",IF(Estimates!I29&lt;0.1,"*",""))))</f>
        <v>0.184</v>
      </c>
      <c r="D20" s="8" t="str">
        <f aca="false">IF(Estimates!I30="","n/a",TEXT(Estimates!E30,"0.000")&amp;IF(Estimates!I30&lt;0.01,"***",IF(Estimates!I30&lt;0.05,"**",IF(Estimates!I30&lt;0.1,"*",""))))</f>
        <v>-0.506**</v>
      </c>
      <c r="E20" s="8" t="str">
        <f aca="false">IF(Estimates!I31="","n/a",TEXT(Estimates!E31,"0.000")&amp;IF(Estimates!I31&lt;0.01,"***",IF(Estimates!I31&lt;0.05,"**",IF(Estimates!I31&lt;0.1,"*",""))))</f>
        <v>-0.187</v>
      </c>
    </row>
    <row r="21" customFormat="false" ht="15" hidden="false" customHeight="false" outlineLevel="0" collapsed="false">
      <c r="B21" s="8" t="str">
        <f aca="false">IF(Estimates!H28="","","("&amp;TEXT(Estimates!H28,"0.00")&amp;")")</f>
        <v>(-3.25)</v>
      </c>
      <c r="C21" s="8" t="str">
        <f aca="false">IF(Estimates!H29="","","("&amp;TEXT(Estimates!H29,"0.00")&amp;")")</f>
        <v>(0.77)</v>
      </c>
      <c r="D21" s="8" t="str">
        <f aca="false">IF(Estimates!H30="","","("&amp;TEXT(Estimates!H30,"0.00")&amp;")")</f>
        <v>(-2.18)</v>
      </c>
      <c r="E21" s="8" t="str">
        <f aca="false">IF(Estimates!H31="","","("&amp;TEXT(Estimates!H31,"0.00")&amp;")")</f>
        <v>(-1.00)</v>
      </c>
    </row>
    <row r="23" customFormat="false" ht="15" hidden="false" customHeight="false" outlineLevel="0" collapsed="false">
      <c r="A23" s="7" t="s">
        <v>8</v>
      </c>
      <c r="B23" s="9" t="n">
        <f aca="false">IF(Estimates!I32="","",Estimates!I32)</f>
        <v>0.0147355840531528</v>
      </c>
      <c r="C23" s="9"/>
      <c r="D23" s="9" t="n">
        <f aca="false">IF(Estimates!I33="","",Estimates!I33)</f>
        <v>0.354163526056266</v>
      </c>
      <c r="E23" s="9"/>
    </row>
    <row r="24" customFormat="false" ht="15" hidden="false" customHeight="false" outlineLevel="0" collapsed="false">
      <c r="A24" s="7" t="s">
        <v>9</v>
      </c>
      <c r="B24" s="10" t="n">
        <v>1723</v>
      </c>
      <c r="C24" s="10"/>
      <c r="D24" s="10" t="n">
        <v>1532</v>
      </c>
      <c r="E24" s="10"/>
    </row>
    <row r="25" customFormat="false" ht="15" hidden="false" customHeight="false" outlineLevel="0" collapsed="false">
      <c r="A25" s="7" t="s">
        <v>10</v>
      </c>
      <c r="B25" s="9" t="n">
        <v>0.0377371295723457</v>
      </c>
      <c r="C25" s="9"/>
      <c r="D25" s="9" t="n">
        <v>0.142511161237123</v>
      </c>
      <c r="E25" s="9"/>
    </row>
    <row r="26" customFormat="false" ht="15" hidden="false" customHeight="true" outlineLevel="0" collapsed="false">
      <c r="A26" s="7" t="s">
        <v>11</v>
      </c>
      <c r="B26" s="11" t="s">
        <v>12</v>
      </c>
      <c r="C26" s="11"/>
      <c r="D26" s="11" t="s">
        <v>12</v>
      </c>
      <c r="E26" s="11"/>
    </row>
    <row r="27" customFormat="false" ht="15" hidden="false" customHeight="true" outlineLevel="0" collapsed="false">
      <c r="A27" s="12" t="s">
        <v>13</v>
      </c>
      <c r="B27" s="6" t="s">
        <v>14</v>
      </c>
      <c r="C27" s="6"/>
      <c r="D27" s="6" t="s">
        <v>14</v>
      </c>
      <c r="E27" s="6"/>
    </row>
  </sheetData>
  <mergeCells count="25">
    <mergeCell ref="A2:E2"/>
    <mergeCell ref="B5:C5"/>
    <mergeCell ref="D5:E5"/>
    <mergeCell ref="B10:C10"/>
    <mergeCell ref="D10:E10"/>
    <mergeCell ref="B11:C11"/>
    <mergeCell ref="D11:E11"/>
    <mergeCell ref="B12:C12"/>
    <mergeCell ref="D12:E12"/>
    <mergeCell ref="B13:C13"/>
    <mergeCell ref="D13:E13"/>
    <mergeCell ref="B14:C14"/>
    <mergeCell ref="D14:E14"/>
    <mergeCell ref="B18:C18"/>
    <mergeCell ref="D18:E18"/>
    <mergeCell ref="B23:C23"/>
    <mergeCell ref="D23:E23"/>
    <mergeCell ref="B24:C24"/>
    <mergeCell ref="D24:E24"/>
    <mergeCell ref="B25:C25"/>
    <mergeCell ref="D25:E25"/>
    <mergeCell ref="B26:C26"/>
    <mergeCell ref="D26:E26"/>
    <mergeCell ref="B27:C27"/>
    <mergeCell ref="D27:E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5"/>
  </cols>
  <sheetData>
    <row r="1" customFormat="false" ht="15" hidden="false" customHeight="false" outlineLevel="0" collapsed="false">
      <c r="A1" s="1" t="s">
        <v>29</v>
      </c>
    </row>
    <row r="2" customFormat="false" ht="181.5" hidden="false" customHeight="true" outlineLevel="0" collapsed="false">
      <c r="A2" s="2" t="s">
        <v>30</v>
      </c>
      <c r="B2" s="2"/>
      <c r="C2" s="2"/>
      <c r="D2" s="2"/>
      <c r="E2" s="2"/>
    </row>
    <row r="4" customFormat="false" ht="15" hidden="false" customHeight="false" outlineLevel="0" collapsed="false">
      <c r="A4" s="1" t="s">
        <v>31</v>
      </c>
    </row>
    <row r="5" customFormat="false" ht="30" hidden="false" customHeight="true" outlineLevel="0" collapsed="false">
      <c r="A5" s="3"/>
      <c r="B5" s="4" t="s">
        <v>3</v>
      </c>
      <c r="C5" s="4"/>
      <c r="D5" s="4" t="s">
        <v>4</v>
      </c>
      <c r="E5" s="4"/>
    </row>
    <row r="6" customFormat="false" ht="30" hidden="false" customHeight="true" outlineLevel="0" collapsed="false">
      <c r="A6" s="5"/>
      <c r="B6" s="6" t="s">
        <v>32</v>
      </c>
      <c r="C6" s="6" t="s">
        <v>33</v>
      </c>
      <c r="D6" s="6" t="s">
        <v>32</v>
      </c>
      <c r="E6" s="6" t="s">
        <v>33</v>
      </c>
    </row>
    <row r="7" customFormat="false" ht="15" hidden="false" customHeight="false" outlineLevel="0" collapsed="false">
      <c r="A7" s="7" t="s">
        <v>7</v>
      </c>
      <c r="B7" s="8" t="str">
        <f aca="false">IF(Estimates!I34="","n/a",TEXT(Estimates!E34,"0.000")&amp;IF(Estimates!I34&lt;0.01,"***",IF(Estimates!I34&lt;0.05,"**",IF(Estimates!I34&lt;0.1,"*",""))))</f>
        <v>-1.244**</v>
      </c>
      <c r="C7" s="8" t="str">
        <f aca="false">IF(Estimates!I35="","n/a",TEXT(Estimates!E35,"0.000")&amp;IF(Estimates!I35&lt;0.01,"***",IF(Estimates!I35&lt;0.05,"**",IF(Estimates!I35&lt;0.1,"*",""))))</f>
        <v>-0.452*</v>
      </c>
      <c r="D7" s="8" t="str">
        <f aca="false">IF(Estimates!I36="","n/a",TEXT(Estimates!E36,"0.000")&amp;IF(Estimates!I36&lt;0.01,"***",IF(Estimates!I36&lt;0.05,"**",IF(Estimates!I36&lt;0.1,"*",""))))</f>
        <v>-1.167***</v>
      </c>
      <c r="E7" s="8" t="str">
        <f aca="false">IF(Estimates!I37="","n/a",TEXT(Estimates!E37,"0.000")&amp;IF(Estimates!I37&lt;0.01,"***",IF(Estimates!I37&lt;0.05,"**",IF(Estimates!I37&lt;0.1,"*",""))))</f>
        <v>-0.288</v>
      </c>
    </row>
    <row r="8" customFormat="false" ht="15" hidden="false" customHeight="false" outlineLevel="0" collapsed="false">
      <c r="B8" s="8" t="str">
        <f aca="false">IF(Estimates!H34="","","("&amp;TEXT(Estimates!H34,"0.00")&amp;")")</f>
        <v>(-2.16)</v>
      </c>
      <c r="C8" s="8" t="str">
        <f aca="false">IF(Estimates!H35="","","("&amp;TEXT(Estimates!H35,"0.00")&amp;")")</f>
        <v>(-1.84)</v>
      </c>
      <c r="D8" s="8" t="str">
        <f aca="false">IF(Estimates!H36="","","("&amp;TEXT(Estimates!H36,"0.00")&amp;")")</f>
        <v>(-4.89)</v>
      </c>
      <c r="E8" s="8" t="str">
        <f aca="false">IF(Estimates!H37="","","("&amp;TEXT(Estimates!H37,"0.00")&amp;")")</f>
        <v>(-1.23)</v>
      </c>
    </row>
    <row r="10" customFormat="false" ht="15" hidden="false" customHeight="false" outlineLevel="0" collapsed="false">
      <c r="A10" s="7" t="s">
        <v>8</v>
      </c>
      <c r="B10" s="9" t="n">
        <f aca="false">IF(Estimates!I38="","",Estimates!I38)</f>
        <v>0.313812653172669</v>
      </c>
      <c r="C10" s="9"/>
      <c r="D10" s="9" t="n">
        <f aca="false">IF(Estimates!I39="","",Estimates!I39)</f>
        <v>0.0493612967483004</v>
      </c>
      <c r="E10" s="9"/>
    </row>
    <row r="11" customFormat="false" ht="15" hidden="false" customHeight="false" outlineLevel="0" collapsed="false">
      <c r="A11" s="7" t="s">
        <v>9</v>
      </c>
      <c r="B11" s="10" t="n">
        <v>1708</v>
      </c>
      <c r="C11" s="10"/>
      <c r="D11" s="10" t="n">
        <v>1519</v>
      </c>
      <c r="E11" s="10"/>
    </row>
    <row r="12" customFormat="false" ht="15" hidden="false" customHeight="false" outlineLevel="0" collapsed="false">
      <c r="A12" s="7" t="s">
        <v>10</v>
      </c>
      <c r="B12" s="9" t="n">
        <v>0.0534384575424809</v>
      </c>
      <c r="C12" s="9"/>
      <c r="D12" s="9" t="n">
        <v>0.154386398492081</v>
      </c>
      <c r="E12" s="9"/>
    </row>
    <row r="13" customFormat="false" ht="15" hidden="false" customHeight="true" outlineLevel="0" collapsed="false">
      <c r="A13" s="7" t="s">
        <v>11</v>
      </c>
      <c r="B13" s="11" t="s">
        <v>12</v>
      </c>
      <c r="C13" s="11"/>
      <c r="D13" s="11" t="s">
        <v>12</v>
      </c>
      <c r="E13" s="11"/>
    </row>
    <row r="14" customFormat="false" ht="15" hidden="false" customHeight="true" outlineLevel="0" collapsed="false">
      <c r="A14" s="12" t="s">
        <v>13</v>
      </c>
      <c r="B14" s="6" t="s">
        <v>14</v>
      </c>
      <c r="C14" s="6"/>
      <c r="D14" s="6" t="s">
        <v>14</v>
      </c>
      <c r="E14" s="6"/>
    </row>
    <row r="17" customFormat="false" ht="15" hidden="false" customHeight="false" outlineLevel="0" collapsed="false">
      <c r="A17" s="1" t="s">
        <v>34</v>
      </c>
    </row>
    <row r="18" customFormat="false" ht="30" hidden="false" customHeight="true" outlineLevel="0" collapsed="false">
      <c r="A18" s="3"/>
      <c r="B18" s="4" t="s">
        <v>3</v>
      </c>
      <c r="C18" s="4"/>
      <c r="D18" s="4" t="s">
        <v>4</v>
      </c>
      <c r="E18" s="4"/>
    </row>
    <row r="19" customFormat="false" ht="30" hidden="false" customHeight="true" outlineLevel="0" collapsed="false">
      <c r="A19" s="5"/>
      <c r="B19" s="6" t="s">
        <v>35</v>
      </c>
      <c r="C19" s="6" t="s">
        <v>36</v>
      </c>
      <c r="D19" s="6" t="s">
        <v>35</v>
      </c>
      <c r="E19" s="6" t="s">
        <v>36</v>
      </c>
    </row>
    <row r="20" customFormat="false" ht="15" hidden="false" customHeight="false" outlineLevel="0" collapsed="false">
      <c r="A20" s="7" t="s">
        <v>7</v>
      </c>
      <c r="B20" s="8" t="str">
        <f aca="false">IF(Estimates!I40="","n/a",TEXT(Estimates!E40,"0.000")&amp;IF(Estimates!I40&lt;0.01,"***",IF(Estimates!I40&lt;0.05,"**",IF(Estimates!I40&lt;0.1,"*",""))))</f>
        <v>-1.468***</v>
      </c>
      <c r="C20" s="8" t="str">
        <f aca="false">IF(Estimates!I41="","n/a",TEXT(Estimates!E41,"0.000")&amp;IF(Estimates!I41&lt;0.01,"***",IF(Estimates!I41&lt;0.05,"**",IF(Estimates!I41&lt;0.1,"*",""))))</f>
        <v>-0.384**</v>
      </c>
      <c r="D20" s="8" t="str">
        <f aca="false">IF(Estimates!I42="","n/a",TEXT(Estimates!E42,"0.000")&amp;IF(Estimates!I42&lt;0.01,"***",IF(Estimates!I42&lt;0.05,"**",IF(Estimates!I42&lt;0.1,"*",""))))</f>
        <v>-1.459***</v>
      </c>
      <c r="E20" s="8" t="str">
        <f aca="false">IF(Estimates!I43="","n/a",TEXT(Estimates!E43,"0.000")&amp;IF(Estimates!I43&lt;0.01,"***",IF(Estimates!I43&lt;0.05,"**",IF(Estimates!I43&lt;0.1,"*",""))))</f>
        <v>-0.309</v>
      </c>
    </row>
    <row r="21" customFormat="false" ht="15" hidden="false" customHeight="false" outlineLevel="0" collapsed="false">
      <c r="B21" s="8" t="str">
        <f aca="false">IF(Estimates!H40="","","("&amp;TEXT(Estimates!H40,"0.00")&amp;")")</f>
        <v>(-4.89)</v>
      </c>
      <c r="C21" s="8" t="str">
        <f aca="false">IF(Estimates!H41="","","("&amp;TEXT(Estimates!H41,"0.00")&amp;")")</f>
        <v>(-2.33)</v>
      </c>
      <c r="D21" s="8" t="str">
        <f aca="false">IF(Estimates!H42="","","("&amp;TEXT(Estimates!H42,"0.00")&amp;")")</f>
        <v>(-2.96)</v>
      </c>
      <c r="E21" s="8" t="str">
        <f aca="false">IF(Estimates!H43="","","("&amp;TEXT(Estimates!H43,"0.00")&amp;")")</f>
        <v>(-1.60)</v>
      </c>
    </row>
    <row r="23" customFormat="false" ht="15" hidden="false" customHeight="false" outlineLevel="0" collapsed="false">
      <c r="A23" s="7" t="s">
        <v>8</v>
      </c>
      <c r="B23" s="9" t="n">
        <f aca="false">IF(Estimates!I44="","",Estimates!I44)</f>
        <v>0.00116794456720266</v>
      </c>
      <c r="C23" s="9"/>
      <c r="D23" s="9" t="n">
        <f aca="false">IF(Estimates!I45="","",Estimates!I45)</f>
        <v>0.0483498418835488</v>
      </c>
      <c r="E23" s="9"/>
    </row>
    <row r="24" customFormat="false" ht="15" hidden="false" customHeight="false" outlineLevel="0" collapsed="false">
      <c r="A24" s="7" t="s">
        <v>9</v>
      </c>
      <c r="B24" s="10" t="n">
        <v>1726</v>
      </c>
      <c r="C24" s="10"/>
      <c r="D24" s="10" t="n">
        <v>1536</v>
      </c>
      <c r="E24" s="10"/>
    </row>
    <row r="25" customFormat="false" ht="15" hidden="false" customHeight="false" outlineLevel="0" collapsed="false">
      <c r="A25" s="7" t="s">
        <v>10</v>
      </c>
      <c r="B25" s="9" t="n">
        <v>0.0504452470879399</v>
      </c>
      <c r="C25" s="9"/>
      <c r="D25" s="9" t="n">
        <v>0.153562429149503</v>
      </c>
      <c r="E25" s="9"/>
    </row>
    <row r="26" customFormat="false" ht="15" hidden="false" customHeight="true" outlineLevel="0" collapsed="false">
      <c r="A26" s="7" t="s">
        <v>11</v>
      </c>
      <c r="B26" s="11" t="s">
        <v>12</v>
      </c>
      <c r="C26" s="11"/>
      <c r="D26" s="11" t="s">
        <v>12</v>
      </c>
      <c r="E26" s="11"/>
    </row>
    <row r="27" customFormat="false" ht="15" hidden="false" customHeight="true" outlineLevel="0" collapsed="false">
      <c r="A27" s="12" t="s">
        <v>13</v>
      </c>
      <c r="B27" s="6" t="s">
        <v>14</v>
      </c>
      <c r="C27" s="6"/>
      <c r="D27" s="6" t="s">
        <v>14</v>
      </c>
      <c r="E27" s="6"/>
    </row>
  </sheetData>
  <mergeCells count="25">
    <mergeCell ref="A2:E2"/>
    <mergeCell ref="B5:C5"/>
    <mergeCell ref="D5:E5"/>
    <mergeCell ref="B10:C10"/>
    <mergeCell ref="D10:E10"/>
    <mergeCell ref="B11:C11"/>
    <mergeCell ref="D11:E11"/>
    <mergeCell ref="B12:C12"/>
    <mergeCell ref="D12:E12"/>
    <mergeCell ref="B13:C13"/>
    <mergeCell ref="D13:E13"/>
    <mergeCell ref="B14:C14"/>
    <mergeCell ref="D14:E14"/>
    <mergeCell ref="B18:C18"/>
    <mergeCell ref="D18:E18"/>
    <mergeCell ref="B23:C23"/>
    <mergeCell ref="D23:E23"/>
    <mergeCell ref="B24:C24"/>
    <mergeCell ref="D24:E24"/>
    <mergeCell ref="B25:C25"/>
    <mergeCell ref="D25:E25"/>
    <mergeCell ref="B26:C26"/>
    <mergeCell ref="D26:E26"/>
    <mergeCell ref="B27:C27"/>
    <mergeCell ref="D27:E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3"/>
    <col collapsed="false" customWidth="true" hidden="false" outlineLevel="0" max="4" min="4" style="0" width="9"/>
    <col collapsed="false" customWidth="true" hidden="false" outlineLevel="0" max="5" min="5" style="0" width="8"/>
    <col collapsed="false" customWidth="true" hidden="false" outlineLevel="0" max="6" min="6" style="0" width="3"/>
    <col collapsed="false" customWidth="true" hidden="false" outlineLevel="0" max="8" min="7" style="0" width="13"/>
    <col collapsed="false" customWidth="true" hidden="false" outlineLevel="0" max="9" min="9" style="0" width="9"/>
    <col collapsed="false" customWidth="true" hidden="false" outlineLevel="0" max="10" min="10" style="0" width="8"/>
  </cols>
  <sheetData>
    <row r="1" customFormat="false" ht="15" hidden="false" customHeight="false" outlineLevel="0" collapsed="false">
      <c r="A1" s="1" t="s">
        <v>37</v>
      </c>
    </row>
    <row r="2" customFormat="false" ht="139.5" hidden="false" customHeight="true" outlineLevel="0" collapsed="false">
      <c r="A2" s="2" t="s">
        <v>38</v>
      </c>
      <c r="B2" s="2"/>
      <c r="C2" s="2"/>
      <c r="D2" s="2"/>
      <c r="E2" s="2"/>
      <c r="F2" s="2"/>
      <c r="G2" s="2"/>
      <c r="H2" s="2"/>
      <c r="I2" s="2"/>
      <c r="J2" s="2"/>
    </row>
    <row r="4" customFormat="false" ht="15" hidden="false" customHeight="false" outlineLevel="0" collapsed="false">
      <c r="A4" s="1" t="s">
        <v>39</v>
      </c>
    </row>
    <row r="5" customFormat="false" ht="15" hidden="false" customHeight="true" outlineLevel="0" collapsed="false">
      <c r="B5" s="11" t="s">
        <v>3</v>
      </c>
      <c r="C5" s="11"/>
      <c r="D5" s="11"/>
      <c r="E5" s="11"/>
      <c r="G5" s="11" t="s">
        <v>4</v>
      </c>
      <c r="H5" s="11"/>
      <c r="I5" s="11"/>
      <c r="J5" s="11"/>
    </row>
    <row r="6" customFormat="false" ht="30" hidden="false" customHeight="true" outlineLevel="0" collapsed="false">
      <c r="A6" s="13"/>
      <c r="B6" s="14" t="s">
        <v>40</v>
      </c>
      <c r="C6" s="14" t="s">
        <v>41</v>
      </c>
      <c r="D6" s="14" t="s">
        <v>42</v>
      </c>
      <c r="E6" s="14" t="s">
        <v>43</v>
      </c>
      <c r="F6" s="13"/>
      <c r="G6" s="14" t="s">
        <v>40</v>
      </c>
      <c r="H6" s="14" t="s">
        <v>41</v>
      </c>
      <c r="I6" s="14" t="s">
        <v>42</v>
      </c>
      <c r="J6" s="14" t="s">
        <v>43</v>
      </c>
    </row>
    <row r="7" customFormat="false" ht="15" hidden="false" customHeight="false" outlineLevel="0" collapsed="false">
      <c r="A7" s="15" t="s">
        <v>44</v>
      </c>
      <c r="B7" s="8" t="str">
        <f aca="false">IF(Estimates!I46="","n/a",TEXT(Estimates!E46,"0.000")&amp;IF(Estimates!I46&lt;0.01,"***",IF(Estimates!I46&lt;0.05,"**",IF(Estimates!I46&lt;0.1,"*",""))))</f>
        <v>-0.616***</v>
      </c>
      <c r="C7" s="8" t="str">
        <f aca="false">IF(Estimates!I47="","n/a",TEXT(Estimates!E47,"0.000")&amp;IF(Estimates!I47&lt;0.01,"***",IF(Estimates!I47&lt;0.05,"**",IF(Estimates!I47&lt;0.1,"*",""))))</f>
        <v>-0.316</v>
      </c>
      <c r="D7" s="16" t="n">
        <f aca="false">IF(Estimates!I48="","",Estimates!I48)</f>
        <v>0.294900593206157</v>
      </c>
      <c r="E7" s="17" t="n">
        <v>1638</v>
      </c>
      <c r="G7" s="8" t="str">
        <f aca="false">IF(Estimates!I49="","n/a",TEXT(Estimates!E49,"0.000")&amp;IF(Estimates!I49&lt;0.01,"***",IF(Estimates!I49&lt;0.05,"**",IF(Estimates!I49&lt;0.1,"*",""))))</f>
        <v>-0.398**</v>
      </c>
      <c r="H7" s="8" t="str">
        <f aca="false">IF(Estimates!I50="","n/a",TEXT(Estimates!E50,"0.000")&amp;IF(Estimates!I50&lt;0.01,"***",IF(Estimates!I50&lt;0.05,"**",IF(Estimates!I50&lt;0.1,"*",""))))</f>
        <v>-0.300*</v>
      </c>
      <c r="I7" s="16" t="n">
        <f aca="false">IF(Estimates!I51="","",Estimates!I51)</f>
        <v>0.653770580207377</v>
      </c>
      <c r="J7" s="17" t="n">
        <v>1450</v>
      </c>
    </row>
    <row r="8" customFormat="false" ht="15" hidden="false" customHeight="false" outlineLevel="0" collapsed="false">
      <c r="B8" s="8" t="str">
        <f aca="false">IF(Estimates!H46="","","("&amp;TEXT(Estimates!H46,"0.00")&amp;")")</f>
        <v>(-3.53)</v>
      </c>
      <c r="C8" s="8" t="str">
        <f aca="false">IF(Estimates!H47="","","("&amp;TEXT(Estimates!H47,"0.00")&amp;")")</f>
        <v>(-1.24)</v>
      </c>
      <c r="G8" s="8" t="str">
        <f aca="false">IF(Estimates!H49="","","("&amp;TEXT(Estimates!H49,"0.00")&amp;")")</f>
        <v>(-2.66)</v>
      </c>
      <c r="H8" s="8" t="str">
        <f aca="false">IF(Estimates!H50="","","("&amp;TEXT(Estimates!H50,"0.00")&amp;")")</f>
        <v>(-1.79)</v>
      </c>
    </row>
    <row r="9" customFormat="false" ht="15" hidden="false" customHeight="false" outlineLevel="0" collapsed="false">
      <c r="A9" s="18" t="s">
        <v>45</v>
      </c>
      <c r="B9" s="8" t="str">
        <f aca="false">IF(Estimates!I52="","n/a",TEXT(Estimates!E52,"0.000")&amp;IF(Estimates!I52&lt;0.01,"***",IF(Estimates!I52&lt;0.05,"**",IF(Estimates!I52&lt;0.1,"*",""))))</f>
        <v>-0.580***</v>
      </c>
      <c r="C9" s="8" t="str">
        <f aca="false">IF(Estimates!I53="","n/a",TEXT(Estimates!E53,"0.000")&amp;IF(Estimates!I53&lt;0.01,"***",IF(Estimates!I53&lt;0.05,"**",IF(Estimates!I53&lt;0.1,"*",""))))</f>
        <v>-0.299</v>
      </c>
      <c r="D9" s="16" t="n">
        <f aca="false">IF(Estimates!I54="","",Estimates!I54)</f>
        <v>0.33578605705336</v>
      </c>
      <c r="E9" s="17" t="n">
        <v>1642</v>
      </c>
      <c r="G9" s="8" t="str">
        <f aca="false">IF(Estimates!I55="","n/a",TEXT(Estimates!E55,"0.000")&amp;IF(Estimates!I55&lt;0.01,"***",IF(Estimates!I55&lt;0.05,"**",IF(Estimates!I55&lt;0.1,"*",""))))</f>
        <v>-0.365**</v>
      </c>
      <c r="H9" s="8" t="str">
        <f aca="false">IF(Estimates!I56="","n/a",TEXT(Estimates!E56,"0.000")&amp;IF(Estimates!I56&lt;0.01,"***",IF(Estimates!I56&lt;0.05,"**",IF(Estimates!I56&lt;0.1,"*",""))))</f>
        <v>-0.268*</v>
      </c>
      <c r="I9" s="16" t="n">
        <f aca="false">IF(Estimates!I57="","",Estimates!I57)</f>
        <v>0.65521405362244</v>
      </c>
      <c r="J9" s="17" t="n">
        <v>1456</v>
      </c>
    </row>
    <row r="10" customFormat="false" ht="15" hidden="false" customHeight="false" outlineLevel="0" collapsed="false">
      <c r="B10" s="8" t="str">
        <f aca="false">IF(Estimates!H52="","","("&amp;TEXT(Estimates!H52,"0.00")&amp;")")</f>
        <v>(-3.40)</v>
      </c>
      <c r="C10" s="8" t="str">
        <f aca="false">IF(Estimates!H53="","","("&amp;TEXT(Estimates!H53,"0.00")&amp;")")</f>
        <v>(-1.27)</v>
      </c>
      <c r="G10" s="8" t="str">
        <f aca="false">IF(Estimates!H55="","","("&amp;TEXT(Estimates!H55,"0.00")&amp;")")</f>
        <v>(-2.75)</v>
      </c>
      <c r="H10" s="8" t="str">
        <f aca="false">IF(Estimates!H56="","","("&amp;TEXT(Estimates!H56,"0.00")&amp;")")</f>
        <v>(-1.81)</v>
      </c>
    </row>
    <row r="11" customFormat="false" ht="15" hidden="false" customHeight="false" outlineLevel="0" collapsed="false">
      <c r="A11" s="18" t="s">
        <v>46</v>
      </c>
      <c r="B11" s="8" t="str">
        <f aca="false">IF(Estimates!I58="","n/a",TEXT(Estimates!E58,"0.000")&amp;IF(Estimates!I58&lt;0.01,"***",IF(Estimates!I58&lt;0.05,"**",IF(Estimates!I58&lt;0.1,"*",""))))</f>
        <v>-0.585**</v>
      </c>
      <c r="C11" s="8" t="str">
        <f aca="false">IF(Estimates!I59="","n/a",TEXT(Estimates!E59,"0.000")&amp;IF(Estimates!I59&lt;0.01,"***",IF(Estimates!I59&lt;0.05,"**",IF(Estimates!I59&lt;0.1,"*",""))))</f>
        <v>-0.410</v>
      </c>
      <c r="D11" s="16" t="n">
        <f aca="false">IF(Estimates!I60="","",Estimates!I60)</f>
        <v>0.557336498988602</v>
      </c>
      <c r="E11" s="17" t="n">
        <v>1490</v>
      </c>
      <c r="G11" s="8" t="str">
        <f aca="false">IF(Estimates!I61="","n/a",TEXT(Estimates!E61,"0.000")&amp;IF(Estimates!I61&lt;0.01,"***",IF(Estimates!I61&lt;0.05,"**",IF(Estimates!I61&lt;0.1,"*",""))))</f>
        <v>-0.305</v>
      </c>
      <c r="H11" s="8" t="str">
        <f aca="false">IF(Estimates!I62="","n/a",TEXT(Estimates!E62,"0.000")&amp;IF(Estimates!I62&lt;0.01,"***",IF(Estimates!I62&lt;0.05,"**",IF(Estimates!I62&lt;0.1,"*",""))))</f>
        <v>-0.285</v>
      </c>
      <c r="I11" s="16" t="n">
        <f aca="false">IF(Estimates!I63="","",Estimates!I63)</f>
        <v>0.932806513399589</v>
      </c>
      <c r="J11" s="17" t="n">
        <v>1319</v>
      </c>
    </row>
    <row r="12" customFormat="false" ht="15" hidden="false" customHeight="false" outlineLevel="0" collapsed="false">
      <c r="B12" s="8" t="str">
        <f aca="false">IF(Estimates!H58="","","("&amp;TEXT(Estimates!H58,"0.00")&amp;")")</f>
        <v>(-2.76)</v>
      </c>
      <c r="C12" s="8" t="str">
        <f aca="false">IF(Estimates!H59="","","("&amp;TEXT(Estimates!H59,"0.00")&amp;")")</f>
        <v>(-1.54)</v>
      </c>
      <c r="G12" s="8" t="str">
        <f aca="false">IF(Estimates!H61="","","("&amp;TEXT(Estimates!H61,"0.00")&amp;")")</f>
        <v>(-1.67)</v>
      </c>
      <c r="H12" s="8" t="str">
        <f aca="false">IF(Estimates!H62="","","("&amp;TEXT(Estimates!H62,"0.00")&amp;")")</f>
        <v>(-1.71)</v>
      </c>
    </row>
    <row r="13" customFormat="false" ht="15" hidden="false" customHeight="false" outlineLevel="0" collapsed="false">
      <c r="A13" s="18" t="s">
        <v>47</v>
      </c>
      <c r="B13" s="8" t="str">
        <f aca="false">IF(Estimates!I64="","n/a",TEXT(Estimates!E64,"0.000")&amp;IF(Estimates!I64&lt;0.01,"***",IF(Estimates!I64&lt;0.05,"**",IF(Estimates!I64&lt;0.1,"*",""))))</f>
        <v>-0.815***</v>
      </c>
      <c r="C13" s="8" t="str">
        <f aca="false">IF(Estimates!I65="","n/a",TEXT(Estimates!E65,"0.000")&amp;IF(Estimates!I65&lt;0.01,"***",IF(Estimates!I65&lt;0.05,"**",IF(Estimates!I65&lt;0.1,"*",""))))</f>
        <v>-0.267</v>
      </c>
      <c r="D13" s="16" t="n">
        <f aca="false">IF(Estimates!I66="","",Estimates!I66)</f>
        <v>0.0487084721793637</v>
      </c>
      <c r="E13" s="17" t="n">
        <v>1490</v>
      </c>
      <c r="G13" s="8" t="str">
        <f aca="false">IF(Estimates!I67="","n/a",TEXT(Estimates!E67,"0.000")&amp;IF(Estimates!I67&lt;0.01,"***",IF(Estimates!I67&lt;0.05,"**",IF(Estimates!I67&lt;0.1,"*",""))))</f>
        <v>-0.664**</v>
      </c>
      <c r="H13" s="8" t="str">
        <f aca="false">IF(Estimates!I68="","n/a",TEXT(Estimates!E68,"0.000")&amp;IF(Estimates!I68&lt;0.01,"***",IF(Estimates!I68&lt;0.05,"**",IF(Estimates!I68&lt;0.1,"*",""))))</f>
        <v>-0.138</v>
      </c>
      <c r="I13" s="16" t="n">
        <f aca="false">IF(Estimates!I69="","",Estimates!I69)</f>
        <v>0.118845774156281</v>
      </c>
      <c r="J13" s="17" t="n">
        <v>1319</v>
      </c>
    </row>
    <row r="14" customFormat="false" ht="15" hidden="false" customHeight="false" outlineLevel="0" collapsed="false">
      <c r="B14" s="8" t="str">
        <f aca="false">IF(Estimates!H64="","","("&amp;TEXT(Estimates!H64,"0.00")&amp;")")</f>
        <v>(-4.28)</v>
      </c>
      <c r="C14" s="8" t="str">
        <f aca="false">IF(Estimates!H65="","","("&amp;TEXT(Estimates!H65,"0.00")&amp;")")</f>
        <v>(-1.04)</v>
      </c>
      <c r="G14" s="8" t="str">
        <f aca="false">IF(Estimates!H67="","","("&amp;TEXT(Estimates!H67,"0.00")&amp;")")</f>
        <v>(-2.79)</v>
      </c>
      <c r="H14" s="8" t="str">
        <f aca="false">IF(Estimates!H68="","","("&amp;TEXT(Estimates!H68,"0.00")&amp;")")</f>
        <v>(-0.64)</v>
      </c>
    </row>
    <row r="15" customFormat="false" ht="15" hidden="false" customHeight="false" outlineLevel="0" collapsed="false">
      <c r="A15" s="18" t="s">
        <v>48</v>
      </c>
      <c r="B15" s="8" t="str">
        <f aca="false">IF(Estimates!I70="","n/a",TEXT(Estimates!E70,"0.000")&amp;IF(Estimates!I70&lt;0.01,"***",IF(Estimates!I70&lt;0.05,"**",IF(Estimates!I70&lt;0.1,"*",""))))</f>
        <v>-0.870***</v>
      </c>
      <c r="C15" s="8" t="str">
        <f aca="false">IF(Estimates!I71="","n/a",TEXT(Estimates!E71,"0.000")&amp;IF(Estimates!I71&lt;0.01,"***",IF(Estimates!I71&lt;0.05,"**",IF(Estimates!I71&lt;0.1,"*",""))))</f>
        <v>-0.394</v>
      </c>
      <c r="D15" s="16" t="n">
        <f aca="false">IF(Estimates!I72="","",Estimates!I72)</f>
        <v>0.101172747488938</v>
      </c>
      <c r="E15" s="17" t="n">
        <v>1495</v>
      </c>
      <c r="G15" s="8" t="str">
        <f aca="false">IF(Estimates!I73="","n/a",TEXT(Estimates!E73,"0.000")&amp;IF(Estimates!I73&lt;0.01,"***",IF(Estimates!I73&lt;0.05,"**",IF(Estimates!I73&lt;0.1,"*",""))))</f>
        <v>-0.716***</v>
      </c>
      <c r="H15" s="8" t="str">
        <f aca="false">IF(Estimates!I74="","n/a",TEXT(Estimates!E74,"0.000")&amp;IF(Estimates!I74&lt;0.01,"***",IF(Estimates!I74&lt;0.05,"**",IF(Estimates!I74&lt;0.1,"*",""))))</f>
        <v>-0.197</v>
      </c>
      <c r="I15" s="16" t="n">
        <f aca="false">IF(Estimates!I75="","",Estimates!I75)</f>
        <v>0.123006542734035</v>
      </c>
      <c r="J15" s="17" t="n">
        <v>1326</v>
      </c>
    </row>
    <row r="16" customFormat="false" ht="15" hidden="false" customHeight="false" outlineLevel="0" collapsed="false">
      <c r="A16" s="5"/>
      <c r="B16" s="19" t="str">
        <f aca="false">IF(Estimates!H70="","","("&amp;TEXT(Estimates!H70,"0.00")&amp;")")</f>
        <v>(-4.27)</v>
      </c>
      <c r="C16" s="19" t="str">
        <f aca="false">IF(Estimates!H71="","","("&amp;TEXT(Estimates!H71,"0.00")&amp;")")</f>
        <v>(-1.51)</v>
      </c>
      <c r="D16" s="5"/>
      <c r="E16" s="5"/>
      <c r="F16" s="5"/>
      <c r="G16" s="19" t="str">
        <f aca="false">IF(Estimates!H73="","","("&amp;TEXT(Estimates!H73,"0.00")&amp;")")</f>
        <v>(-2.89)</v>
      </c>
      <c r="H16" s="19" t="str">
        <f aca="false">IF(Estimates!H74="","","("&amp;TEXT(Estimates!H74,"0.00")&amp;")")</f>
        <v>(-1.03)</v>
      </c>
      <c r="I16" s="5"/>
      <c r="J16" s="5"/>
    </row>
    <row r="18" customFormat="false" ht="15" hidden="false" customHeight="false" outlineLevel="0" collapsed="false">
      <c r="A18" s="1" t="s">
        <v>49</v>
      </c>
    </row>
    <row r="19" customFormat="false" ht="15" hidden="false" customHeight="true" outlineLevel="0" collapsed="false">
      <c r="B19" s="11" t="s">
        <v>3</v>
      </c>
      <c r="C19" s="11"/>
      <c r="D19" s="11"/>
      <c r="E19" s="11"/>
      <c r="G19" s="11" t="s">
        <v>4</v>
      </c>
      <c r="H19" s="11"/>
      <c r="I19" s="11"/>
      <c r="J19" s="11"/>
    </row>
    <row r="20" customFormat="false" ht="30" hidden="false" customHeight="true" outlineLevel="0" collapsed="false">
      <c r="A20" s="13"/>
      <c r="B20" s="14" t="s">
        <v>40</v>
      </c>
      <c r="C20" s="14" t="s">
        <v>41</v>
      </c>
      <c r="D20" s="14" t="s">
        <v>42</v>
      </c>
      <c r="E20" s="14" t="s">
        <v>43</v>
      </c>
      <c r="F20" s="13"/>
      <c r="G20" s="14" t="s">
        <v>40</v>
      </c>
      <c r="H20" s="14" t="s">
        <v>41</v>
      </c>
      <c r="I20" s="14" t="s">
        <v>42</v>
      </c>
      <c r="J20" s="14" t="s">
        <v>43</v>
      </c>
    </row>
    <row r="21" customFormat="false" ht="15" hidden="false" customHeight="false" outlineLevel="0" collapsed="false">
      <c r="A21" s="15" t="s">
        <v>44</v>
      </c>
      <c r="B21" s="8" t="str">
        <f aca="false">IF(Estimates!I76="","n/a",TEXT(Estimates!E76,"0.000")&amp;IF(Estimates!I76&lt;0.01,"***",IF(Estimates!I76&lt;0.05,"**",IF(Estimates!I76&lt;0.1,"*",""))))</f>
        <v>-0.254</v>
      </c>
      <c r="C21" s="8" t="str">
        <f aca="false">IF(Estimates!I77="","n/a",TEXT(Estimates!E77,"0.000")&amp;IF(Estimates!I77&lt;0.01,"***",IF(Estimates!I77&lt;0.05,"**",IF(Estimates!I77&lt;0.1,"*",""))))</f>
        <v>-0.492</v>
      </c>
      <c r="D21" s="16" t="n">
        <f aca="false">IF(Estimates!I78="","",Estimates!I78)</f>
        <v>0.552054015775866</v>
      </c>
      <c r="E21" s="17" t="n">
        <v>1431</v>
      </c>
      <c r="G21" s="8" t="str">
        <f aca="false">IF(Estimates!I79="","n/a",TEXT(Estimates!E79,"0.000")&amp;IF(Estimates!I79&lt;0.01,"***",IF(Estimates!I79&lt;0.05,"**",IF(Estimates!I79&lt;0.1,"*",""))))</f>
        <v>-0.023</v>
      </c>
      <c r="H21" s="8" t="str">
        <f aca="false">IF(Estimates!I80="","n/a",TEXT(Estimates!E80,"0.000")&amp;IF(Estimates!I80&lt;0.01,"***",IF(Estimates!I80&lt;0.05,"**",IF(Estimates!I80&lt;0.1,"*",""))))</f>
        <v>-0.947*</v>
      </c>
      <c r="I21" s="16" t="n">
        <f aca="false">IF(Estimates!I81="","",Estimates!I81)</f>
        <v>0.0616682751193709</v>
      </c>
      <c r="J21" s="17" t="n">
        <v>1278</v>
      </c>
    </row>
    <row r="22" customFormat="false" ht="15" hidden="false" customHeight="false" outlineLevel="0" collapsed="false">
      <c r="B22" s="8" t="str">
        <f aca="false">IF(Estimates!H76="","","("&amp;TEXT(Estimates!H76,"0.00")&amp;")")</f>
        <v>(-1.16)</v>
      </c>
      <c r="C22" s="8" t="str">
        <f aca="false">IF(Estimates!H77="","","("&amp;TEXT(Estimates!H77,"0.00")&amp;")")</f>
        <v>(-1.46)</v>
      </c>
      <c r="G22" s="8" t="str">
        <f aca="false">IF(Estimates!H79="","","("&amp;TEXT(Estimates!H79,"0.00")&amp;")")</f>
        <v>(-0.12)</v>
      </c>
      <c r="H22" s="8" t="str">
        <f aca="false">IF(Estimates!H80="","","("&amp;TEXT(Estimates!H80,"0.00")&amp;")")</f>
        <v>(-2.08)</v>
      </c>
    </row>
    <row r="23" customFormat="false" ht="15" hidden="false" customHeight="false" outlineLevel="0" collapsed="false">
      <c r="A23" s="18" t="s">
        <v>45</v>
      </c>
      <c r="B23" s="8" t="str">
        <f aca="false">IF(Estimates!I82="","n/a",TEXT(Estimates!E82,"0.000")&amp;IF(Estimates!I82&lt;0.01,"***",IF(Estimates!I82&lt;0.05,"**",IF(Estimates!I82&lt;0.1,"*",""))))</f>
        <v>-0.271</v>
      </c>
      <c r="C23" s="8" t="str">
        <f aca="false">IF(Estimates!I83="","n/a",TEXT(Estimates!E83,"0.000")&amp;IF(Estimates!I83&lt;0.01,"***",IF(Estimates!I83&lt;0.05,"**",IF(Estimates!I83&lt;0.1,"*",""))))</f>
        <v>-0.486</v>
      </c>
      <c r="D23" s="16" t="n">
        <f aca="false">IF(Estimates!I84="","",Estimates!I84)</f>
        <v>0.577645933410178</v>
      </c>
      <c r="E23" s="17" t="n">
        <v>1435</v>
      </c>
      <c r="G23" s="8" t="str">
        <f aca="false">IF(Estimates!I85="","n/a",TEXT(Estimates!E85,"0.000")&amp;IF(Estimates!I85&lt;0.01,"***",IF(Estimates!I85&lt;0.05,"**",IF(Estimates!I85&lt;0.1,"*",""))))</f>
        <v>0.017</v>
      </c>
      <c r="H23" s="8" t="str">
        <f aca="false">IF(Estimates!I86="","n/a",TEXT(Estimates!E86,"0.000")&amp;IF(Estimates!I86&lt;0.01,"***",IF(Estimates!I86&lt;0.05,"**",IF(Estimates!I86&lt;0.1,"*",""))))</f>
        <v>-0.746*</v>
      </c>
      <c r="I23" s="16" t="n">
        <f aca="false">IF(Estimates!I87="","",Estimates!I87)</f>
        <v>0.106919545378246</v>
      </c>
      <c r="J23" s="17" t="n">
        <v>1284</v>
      </c>
    </row>
    <row r="24" customFormat="false" ht="15" hidden="false" customHeight="false" outlineLevel="0" collapsed="false">
      <c r="B24" s="8" t="str">
        <f aca="false">IF(Estimates!H82="","","("&amp;TEXT(Estimates!H82,"0.00")&amp;")")</f>
        <v>(-1.33)</v>
      </c>
      <c r="C24" s="8" t="str">
        <f aca="false">IF(Estimates!H83="","","("&amp;TEXT(Estimates!H83,"0.00")&amp;")")</f>
        <v>(-1.61)</v>
      </c>
      <c r="G24" s="8" t="str">
        <f aca="false">IF(Estimates!H85="","","("&amp;TEXT(Estimates!H85,"0.00")&amp;")")</f>
        <v>(0.10)</v>
      </c>
      <c r="H24" s="8" t="str">
        <f aca="false">IF(Estimates!H86="","","("&amp;TEXT(Estimates!H86,"0.00")&amp;")")</f>
        <v>(-1.83)</v>
      </c>
    </row>
    <row r="25" customFormat="false" ht="15" hidden="false" customHeight="false" outlineLevel="0" collapsed="false">
      <c r="A25" s="18" t="s">
        <v>46</v>
      </c>
      <c r="B25" s="8" t="str">
        <f aca="false">IF(Estimates!I88="","n/a",TEXT(Estimates!E88,"0.000")&amp;IF(Estimates!I88&lt;0.01,"***",IF(Estimates!I88&lt;0.05,"**",IF(Estimates!I88&lt;0.1,"*",""))))</f>
        <v>-0.283</v>
      </c>
      <c r="C25" s="8" t="str">
        <f aca="false">IF(Estimates!I89="","n/a",TEXT(Estimates!E89,"0.000")&amp;IF(Estimates!I89&lt;0.01,"***",IF(Estimates!I89&lt;0.05,"**",IF(Estimates!I89&lt;0.1,"*",""))))</f>
        <v>-0.494*</v>
      </c>
      <c r="D25" s="16" t="n">
        <f aca="false">IF(Estimates!I90="","",Estimates!I90)</f>
        <v>0.390139542245922</v>
      </c>
      <c r="E25" s="17" t="n">
        <v>1308</v>
      </c>
      <c r="G25" s="8" t="str">
        <f aca="false">IF(Estimates!I91="","n/a",TEXT(Estimates!E91,"0.000")&amp;IF(Estimates!I91&lt;0.01,"***",IF(Estimates!I91&lt;0.05,"**",IF(Estimates!I91&lt;0.1,"*",""))))</f>
        <v>0.011</v>
      </c>
      <c r="H25" s="8" t="str">
        <f aca="false">IF(Estimates!I92="","n/a",TEXT(Estimates!E92,"0.000")&amp;IF(Estimates!I92&lt;0.01,"***",IF(Estimates!I92&lt;0.05,"**",IF(Estimates!I92&lt;0.1,"*",""))))</f>
        <v>-0.689**</v>
      </c>
      <c r="I25" s="16" t="n">
        <f aca="false">IF(Estimates!I93="","",Estimates!I93)</f>
        <v>0.0254965319406543</v>
      </c>
      <c r="J25" s="17" t="n">
        <v>1172</v>
      </c>
    </row>
    <row r="26" customFormat="false" ht="15" hidden="false" customHeight="false" outlineLevel="0" collapsed="false">
      <c r="B26" s="8" t="str">
        <f aca="false">IF(Estimates!H88="","","("&amp;TEXT(Estimates!H88,"0.00")&amp;")")</f>
        <v>(-1.31)</v>
      </c>
      <c r="C26" s="8" t="str">
        <f aca="false">IF(Estimates!H89="","","("&amp;TEXT(Estimates!H89,"0.00")&amp;")")</f>
        <v>(-1.92)</v>
      </c>
      <c r="G26" s="8" t="str">
        <f aca="false">IF(Estimates!H91="","","("&amp;TEXT(Estimates!H91,"0.00")&amp;")")</f>
        <v>(0.07)</v>
      </c>
      <c r="H26" s="8" t="str">
        <f aca="false">IF(Estimates!H92="","","("&amp;TEXT(Estimates!H92,"0.00")&amp;")")</f>
        <v>(-2.65)</v>
      </c>
    </row>
    <row r="27" customFormat="false" ht="15" hidden="false" customHeight="false" outlineLevel="0" collapsed="false">
      <c r="A27" s="18" t="s">
        <v>47</v>
      </c>
      <c r="B27" s="8" t="str">
        <f aca="false">IF(Estimates!I94="","n/a",TEXT(Estimates!E94,"0.000")&amp;IF(Estimates!I94&lt;0.01,"***",IF(Estimates!I94&lt;0.05,"**",IF(Estimates!I94&lt;0.1,"*",""))))</f>
        <v>-0.328</v>
      </c>
      <c r="C27" s="8" t="str">
        <f aca="false">IF(Estimates!I95="","n/a",TEXT(Estimates!E95,"0.000")&amp;IF(Estimates!I95&lt;0.01,"***",IF(Estimates!I95&lt;0.05,"**",IF(Estimates!I95&lt;0.1,"*",""))))</f>
        <v>-0.175</v>
      </c>
      <c r="D27" s="16" t="n">
        <f aca="false">IF(Estimates!I96="","",Estimates!I96)</f>
        <v>0.688905039394569</v>
      </c>
      <c r="E27" s="17" t="n">
        <v>1308</v>
      </c>
      <c r="G27" s="8" t="str">
        <f aca="false">IF(Estimates!I97="","n/a",TEXT(Estimates!E97,"0.000")&amp;IF(Estimates!I97&lt;0.01,"***",IF(Estimates!I97&lt;0.05,"**",IF(Estimates!I97&lt;0.1,"*",""))))</f>
        <v>-0.124</v>
      </c>
      <c r="H27" s="8" t="str">
        <f aca="false">IF(Estimates!I98="","n/a",TEXT(Estimates!E98,"0.000")&amp;IF(Estimates!I98&lt;0.01,"***",IF(Estimates!I98&lt;0.05,"**",IF(Estimates!I98&lt;0.1,"*",""))))</f>
        <v>-0.415</v>
      </c>
      <c r="I27" s="16" t="n">
        <f aca="false">IF(Estimates!I99="","",Estimates!I99)</f>
        <v>0.474956509537236</v>
      </c>
      <c r="J27" s="17" t="n">
        <v>1172</v>
      </c>
    </row>
    <row r="28" customFormat="false" ht="15" hidden="false" customHeight="false" outlineLevel="0" collapsed="false">
      <c r="B28" s="8" t="str">
        <f aca="false">IF(Estimates!H94="","","("&amp;TEXT(Estimates!H94,"0.00")&amp;")")</f>
        <v>(-1.24)</v>
      </c>
      <c r="C28" s="8" t="str">
        <f aca="false">IF(Estimates!H95="","","("&amp;TEXT(Estimates!H95,"0.00")&amp;")")</f>
        <v>(-0.64)</v>
      </c>
      <c r="G28" s="8" t="str">
        <f aca="false">IF(Estimates!H97="","","("&amp;TEXT(Estimates!H97,"0.00")&amp;")")</f>
        <v>(-0.41)</v>
      </c>
      <c r="H28" s="8" t="str">
        <f aca="false">IF(Estimates!H98="","","("&amp;TEXT(Estimates!H98,"0.00")&amp;")")</f>
        <v>(-1.48)</v>
      </c>
    </row>
    <row r="29" customFormat="false" ht="15" hidden="false" customHeight="false" outlineLevel="0" collapsed="false">
      <c r="A29" s="18" t="s">
        <v>48</v>
      </c>
      <c r="B29" s="8" t="str">
        <f aca="false">IF(Estimates!I100="","n/a",TEXT(Estimates!E100,"0.000")&amp;IF(Estimates!I100&lt;0.01,"***",IF(Estimates!I100&lt;0.05,"**",IF(Estimates!I100&lt;0.1,"*",""))))</f>
        <v>-0.413*</v>
      </c>
      <c r="C29" s="8" t="str">
        <f aca="false">IF(Estimates!I101="","n/a",TEXT(Estimates!E101,"0.000")&amp;IF(Estimates!I101&lt;0.01,"***",IF(Estimates!I101&lt;0.05,"**",IF(Estimates!I101&lt;0.1,"*",""))))</f>
        <v>-0.243</v>
      </c>
      <c r="D29" s="16" t="n">
        <f aca="false">IF(Estimates!I102="","",Estimates!I102)</f>
        <v>0.606540491263341</v>
      </c>
      <c r="E29" s="17" t="n">
        <v>1313</v>
      </c>
      <c r="G29" s="8" t="str">
        <f aca="false">IF(Estimates!I103="","n/a",TEXT(Estimates!E103,"0.000")&amp;IF(Estimates!I103&lt;0.01,"***",IF(Estimates!I103&lt;0.05,"**",IF(Estimates!I103&lt;0.1,"*",""))))</f>
        <v>-0.131</v>
      </c>
      <c r="H29" s="8" t="str">
        <f aca="false">IF(Estimates!I104="","n/a",TEXT(Estimates!E104,"0.000")&amp;IF(Estimates!I104&lt;0.01,"***",IF(Estimates!I104&lt;0.05,"**",IF(Estimates!I104&lt;0.1,"*",""))))</f>
        <v>-0.384</v>
      </c>
      <c r="I29" s="16" t="n">
        <f aca="false">IF(Estimates!I105="","",Estimates!I105)</f>
        <v>0.522804636256141</v>
      </c>
      <c r="J29" s="17" t="n">
        <v>1179</v>
      </c>
    </row>
    <row r="30" customFormat="false" ht="15" hidden="false" customHeight="false" outlineLevel="0" collapsed="false">
      <c r="A30" s="5"/>
      <c r="B30" s="19" t="str">
        <f aca="false">IF(Estimates!H100="","","("&amp;TEXT(Estimates!H100,"0.00")&amp;")")</f>
        <v>(-1.78)</v>
      </c>
      <c r="C30" s="19" t="str">
        <f aca="false">IF(Estimates!H101="","","("&amp;TEXT(Estimates!H101,"0.00")&amp;")")</f>
        <v>(-1.01)</v>
      </c>
      <c r="D30" s="5"/>
      <c r="E30" s="5"/>
      <c r="F30" s="5"/>
      <c r="G30" s="19" t="str">
        <f aca="false">IF(Estimates!H103="","","("&amp;TEXT(Estimates!H103,"0.00")&amp;")")</f>
        <v>(-0.44)</v>
      </c>
      <c r="H30" s="19" t="str">
        <f aca="false">IF(Estimates!H104="","","("&amp;TEXT(Estimates!H104,"0.00")&amp;")")</f>
        <v>(-1.61)</v>
      </c>
      <c r="I30" s="5"/>
      <c r="J30" s="5"/>
    </row>
    <row r="32" customFormat="false" ht="15" hidden="false" customHeight="false" outlineLevel="0" collapsed="false">
      <c r="A32" s="1" t="s">
        <v>50</v>
      </c>
    </row>
    <row r="33" customFormat="false" ht="15" hidden="false" customHeight="true" outlineLevel="0" collapsed="false">
      <c r="B33" s="11" t="s">
        <v>3</v>
      </c>
      <c r="C33" s="11"/>
      <c r="D33" s="11"/>
      <c r="E33" s="11"/>
      <c r="G33" s="11" t="s">
        <v>4</v>
      </c>
      <c r="H33" s="11"/>
      <c r="I33" s="11"/>
      <c r="J33" s="11"/>
    </row>
    <row r="34" customFormat="false" ht="30" hidden="false" customHeight="true" outlineLevel="0" collapsed="false">
      <c r="A34" s="13"/>
      <c r="B34" s="14" t="s">
        <v>40</v>
      </c>
      <c r="C34" s="14" t="s">
        <v>41</v>
      </c>
      <c r="D34" s="14" t="s">
        <v>42</v>
      </c>
      <c r="E34" s="14" t="s">
        <v>43</v>
      </c>
      <c r="F34" s="13"/>
      <c r="G34" s="14" t="s">
        <v>40</v>
      </c>
      <c r="H34" s="14" t="s">
        <v>41</v>
      </c>
      <c r="I34" s="14" t="s">
        <v>42</v>
      </c>
      <c r="J34" s="14" t="s">
        <v>43</v>
      </c>
    </row>
    <row r="35" customFormat="false" ht="15" hidden="false" customHeight="false" outlineLevel="0" collapsed="false">
      <c r="A35" s="15" t="s">
        <v>44</v>
      </c>
      <c r="B35" s="8" t="str">
        <f aca="false">IF(Estimates!I106="","n/a",TEXT(Estimates!E106,"0.000")&amp;IF(Estimates!I106&lt;0.01,"***",IF(Estimates!I106&lt;0.05,"**",IF(Estimates!I106&lt;0.1,"*",""))))</f>
        <v>-0.681**</v>
      </c>
      <c r="C35" s="8" t="str">
        <f aca="false">IF(Estimates!I107="","n/a",TEXT(Estimates!E107,"0.000")&amp;IF(Estimates!I107&lt;0.01,"***",IF(Estimates!I107&lt;0.05,"**",IF(Estimates!I107&lt;0.1,"*",""))))</f>
        <v>-0.467*</v>
      </c>
      <c r="D35" s="16" t="n">
        <f aca="false">IF(Estimates!I108="","",Estimates!I108)</f>
        <v>0.601313746468471</v>
      </c>
      <c r="E35" s="17" t="n">
        <v>1716</v>
      </c>
      <c r="G35" s="8" t="str">
        <f aca="false">IF(Estimates!I109="","n/a",TEXT(Estimates!E109,"0.000")&amp;IF(Estimates!I109&lt;0.01,"***",IF(Estimates!I109&lt;0.05,"**",IF(Estimates!I109&lt;0.1,"*",""))))</f>
        <v>-0.482**</v>
      </c>
      <c r="H35" s="8" t="str">
        <f aca="false">IF(Estimates!I110="","n/a",TEXT(Estimates!E110,"0.000")&amp;IF(Estimates!I110&lt;0.01,"***",IF(Estimates!I110&lt;0.05,"**",IF(Estimates!I110&lt;0.1,"*",""))))</f>
        <v>-0.473</v>
      </c>
      <c r="I35" s="16" t="n">
        <f aca="false">IF(Estimates!I111="","",Estimates!I111)</f>
        <v>0.979228585188274</v>
      </c>
      <c r="J35" s="17" t="n">
        <v>1525</v>
      </c>
    </row>
    <row r="36" customFormat="false" ht="15" hidden="false" customHeight="false" outlineLevel="0" collapsed="false">
      <c r="B36" s="8" t="str">
        <f aca="false">IF(Estimates!H106="","","("&amp;TEXT(Estimates!H106,"0.00")&amp;")")</f>
        <v>(-2.32)</v>
      </c>
      <c r="C36" s="8" t="str">
        <f aca="false">IF(Estimates!H107="","","("&amp;TEXT(Estimates!H107,"0.00")&amp;")")</f>
        <v>(-2.03)</v>
      </c>
      <c r="G36" s="8" t="str">
        <f aca="false">IF(Estimates!H109="","","("&amp;TEXT(Estimates!H109,"0.00")&amp;")")</f>
        <v>(-2.16)</v>
      </c>
      <c r="H36" s="8" t="str">
        <f aca="false">IF(Estimates!H110="","","("&amp;TEXT(Estimates!H110,"0.00")&amp;")")</f>
        <v>(-1.63)</v>
      </c>
    </row>
    <row r="37" customFormat="false" ht="15" hidden="false" customHeight="false" outlineLevel="0" collapsed="false">
      <c r="A37" s="18" t="s">
        <v>45</v>
      </c>
      <c r="B37" s="8" t="str">
        <f aca="false">IF(Estimates!I112="","n/a",TEXT(Estimates!E112,"0.000")&amp;IF(Estimates!I112&lt;0.01,"***",IF(Estimates!I112&lt;0.05,"**",IF(Estimates!I112&lt;0.1,"*",""))))</f>
        <v>-0.747**</v>
      </c>
      <c r="C37" s="8" t="str">
        <f aca="false">IF(Estimates!I113="","n/a",TEXT(Estimates!E113,"0.000")&amp;IF(Estimates!I113&lt;0.01,"***",IF(Estimates!I113&lt;0.05,"**",IF(Estimates!I113&lt;0.1,"*",""))))</f>
        <v>-0.390*</v>
      </c>
      <c r="D37" s="16" t="n">
        <f aca="false">IF(Estimates!I114="","",Estimates!I114)</f>
        <v>0.361618949380955</v>
      </c>
      <c r="E37" s="17" t="n">
        <v>1720</v>
      </c>
      <c r="G37" s="8" t="str">
        <f aca="false">IF(Estimates!I115="","n/a",TEXT(Estimates!E115,"0.000")&amp;IF(Estimates!I115&lt;0.01,"***",IF(Estimates!I115&lt;0.05,"**",IF(Estimates!I115&lt;0.1,"*",""))))</f>
        <v>-0.394**</v>
      </c>
      <c r="H37" s="8" t="str">
        <f aca="false">IF(Estimates!I116="","n/a",TEXT(Estimates!E116,"0.000")&amp;IF(Estimates!I116&lt;0.01,"***",IF(Estimates!I116&lt;0.05,"**",IF(Estimates!I116&lt;0.1,"*",""))))</f>
        <v>-0.378</v>
      </c>
      <c r="I37" s="16" t="n">
        <f aca="false">IF(Estimates!I117="","",Estimates!I117)</f>
        <v>0.963224460198323</v>
      </c>
      <c r="J37" s="17" t="n">
        <v>1531</v>
      </c>
    </row>
    <row r="38" customFormat="false" ht="15" hidden="false" customHeight="false" outlineLevel="0" collapsed="false">
      <c r="B38" s="8" t="str">
        <f aca="false">IF(Estimates!H112="","","("&amp;TEXT(Estimates!H112,"0.00")&amp;")")</f>
        <v>(-2.84)</v>
      </c>
      <c r="C38" s="8" t="str">
        <f aca="false">IF(Estimates!H113="","","("&amp;TEXT(Estimates!H113,"0.00")&amp;")")</f>
        <v>(-1.87)</v>
      </c>
      <c r="G38" s="8" t="str">
        <f aca="false">IF(Estimates!H115="","","("&amp;TEXT(Estimates!H115,"0.00")&amp;")")</f>
        <v>(-2.12)</v>
      </c>
      <c r="H38" s="8" t="str">
        <f aca="false">IF(Estimates!H116="","","("&amp;TEXT(Estimates!H116,"0.00")&amp;")")</f>
        <v>(-1.42)</v>
      </c>
    </row>
    <row r="39" customFormat="false" ht="15" hidden="false" customHeight="false" outlineLevel="0" collapsed="false">
      <c r="A39" s="18" t="s">
        <v>46</v>
      </c>
      <c r="B39" s="8" t="str">
        <f aca="false">IF(Estimates!I118="","n/a",TEXT(Estimates!E118,"0.000")&amp;IF(Estimates!I118&lt;0.01,"***",IF(Estimates!I118&lt;0.05,"**",IF(Estimates!I118&lt;0.1,"*",""))))</f>
        <v>-0.858**</v>
      </c>
      <c r="C39" s="8" t="str">
        <f aca="false">IF(Estimates!I119="","n/a",TEXT(Estimates!E119,"0.000")&amp;IF(Estimates!I119&lt;0.01,"***",IF(Estimates!I119&lt;0.05,"**",IF(Estimates!I119&lt;0.1,"*",""))))</f>
        <v>-0.509**</v>
      </c>
      <c r="D39" s="16" t="n">
        <f aca="false">IF(Estimates!I120="","",Estimates!I120)</f>
        <v>0.462620890342678</v>
      </c>
      <c r="E39" s="17" t="n">
        <v>1615</v>
      </c>
      <c r="G39" s="8" t="str">
        <f aca="false">IF(Estimates!I121="","n/a",TEXT(Estimates!E121,"0.000")&amp;IF(Estimates!I121&lt;0.01,"***",IF(Estimates!I121&lt;0.05,"**",IF(Estimates!I121&lt;0.1,"*",""))))</f>
        <v>-0.553**</v>
      </c>
      <c r="H39" s="8" t="str">
        <f aca="false">IF(Estimates!I122="","n/a",TEXT(Estimates!E122,"0.000")&amp;IF(Estimates!I122&lt;0.01,"***",IF(Estimates!I122&lt;0.05,"**",IF(Estimates!I122&lt;0.1,"*",""))))</f>
        <v>-0.504</v>
      </c>
      <c r="I39" s="16" t="n">
        <f aca="false">IF(Estimates!I123="","",Estimates!I123)</f>
        <v>0.89713034270119</v>
      </c>
      <c r="J39" s="17" t="n">
        <v>1431</v>
      </c>
    </row>
    <row r="40" customFormat="false" ht="15" hidden="false" customHeight="false" outlineLevel="0" collapsed="false">
      <c r="B40" s="8" t="str">
        <f aca="false">IF(Estimates!H118="","","("&amp;TEXT(Estimates!H118,"0.00")&amp;")")</f>
        <v>(-2.15)</v>
      </c>
      <c r="C40" s="8" t="str">
        <f aca="false">IF(Estimates!H119="","","("&amp;TEXT(Estimates!H119,"0.00")&amp;")")</f>
        <v>(-2.19)</v>
      </c>
      <c r="G40" s="8" t="str">
        <f aca="false">IF(Estimates!H121="","","("&amp;TEXT(Estimates!H121,"0.00")&amp;")")</f>
        <v>(-2.41)</v>
      </c>
      <c r="H40" s="8" t="str">
        <f aca="false">IF(Estimates!H122="","","("&amp;TEXT(Estimates!H122,"0.00")&amp;")")</f>
        <v>(-1.64)</v>
      </c>
    </row>
    <row r="41" customFormat="false" ht="15" hidden="false" customHeight="false" outlineLevel="0" collapsed="false">
      <c r="A41" s="18" t="s">
        <v>47</v>
      </c>
      <c r="B41" s="8" t="str">
        <f aca="false">IF(Estimates!I124="","n/a",TEXT(Estimates!E124,"0.000")&amp;IF(Estimates!I124&lt;0.01,"***",IF(Estimates!I124&lt;0.05,"**",IF(Estimates!I124&lt;0.1,"*",""))))</f>
        <v>-1.015**</v>
      </c>
      <c r="C41" s="8" t="str">
        <f aca="false">IF(Estimates!I125="","n/a",TEXT(Estimates!E125,"0.000")&amp;IF(Estimates!I125&lt;0.01,"***",IF(Estimates!I125&lt;0.05,"**",IF(Estimates!I125&lt;0.1,"*",""))))</f>
        <v>-0.418**</v>
      </c>
      <c r="D41" s="16" t="n">
        <f aca="false">IF(Estimates!I126="","",Estimates!I126)</f>
        <v>0.184028784032717</v>
      </c>
      <c r="E41" s="17" t="n">
        <v>1615</v>
      </c>
      <c r="G41" s="8" t="str">
        <f aca="false">IF(Estimates!I127="","n/a",TEXT(Estimates!E127,"0.000")&amp;IF(Estimates!I127&lt;0.01,"***",IF(Estimates!I127&lt;0.05,"**",IF(Estimates!I127&lt;0.1,"*",""))))</f>
        <v>-0.850***</v>
      </c>
      <c r="H41" s="8" t="str">
        <f aca="false">IF(Estimates!I128="","n/a",TEXT(Estimates!E128,"0.000")&amp;IF(Estimates!I128&lt;0.01,"***",IF(Estimates!I128&lt;0.05,"**",IF(Estimates!I128&lt;0.1,"*",""))))</f>
        <v>-0.399</v>
      </c>
      <c r="I41" s="16" t="n">
        <f aca="false">IF(Estimates!I129="","",Estimates!I129)</f>
        <v>0.218641103338967</v>
      </c>
      <c r="J41" s="17" t="n">
        <v>1431</v>
      </c>
    </row>
    <row r="42" customFormat="false" ht="15" hidden="false" customHeight="false" outlineLevel="0" collapsed="false">
      <c r="B42" s="8" t="str">
        <f aca="false">IF(Estimates!H124="","","("&amp;TEXT(Estimates!H124,"0.00")&amp;")")</f>
        <v>(-2.67)</v>
      </c>
      <c r="C42" s="8" t="str">
        <f aca="false">IF(Estimates!H125="","","("&amp;TEXT(Estimates!H125,"0.00")&amp;")")</f>
        <v>(-2.22)</v>
      </c>
      <c r="G42" s="8" t="str">
        <f aca="false">IF(Estimates!H127="","","("&amp;TEXT(Estimates!H127,"0.00")&amp;")")</f>
        <v>(-4.35)</v>
      </c>
      <c r="H42" s="8" t="str">
        <f aca="false">IF(Estimates!H128="","","("&amp;TEXT(Estimates!H128,"0.00")&amp;")")</f>
        <v>(-1.46)</v>
      </c>
    </row>
    <row r="43" customFormat="false" ht="15" hidden="false" customHeight="false" outlineLevel="0" collapsed="false">
      <c r="A43" s="18" t="s">
        <v>48</v>
      </c>
      <c r="B43" s="8" t="str">
        <f aca="false">IF(Estimates!I130="","n/a",TEXT(Estimates!E130,"0.000")&amp;IF(Estimates!I130&lt;0.01,"***",IF(Estimates!I130&lt;0.05,"**",IF(Estimates!I130&lt;0.1,"*",""))))</f>
        <v>-1.216***</v>
      </c>
      <c r="C43" s="8" t="str">
        <f aca="false">IF(Estimates!I131="","n/a",TEXT(Estimates!E131,"0.000")&amp;IF(Estimates!I131&lt;0.01,"***",IF(Estimates!I131&lt;0.05,"**",IF(Estimates!I131&lt;0.1,"*",""))))</f>
        <v>-0.370*</v>
      </c>
      <c r="D43" s="16" t="n">
        <f aca="false">IF(Estimates!I132="","",Estimates!I132)</f>
        <v>0.0499983808147557</v>
      </c>
      <c r="E43" s="17" t="n">
        <v>1621</v>
      </c>
      <c r="G43" s="8" t="str">
        <f aca="false">IF(Estimates!I133="","n/a",TEXT(Estimates!E133,"0.000")&amp;IF(Estimates!I133&lt;0.01,"***",IF(Estimates!I133&lt;0.05,"**",IF(Estimates!I133&lt;0.1,"*",""))))</f>
        <v>-0.776***</v>
      </c>
      <c r="H43" s="8" t="str">
        <f aca="false">IF(Estimates!I134="","n/a",TEXT(Estimates!E134,"0.000")&amp;IF(Estimates!I134&lt;0.01,"***",IF(Estimates!I134&lt;0.05,"**",IF(Estimates!I134&lt;0.1,"*",""))))</f>
        <v>-0.356</v>
      </c>
      <c r="I43" s="16" t="n">
        <f aca="false">IF(Estimates!I135="","",Estimates!I135)</f>
        <v>0.230652666776248</v>
      </c>
      <c r="J43" s="17" t="n">
        <v>1439</v>
      </c>
    </row>
    <row r="44" customFormat="false" ht="15" hidden="false" customHeight="false" outlineLevel="0" collapsed="false">
      <c r="A44" s="5"/>
      <c r="B44" s="19" t="str">
        <f aca="false">IF(Estimates!H130="","","("&amp;TEXT(Estimates!H130,"0.00")&amp;")")</f>
        <v>(-3.52)</v>
      </c>
      <c r="C44" s="19" t="str">
        <f aca="false">IF(Estimates!H131="","","("&amp;TEXT(Estimates!H131,"0.00")&amp;")")</f>
        <v>(-1.90)</v>
      </c>
      <c r="D44" s="5"/>
      <c r="E44" s="5"/>
      <c r="F44" s="5"/>
      <c r="G44" s="19" t="str">
        <f aca="false">IF(Estimates!H133="","","("&amp;TEXT(Estimates!H133,"0.00")&amp;")")</f>
        <v>(-4.98)</v>
      </c>
      <c r="H44" s="19" t="str">
        <f aca="false">IF(Estimates!H134="","","("&amp;TEXT(Estimates!H134,"0.00")&amp;")")</f>
        <v>(-1.33)</v>
      </c>
      <c r="I44" s="5"/>
      <c r="J44" s="5"/>
    </row>
    <row r="46" customFormat="false" ht="15" hidden="false" customHeight="false" outlineLevel="0" collapsed="false">
      <c r="A46" s="1" t="s">
        <v>51</v>
      </c>
    </row>
    <row r="47" customFormat="false" ht="15" hidden="false" customHeight="true" outlineLevel="0" collapsed="false">
      <c r="B47" s="11" t="s">
        <v>3</v>
      </c>
      <c r="C47" s="11"/>
      <c r="D47" s="11"/>
      <c r="E47" s="11"/>
      <c r="G47" s="11" t="s">
        <v>4</v>
      </c>
      <c r="H47" s="11"/>
      <c r="I47" s="11"/>
      <c r="J47" s="11"/>
    </row>
    <row r="48" customFormat="false" ht="30" hidden="false" customHeight="true" outlineLevel="0" collapsed="false">
      <c r="A48" s="13"/>
      <c r="B48" s="14" t="s">
        <v>40</v>
      </c>
      <c r="C48" s="14" t="s">
        <v>41</v>
      </c>
      <c r="D48" s="14" t="s">
        <v>42</v>
      </c>
      <c r="E48" s="14" t="s">
        <v>43</v>
      </c>
      <c r="F48" s="13"/>
      <c r="G48" s="14" t="s">
        <v>40</v>
      </c>
      <c r="H48" s="14" t="s">
        <v>41</v>
      </c>
      <c r="I48" s="14" t="s">
        <v>42</v>
      </c>
      <c r="J48" s="14" t="s">
        <v>43</v>
      </c>
    </row>
    <row r="49" customFormat="false" ht="15" hidden="false" customHeight="false" outlineLevel="0" collapsed="false">
      <c r="A49" s="15" t="s">
        <v>44</v>
      </c>
      <c r="B49" s="8" t="str">
        <f aca="false">IF(Estimates!I136="","n/a",TEXT(Estimates!E136,"0.000")&amp;IF(Estimates!I136&lt;0.01,"***",IF(Estimates!I136&lt;0.05,"**",IF(Estimates!I136&lt;0.1,"*",""))))</f>
        <v>-0.134</v>
      </c>
      <c r="C49" s="8" t="str">
        <f aca="false">IF(Estimates!I137="","n/a",TEXT(Estimates!E137,"0.000")&amp;IF(Estimates!I137&lt;0.01,"***",IF(Estimates!I137&lt;0.05,"**",IF(Estimates!I137&lt;0.1,"*",""))))</f>
        <v>-0.986***</v>
      </c>
      <c r="D49" s="16" t="n">
        <f aca="false">IF(Estimates!I138="","",Estimates!I138)</f>
        <v>0.0979295714828382</v>
      </c>
      <c r="E49" s="17" t="n">
        <v>1623</v>
      </c>
      <c r="G49" s="8" t="str">
        <f aca="false">IF(Estimates!I139="","n/a",TEXT(Estimates!E139,"0.000")&amp;IF(Estimates!I139&lt;0.01,"***",IF(Estimates!I139&lt;0.05,"**",IF(Estimates!I139&lt;0.1,"*",""))))</f>
        <v>-0.237*</v>
      </c>
      <c r="H49" s="8" t="str">
        <f aca="false">IF(Estimates!I140="","n/a",TEXT(Estimates!E140,"0.000")&amp;IF(Estimates!I140&lt;0.01,"***",IF(Estimates!I140&lt;0.05,"**",IF(Estimates!I140&lt;0.1,"*",""))))</f>
        <v>-0.688*</v>
      </c>
      <c r="I49" s="16" t="n">
        <f aca="false">IF(Estimates!I141="","",Estimates!I141)</f>
        <v>0.294878651942014</v>
      </c>
      <c r="J49" s="17" t="n">
        <v>1441</v>
      </c>
    </row>
    <row r="50" customFormat="false" ht="15" hidden="false" customHeight="false" outlineLevel="0" collapsed="false">
      <c r="B50" s="8" t="str">
        <f aca="false">IF(Estimates!H136="","","("&amp;TEXT(Estimates!H136,"0.00")&amp;")")</f>
        <v>(-0.64)</v>
      </c>
      <c r="C50" s="8" t="str">
        <f aca="false">IF(Estimates!H137="","","("&amp;TEXT(Estimates!H137,"0.00")&amp;")")</f>
        <v>(-2.90)</v>
      </c>
      <c r="G50" s="8" t="str">
        <f aca="false">IF(Estimates!H139="","","("&amp;TEXT(Estimates!H139,"0.00")&amp;")")</f>
        <v>(-2.04)</v>
      </c>
      <c r="H50" s="8" t="str">
        <f aca="false">IF(Estimates!H140="","","("&amp;TEXT(Estimates!H140,"0.00")&amp;")")</f>
        <v>(-1.90)</v>
      </c>
    </row>
    <row r="51" customFormat="false" ht="15" hidden="false" customHeight="false" outlineLevel="0" collapsed="false">
      <c r="A51" s="18" t="s">
        <v>45</v>
      </c>
      <c r="B51" s="8" t="str">
        <f aca="false">IF(Estimates!I142="","n/a",TEXT(Estimates!E142,"0.000")&amp;IF(Estimates!I142&lt;0.01,"***",IF(Estimates!I142&lt;0.05,"**",IF(Estimates!I142&lt;0.1,"*",""))))</f>
        <v>-0.186</v>
      </c>
      <c r="C51" s="8" t="str">
        <f aca="false">IF(Estimates!I143="","n/a",TEXT(Estimates!E143,"0.000")&amp;IF(Estimates!I143&lt;0.01,"***",IF(Estimates!I143&lt;0.05,"**",IF(Estimates!I143&lt;0.1,"*",""))))</f>
        <v>-0.908**</v>
      </c>
      <c r="D51" s="16" t="n">
        <f aca="false">IF(Estimates!I144="","",Estimates!I144)</f>
        <v>0.196585773156001</v>
      </c>
      <c r="E51" s="17" t="n">
        <v>1627</v>
      </c>
      <c r="G51" s="8" t="str">
        <f aca="false">IF(Estimates!I145="","n/a",TEXT(Estimates!E145,"0.000")&amp;IF(Estimates!I145&lt;0.01,"***",IF(Estimates!I145&lt;0.05,"**",IF(Estimates!I145&lt;0.1,"*",""))))</f>
        <v>-0.267</v>
      </c>
      <c r="H51" s="8" t="str">
        <f aca="false">IF(Estimates!I146="","n/a",TEXT(Estimates!E146,"0.000")&amp;IF(Estimates!I146&lt;0.01,"***",IF(Estimates!I146&lt;0.05,"**",IF(Estimates!I146&lt;0.1,"*",""))))</f>
        <v>-0.610</v>
      </c>
      <c r="I51" s="16" t="n">
        <f aca="false">IF(Estimates!I147="","",Estimates!I147)</f>
        <v>0.487579287782232</v>
      </c>
      <c r="J51" s="17" t="n">
        <v>1447</v>
      </c>
    </row>
    <row r="52" customFormat="false" ht="15" hidden="false" customHeight="false" outlineLevel="0" collapsed="false">
      <c r="B52" s="8" t="str">
        <f aca="false">IF(Estimates!H142="","","("&amp;TEXT(Estimates!H142,"0.00")&amp;")")</f>
        <v>(-0.75)</v>
      </c>
      <c r="C52" s="8" t="str">
        <f aca="false">IF(Estimates!H143="","","("&amp;TEXT(Estimates!H143,"0.00")&amp;")")</f>
        <v>(-2.73)</v>
      </c>
      <c r="G52" s="8" t="str">
        <f aca="false">IF(Estimates!H145="","","("&amp;TEXT(Estimates!H145,"0.00")&amp;")")</f>
        <v>(-1.61)</v>
      </c>
      <c r="H52" s="8" t="str">
        <f aca="false">IF(Estimates!H146="","","("&amp;TEXT(Estimates!H146,"0.00")&amp;")")</f>
        <v>(-1.72)</v>
      </c>
    </row>
    <row r="53" customFormat="false" ht="15" hidden="false" customHeight="false" outlineLevel="0" collapsed="false">
      <c r="A53" s="18" t="s">
        <v>46</v>
      </c>
      <c r="B53" s="8" t="str">
        <f aca="false">IF(Estimates!I148="","n/a",TEXT(Estimates!E148,"0.000")&amp;IF(Estimates!I148&lt;0.01,"***",IF(Estimates!I148&lt;0.05,"**",IF(Estimates!I148&lt;0.1,"*",""))))</f>
        <v>-0.193</v>
      </c>
      <c r="C53" s="8" t="str">
        <f aca="false">IF(Estimates!I149="","n/a",TEXT(Estimates!E149,"0.000")&amp;IF(Estimates!I149&lt;0.01,"***",IF(Estimates!I149&lt;0.05,"**",IF(Estimates!I149&lt;0.1,"*",""))))</f>
        <v>-0.854**</v>
      </c>
      <c r="D53" s="16" t="n">
        <f aca="false">IF(Estimates!I150="","",Estimates!I150)</f>
        <v>0.217154162821146</v>
      </c>
      <c r="E53" s="17" t="n">
        <v>1479</v>
      </c>
      <c r="G53" s="8" t="str">
        <f aca="false">IF(Estimates!I151="","n/a",TEXT(Estimates!E151,"0.000")&amp;IF(Estimates!I151&lt;0.01,"***",IF(Estimates!I151&lt;0.05,"**",IF(Estimates!I151&lt;0.1,"*",""))))</f>
        <v>-0.248</v>
      </c>
      <c r="H53" s="8" t="str">
        <f aca="false">IF(Estimates!I152="","n/a",TEXT(Estimates!E152,"0.000")&amp;IF(Estimates!I152&lt;0.01,"***",IF(Estimates!I152&lt;0.05,"**",IF(Estimates!I152&lt;0.1,"*",""))))</f>
        <v>-0.439*</v>
      </c>
      <c r="I53" s="16" t="n">
        <f aca="false">IF(Estimates!I153="","",Estimates!I153)</f>
        <v>0.5692354424368</v>
      </c>
      <c r="J53" s="17" t="n">
        <v>1314</v>
      </c>
    </row>
    <row r="54" customFormat="false" ht="15" hidden="false" customHeight="false" outlineLevel="0" collapsed="false">
      <c r="B54" s="8" t="str">
        <f aca="false">IF(Estimates!H148="","","("&amp;TEXT(Estimates!H148,"0.00")&amp;")")</f>
        <v>(-0.85)</v>
      </c>
      <c r="C54" s="8" t="str">
        <f aca="false">IF(Estimates!H149="","","("&amp;TEXT(Estimates!H149,"0.00")&amp;")")</f>
        <v>(-2.32)</v>
      </c>
      <c r="G54" s="8" t="str">
        <f aca="false">IF(Estimates!H151="","","("&amp;TEXT(Estimates!H151,"0.00")&amp;")")</f>
        <v>(-1.60)</v>
      </c>
      <c r="H54" s="8" t="str">
        <f aca="false">IF(Estimates!H152="","","("&amp;TEXT(Estimates!H152,"0.00")&amp;")")</f>
        <v>(-1.82)</v>
      </c>
    </row>
    <row r="55" customFormat="false" ht="15" hidden="false" customHeight="false" outlineLevel="0" collapsed="false">
      <c r="A55" s="18" t="s">
        <v>47</v>
      </c>
      <c r="B55" s="8" t="str">
        <f aca="false">IF(Estimates!I154="","n/a",TEXT(Estimates!E154,"0.000")&amp;IF(Estimates!I154&lt;0.01,"***",IF(Estimates!I154&lt;0.05,"**",IF(Estimates!I154&lt;0.1,"*",""))))</f>
        <v>-0.155</v>
      </c>
      <c r="C55" s="8" t="str">
        <f aca="false">IF(Estimates!I155="","n/a",TEXT(Estimates!E155,"0.000")&amp;IF(Estimates!I155&lt;0.01,"***",IF(Estimates!I155&lt;0.05,"**",IF(Estimates!I155&lt;0.1,"*",""))))</f>
        <v>-0.711**</v>
      </c>
      <c r="D55" s="16" t="n">
        <f aca="false">IF(Estimates!I156="","",Estimates!I156)</f>
        <v>0.226053036089357</v>
      </c>
      <c r="E55" s="17" t="n">
        <v>1479</v>
      </c>
      <c r="G55" s="8" t="str">
        <f aca="false">IF(Estimates!I157="","n/a",TEXT(Estimates!E157,"0.000")&amp;IF(Estimates!I157&lt;0.01,"***",IF(Estimates!I157&lt;0.05,"**",IF(Estimates!I157&lt;0.1,"*",""))))</f>
        <v>-0.227</v>
      </c>
      <c r="H55" s="8" t="str">
        <f aca="false">IF(Estimates!I158="","n/a",TEXT(Estimates!E158,"0.000")&amp;IF(Estimates!I158&lt;0.01,"***",IF(Estimates!I158&lt;0.05,"**",IF(Estimates!I158&lt;0.1,"*",""))))</f>
        <v>-0.400*</v>
      </c>
      <c r="I55" s="16" t="n">
        <f aca="false">IF(Estimates!I159="","",Estimates!I159)</f>
        <v>0.559111301156345</v>
      </c>
      <c r="J55" s="17" t="n">
        <v>1314</v>
      </c>
    </row>
    <row r="56" customFormat="false" ht="15" hidden="false" customHeight="false" outlineLevel="0" collapsed="false">
      <c r="B56" s="8" t="str">
        <f aca="false">IF(Estimates!H154="","","("&amp;TEXT(Estimates!H154,"0.00")&amp;")")</f>
        <v>(-0.73)</v>
      </c>
      <c r="C56" s="8" t="str">
        <f aca="false">IF(Estimates!H155="","","("&amp;TEXT(Estimates!H155,"0.00")&amp;")")</f>
        <v>(-2.24)</v>
      </c>
      <c r="G56" s="8" t="str">
        <f aca="false">IF(Estimates!H157="","","("&amp;TEXT(Estimates!H157,"0.00")&amp;")")</f>
        <v>(-1.45)</v>
      </c>
      <c r="H56" s="8" t="str">
        <f aca="false">IF(Estimates!H158="","","("&amp;TEXT(Estimates!H158,"0.00")&amp;")")</f>
        <v>(-1.88)</v>
      </c>
    </row>
    <row r="57" customFormat="false" ht="15" hidden="false" customHeight="false" outlineLevel="0" collapsed="false">
      <c r="A57" s="18" t="s">
        <v>48</v>
      </c>
      <c r="B57" s="8" t="str">
        <f aca="false">IF(Estimates!I160="","n/a",TEXT(Estimates!E160,"0.000")&amp;IF(Estimates!I160&lt;0.01,"***",IF(Estimates!I160&lt;0.05,"**",IF(Estimates!I160&lt;0.1,"*",""))))</f>
        <v>-0.266</v>
      </c>
      <c r="C57" s="8" t="str">
        <f aca="false">IF(Estimates!I161="","n/a",TEXT(Estimates!E161,"0.000")&amp;IF(Estimates!I161&lt;0.01,"***",IF(Estimates!I161&lt;0.05,"**",IF(Estimates!I161&lt;0.1,"*",""))))</f>
        <v>-0.774**</v>
      </c>
      <c r="D57" s="16" t="n">
        <f aca="false">IF(Estimates!I162="","",Estimates!I162)</f>
        <v>0.348313299591622</v>
      </c>
      <c r="E57" s="17" t="n">
        <v>1484</v>
      </c>
      <c r="G57" s="8" t="str">
        <f aca="false">IF(Estimates!I163="","n/a",TEXT(Estimates!E163,"0.000")&amp;IF(Estimates!I163&lt;0.01,"***",IF(Estimates!I163&lt;0.05,"**",IF(Estimates!I163&lt;0.1,"*",""))))</f>
        <v>-0.362*</v>
      </c>
      <c r="H57" s="8" t="str">
        <f aca="false">IF(Estimates!I164="","n/a",TEXT(Estimates!E164,"0.000")&amp;IF(Estimates!I164&lt;0.01,"***",IF(Estimates!I164&lt;0.05,"**",IF(Estimates!I164&lt;0.1,"*",""))))</f>
        <v>-0.380</v>
      </c>
      <c r="I57" s="16" t="n">
        <f aca="false">IF(Estimates!I165="","",Estimates!I165)</f>
        <v>0.959339736540716</v>
      </c>
      <c r="J57" s="17" t="n">
        <v>1321</v>
      </c>
    </row>
    <row r="58" customFormat="false" ht="15" hidden="false" customHeight="false" outlineLevel="0" collapsed="false">
      <c r="A58" s="5"/>
      <c r="B58" s="19" t="str">
        <f aca="false">IF(Estimates!H160="","","("&amp;TEXT(Estimates!H160,"0.00")&amp;")")</f>
        <v>(-1.05)</v>
      </c>
      <c r="C58" s="19" t="str">
        <f aca="false">IF(Estimates!H161="","","("&amp;TEXT(Estimates!H161,"0.00")&amp;")")</f>
        <v>(-2.30)</v>
      </c>
      <c r="D58" s="5"/>
      <c r="E58" s="5"/>
      <c r="F58" s="5"/>
      <c r="G58" s="19" t="str">
        <f aca="false">IF(Estimates!H163="","","("&amp;TEXT(Estimates!H163,"0.00")&amp;")")</f>
        <v>(-1.89)</v>
      </c>
      <c r="H58" s="19" t="str">
        <f aca="false">IF(Estimates!H164="","","("&amp;TEXT(Estimates!H164,"0.00")&amp;")")</f>
        <v>(-1.72)</v>
      </c>
      <c r="I58" s="5"/>
      <c r="J58" s="5"/>
    </row>
    <row r="60" customFormat="false" ht="15" hidden="false" customHeight="false" outlineLevel="0" collapsed="false">
      <c r="A60" s="1" t="s">
        <v>52</v>
      </c>
    </row>
    <row r="61" customFormat="false" ht="15" hidden="false" customHeight="true" outlineLevel="0" collapsed="false">
      <c r="B61" s="11" t="s">
        <v>3</v>
      </c>
      <c r="C61" s="11"/>
      <c r="D61" s="11"/>
      <c r="E61" s="11"/>
      <c r="G61" s="11" t="s">
        <v>4</v>
      </c>
      <c r="H61" s="11"/>
      <c r="I61" s="11"/>
      <c r="J61" s="11"/>
    </row>
    <row r="62" customFormat="false" ht="30" hidden="false" customHeight="true" outlineLevel="0" collapsed="false">
      <c r="A62" s="13"/>
      <c r="B62" s="14" t="s">
        <v>40</v>
      </c>
      <c r="C62" s="14" t="s">
        <v>41</v>
      </c>
      <c r="D62" s="14" t="s">
        <v>42</v>
      </c>
      <c r="E62" s="14" t="s">
        <v>43</v>
      </c>
      <c r="F62" s="13"/>
      <c r="G62" s="14" t="s">
        <v>40</v>
      </c>
      <c r="H62" s="14" t="s">
        <v>41</v>
      </c>
      <c r="I62" s="14" t="s">
        <v>42</v>
      </c>
      <c r="J62" s="14" t="s">
        <v>43</v>
      </c>
    </row>
    <row r="63" customFormat="false" ht="15" hidden="false" customHeight="false" outlineLevel="0" collapsed="false">
      <c r="A63" s="15" t="s">
        <v>44</v>
      </c>
      <c r="B63" s="8" t="str">
        <f aca="false">IF(Estimates!I166="","n/a",TEXT(Estimates!E166,"0.000")&amp;IF(Estimates!I166&lt;0.01,"***",IF(Estimates!I166&lt;0.05,"**",IF(Estimates!I166&lt;0.1,"*",""))))</f>
        <v>0.184</v>
      </c>
      <c r="C63" s="8" t="str">
        <f aca="false">IF(Estimates!I167="","n/a",TEXT(Estimates!E167,"0.000")&amp;IF(Estimates!I167&lt;0.01,"***",IF(Estimates!I167&lt;0.05,"**",IF(Estimates!I167&lt;0.1,"*",""))))</f>
        <v>-0.780***</v>
      </c>
      <c r="D63" s="16" t="n">
        <f aca="false">IF(Estimates!I168="","",Estimates!I168)</f>
        <v>0.0147355840531528</v>
      </c>
      <c r="E63" s="17" t="n">
        <v>1723</v>
      </c>
      <c r="G63" s="8" t="str">
        <f aca="false">IF(Estimates!I169="","n/a",TEXT(Estimates!E169,"0.000")&amp;IF(Estimates!I169&lt;0.01,"***",IF(Estimates!I169&lt;0.05,"**",IF(Estimates!I169&lt;0.1,"*",""))))</f>
        <v>-0.187</v>
      </c>
      <c r="H63" s="8" t="str">
        <f aca="false">IF(Estimates!I170="","n/a",TEXT(Estimates!E170,"0.000")&amp;IF(Estimates!I170&lt;0.01,"***",IF(Estimates!I170&lt;0.05,"**",IF(Estimates!I170&lt;0.1,"*",""))))</f>
        <v>-0.506**</v>
      </c>
      <c r="I63" s="16" t="n">
        <f aca="false">IF(Estimates!I171="","",Estimates!I171)</f>
        <v>0.354163526056266</v>
      </c>
      <c r="J63" s="17" t="n">
        <v>1532</v>
      </c>
    </row>
    <row r="64" customFormat="false" ht="15" hidden="false" customHeight="false" outlineLevel="0" collapsed="false">
      <c r="B64" s="8" t="str">
        <f aca="false">IF(Estimates!H166="","","("&amp;TEXT(Estimates!H166,"0.00")&amp;")")</f>
        <v>(0.77)</v>
      </c>
      <c r="C64" s="8" t="str">
        <f aca="false">IF(Estimates!H167="","","("&amp;TEXT(Estimates!H167,"0.00")&amp;")")</f>
        <v>(-3.25)</v>
      </c>
      <c r="G64" s="8" t="str">
        <f aca="false">IF(Estimates!H169="","","("&amp;TEXT(Estimates!H169,"0.00")&amp;")")</f>
        <v>(-1.00)</v>
      </c>
      <c r="H64" s="8" t="str">
        <f aca="false">IF(Estimates!H170="","","("&amp;TEXT(Estimates!H170,"0.00")&amp;")")</f>
        <v>(-2.18)</v>
      </c>
    </row>
    <row r="65" customFormat="false" ht="15" hidden="false" customHeight="false" outlineLevel="0" collapsed="false">
      <c r="A65" s="18" t="s">
        <v>45</v>
      </c>
      <c r="B65" s="8" t="str">
        <f aca="false">IF(Estimates!I172="","n/a",TEXT(Estimates!E172,"0.000")&amp;IF(Estimates!I172&lt;0.01,"***",IF(Estimates!I172&lt;0.05,"**",IF(Estimates!I172&lt;0.1,"*",""))))</f>
        <v>0.178</v>
      </c>
      <c r="C65" s="8" t="str">
        <f aca="false">IF(Estimates!I173="","n/a",TEXT(Estimates!E173,"0.000")&amp;IF(Estimates!I173&lt;0.01,"***",IF(Estimates!I173&lt;0.05,"**",IF(Estimates!I173&lt;0.1,"*",""))))</f>
        <v>-0.726***</v>
      </c>
      <c r="D65" s="16" t="n">
        <f aca="false">IF(Estimates!I174="","",Estimates!I174)</f>
        <v>0.0230017784984357</v>
      </c>
      <c r="E65" s="17" t="n">
        <v>1727</v>
      </c>
      <c r="G65" s="8" t="str">
        <f aca="false">IF(Estimates!I175="","n/a",TEXT(Estimates!E175,"0.000")&amp;IF(Estimates!I175&lt;0.01,"***",IF(Estimates!I175&lt;0.05,"**",IF(Estimates!I175&lt;0.1,"*",""))))</f>
        <v>-0.211</v>
      </c>
      <c r="H65" s="8" t="str">
        <f aca="false">IF(Estimates!I176="","n/a",TEXT(Estimates!E176,"0.000")&amp;IF(Estimates!I176&lt;0.01,"***",IF(Estimates!I176&lt;0.05,"**",IF(Estimates!I176&lt;0.1,"*",""))))</f>
        <v>-0.412*</v>
      </c>
      <c r="I65" s="16" t="n">
        <f aca="false">IF(Estimates!I177="","",Estimates!I177)</f>
        <v>0.543280609576774</v>
      </c>
      <c r="J65" s="17" t="n">
        <v>1538</v>
      </c>
    </row>
    <row r="66" customFormat="false" ht="15" hidden="false" customHeight="false" outlineLevel="0" collapsed="false">
      <c r="B66" s="8" t="str">
        <f aca="false">IF(Estimates!H172="","","("&amp;TEXT(Estimates!H172,"0.00")&amp;")")</f>
        <v>(0.75)</v>
      </c>
      <c r="C66" s="8" t="str">
        <f aca="false">IF(Estimates!H173="","","("&amp;TEXT(Estimates!H173,"0.00")&amp;")")</f>
        <v>(-3.17)</v>
      </c>
      <c r="G66" s="8" t="str">
        <f aca="false">IF(Estimates!H175="","","("&amp;TEXT(Estimates!H175,"0.00")&amp;")")</f>
        <v>(-1.06)</v>
      </c>
      <c r="H66" s="8" t="str">
        <f aca="false">IF(Estimates!H176="","","("&amp;TEXT(Estimates!H176,"0.00")&amp;")")</f>
        <v>(-1.97)</v>
      </c>
    </row>
    <row r="67" customFormat="false" ht="15" hidden="false" customHeight="false" outlineLevel="0" collapsed="false">
      <c r="A67" s="18" t="s">
        <v>46</v>
      </c>
      <c r="B67" s="8" t="str">
        <f aca="false">IF(Estimates!I178="","n/a",TEXT(Estimates!E178,"0.000")&amp;IF(Estimates!I178&lt;0.01,"***",IF(Estimates!I178&lt;0.05,"**",IF(Estimates!I178&lt;0.1,"*",""))))</f>
        <v>-0.020</v>
      </c>
      <c r="C67" s="8" t="str">
        <f aca="false">IF(Estimates!I179="","n/a",TEXT(Estimates!E179,"0.000")&amp;IF(Estimates!I179&lt;0.01,"***",IF(Estimates!I179&lt;0.05,"**",IF(Estimates!I179&lt;0.1,"*",""))))</f>
        <v>-0.659***</v>
      </c>
      <c r="D67" s="16" t="n">
        <f aca="false">IF(Estimates!I180="","",Estimates!I180)</f>
        <v>0.0273486582062053</v>
      </c>
      <c r="E67" s="17" t="n">
        <v>1562</v>
      </c>
      <c r="G67" s="8" t="str">
        <f aca="false">IF(Estimates!I181="","n/a",TEXT(Estimates!E181,"0.000")&amp;IF(Estimates!I181&lt;0.01,"***",IF(Estimates!I181&lt;0.05,"**",IF(Estimates!I181&lt;0.1,"*",""))))</f>
        <v>-0.285</v>
      </c>
      <c r="H67" s="8" t="str">
        <f aca="false">IF(Estimates!I182="","n/a",TEXT(Estimates!E182,"0.000")&amp;IF(Estimates!I182&lt;0.01,"***",IF(Estimates!I182&lt;0.05,"**",IF(Estimates!I182&lt;0.1,"*",""))))</f>
        <v>-0.295*</v>
      </c>
      <c r="I67" s="16" t="n">
        <f aca="false">IF(Estimates!I183="","",Estimates!I183)</f>
        <v>0.972987098254493</v>
      </c>
      <c r="J67" s="17" t="n">
        <v>1389</v>
      </c>
    </row>
    <row r="68" customFormat="false" ht="15" hidden="false" customHeight="false" outlineLevel="0" collapsed="false">
      <c r="B68" s="8" t="str">
        <f aca="false">IF(Estimates!H178="","","("&amp;TEXT(Estimates!H178,"0.00")&amp;")")</f>
        <v>(-0.12)</v>
      </c>
      <c r="C68" s="8" t="str">
        <f aca="false">IF(Estimates!H179="","","("&amp;TEXT(Estimates!H179,"0.00")&amp;")")</f>
        <v>(-2.96)</v>
      </c>
      <c r="G68" s="8" t="str">
        <f aca="false">IF(Estimates!H181="","","("&amp;TEXT(Estimates!H181,"0.00")&amp;")")</f>
        <v>(-1.23)</v>
      </c>
      <c r="H68" s="8" t="str">
        <f aca="false">IF(Estimates!H182="","","("&amp;TEXT(Estimates!H182,"0.00")&amp;")")</f>
        <v>(-1.70)</v>
      </c>
    </row>
    <row r="69" customFormat="false" ht="15" hidden="false" customHeight="false" outlineLevel="0" collapsed="false">
      <c r="A69" s="18" t="s">
        <v>47</v>
      </c>
      <c r="B69" s="8" t="str">
        <f aca="false">IF(Estimates!I184="","n/a",TEXT(Estimates!E184,"0.000")&amp;IF(Estimates!I184&lt;0.01,"***",IF(Estimates!I184&lt;0.05,"**",IF(Estimates!I184&lt;0.1,"*",""))))</f>
        <v>-0.047</v>
      </c>
      <c r="C69" s="8" t="str">
        <f aca="false">IF(Estimates!I185="","n/a",TEXT(Estimates!E185,"0.000")&amp;IF(Estimates!I185&lt;0.01,"***",IF(Estimates!I185&lt;0.05,"**",IF(Estimates!I185&lt;0.1,"*",""))))</f>
        <v>-0.528**</v>
      </c>
      <c r="D69" s="16" t="n">
        <f aca="false">IF(Estimates!I186="","",Estimates!I186)</f>
        <v>0.217437949886509</v>
      </c>
      <c r="E69" s="17" t="n">
        <v>1562</v>
      </c>
      <c r="G69" s="8" t="str">
        <f aca="false">IF(Estimates!I187="","n/a",TEXT(Estimates!E187,"0.000")&amp;IF(Estimates!I187&lt;0.01,"***",IF(Estimates!I187&lt;0.05,"**",IF(Estimates!I187&lt;0.1,"*",""))))</f>
        <v>-0.306</v>
      </c>
      <c r="H69" s="8" t="str">
        <f aca="false">IF(Estimates!I188="","n/a",TEXT(Estimates!E188,"0.000")&amp;IF(Estimates!I188&lt;0.01,"***",IF(Estimates!I188&lt;0.05,"**",IF(Estimates!I188&lt;0.1,"*",""))))</f>
        <v>-0.273</v>
      </c>
      <c r="I69" s="16" t="n">
        <f aca="false">IF(Estimates!I189="","",Estimates!I189)</f>
        <v>0.929034960156083</v>
      </c>
      <c r="J69" s="17" t="n">
        <v>1389</v>
      </c>
    </row>
    <row r="70" customFormat="false" ht="15" hidden="false" customHeight="false" outlineLevel="0" collapsed="false">
      <c r="B70" s="8" t="str">
        <f aca="false">IF(Estimates!H184="","","("&amp;TEXT(Estimates!H184,"0.00")&amp;")")</f>
        <v>(-0.15)</v>
      </c>
      <c r="C70" s="8" t="str">
        <f aca="false">IF(Estimates!H185="","","("&amp;TEXT(Estimates!H185,"0.00")&amp;")")</f>
        <v>(-2.52)</v>
      </c>
      <c r="G70" s="8" t="str">
        <f aca="false">IF(Estimates!H187="","","("&amp;TEXT(Estimates!H187,"0.00")&amp;")")</f>
        <v>(-0.85)</v>
      </c>
      <c r="H70" s="8" t="str">
        <f aca="false">IF(Estimates!H188="","","("&amp;TEXT(Estimates!H188,"0.00")&amp;")")</f>
        <v>(-1.66)</v>
      </c>
    </row>
    <row r="71" customFormat="false" ht="15" hidden="false" customHeight="false" outlineLevel="0" collapsed="false">
      <c r="A71" s="18" t="s">
        <v>48</v>
      </c>
      <c r="B71" s="8" t="str">
        <f aca="false">IF(Estimates!I190="","n/a",TEXT(Estimates!E190,"0.000")&amp;IF(Estimates!I190&lt;0.01,"***",IF(Estimates!I190&lt;0.05,"**",IF(Estimates!I190&lt;0.1,"*",""))))</f>
        <v>-0.027</v>
      </c>
      <c r="C71" s="8" t="str">
        <f aca="false">IF(Estimates!I191="","n/a",TEXT(Estimates!E191,"0.000")&amp;IF(Estimates!I191&lt;0.01,"***",IF(Estimates!I191&lt;0.05,"**",IF(Estimates!I191&lt;0.1,"*",""))))</f>
        <v>-0.612***</v>
      </c>
      <c r="D71" s="16" t="n">
        <f aca="false">IF(Estimates!I192="","",Estimates!I192)</f>
        <v>0.134222642269026</v>
      </c>
      <c r="E71" s="17" t="n">
        <v>1567</v>
      </c>
      <c r="G71" s="8" t="str">
        <f aca="false">IF(Estimates!I193="","n/a",TEXT(Estimates!E193,"0.000")&amp;IF(Estimates!I193&lt;0.01,"***",IF(Estimates!I193&lt;0.05,"**",IF(Estimates!I193&lt;0.1,"*",""))))</f>
        <v>-0.435</v>
      </c>
      <c r="H71" s="8" t="str">
        <f aca="false">IF(Estimates!I194="","n/a",TEXT(Estimates!E194,"0.000")&amp;IF(Estimates!I194&lt;0.01,"***",IF(Estimates!I194&lt;0.05,"**",IF(Estimates!I194&lt;0.1,"*",""))))</f>
        <v>-0.274</v>
      </c>
      <c r="I71" s="16" t="n">
        <f aca="false">IF(Estimates!I195="","",Estimates!I195)</f>
        <v>0.677781856640004</v>
      </c>
      <c r="J71" s="17" t="n">
        <v>1396</v>
      </c>
    </row>
    <row r="72" customFormat="false" ht="15" hidden="false" customHeight="false" outlineLevel="0" collapsed="false">
      <c r="A72" s="5"/>
      <c r="B72" s="19" t="str">
        <f aca="false">IF(Estimates!H190="","","("&amp;TEXT(Estimates!H190,"0.00")&amp;")")</f>
        <v>(-0.09)</v>
      </c>
      <c r="C72" s="19" t="str">
        <f aca="false">IF(Estimates!H191="","","("&amp;TEXT(Estimates!H191,"0.00")&amp;")")</f>
        <v>(-2.88)</v>
      </c>
      <c r="D72" s="5"/>
      <c r="E72" s="5"/>
      <c r="F72" s="5"/>
      <c r="G72" s="19" t="str">
        <f aca="false">IF(Estimates!H193="","","("&amp;TEXT(Estimates!H193,"0.00")&amp;")")</f>
        <v>(-1.27)</v>
      </c>
      <c r="H72" s="19" t="str">
        <f aca="false">IF(Estimates!H194="","","("&amp;TEXT(Estimates!H194,"0.00")&amp;")")</f>
        <v>(-1.49)</v>
      </c>
      <c r="I72" s="5"/>
      <c r="J72" s="5"/>
    </row>
    <row r="74" customFormat="false" ht="15" hidden="false" customHeight="false" outlineLevel="0" collapsed="false">
      <c r="A74" s="1" t="s">
        <v>53</v>
      </c>
    </row>
    <row r="75" customFormat="false" ht="15" hidden="false" customHeight="true" outlineLevel="0" collapsed="false">
      <c r="B75" s="11" t="s">
        <v>3</v>
      </c>
      <c r="C75" s="11"/>
      <c r="D75" s="11"/>
      <c r="E75" s="11"/>
      <c r="G75" s="11" t="s">
        <v>4</v>
      </c>
      <c r="H75" s="11"/>
      <c r="I75" s="11"/>
      <c r="J75" s="11"/>
    </row>
    <row r="76" customFormat="false" ht="30" hidden="false" customHeight="true" outlineLevel="0" collapsed="false">
      <c r="A76" s="13"/>
      <c r="B76" s="14" t="s">
        <v>40</v>
      </c>
      <c r="C76" s="14" t="s">
        <v>41</v>
      </c>
      <c r="D76" s="14" t="s">
        <v>42</v>
      </c>
      <c r="E76" s="14" t="s">
        <v>43</v>
      </c>
      <c r="F76" s="13"/>
      <c r="G76" s="14" t="s">
        <v>40</v>
      </c>
      <c r="H76" s="14" t="s">
        <v>41</v>
      </c>
      <c r="I76" s="14" t="s">
        <v>42</v>
      </c>
      <c r="J76" s="14" t="s">
        <v>43</v>
      </c>
    </row>
    <row r="77" customFormat="false" ht="15" hidden="false" customHeight="false" outlineLevel="0" collapsed="false">
      <c r="A77" s="15" t="s">
        <v>44</v>
      </c>
      <c r="B77" s="8" t="str">
        <f aca="false">IF(Estimates!I196="","n/a",TEXT(Estimates!E196,"0.000")&amp;IF(Estimates!I196&lt;0.01,"***",IF(Estimates!I196&lt;0.05,"**",IF(Estimates!I196&lt;0.1,"*",""))))</f>
        <v>-1.244**</v>
      </c>
      <c r="C77" s="8" t="str">
        <f aca="false">IF(Estimates!I197="","n/a",TEXT(Estimates!E197,"0.000")&amp;IF(Estimates!I197&lt;0.01,"***",IF(Estimates!I197&lt;0.05,"**",IF(Estimates!I197&lt;0.1,"*",""))))</f>
        <v>-0.452*</v>
      </c>
      <c r="D77" s="16" t="n">
        <f aca="false">IF(Estimates!I198="","",Estimates!I198)</f>
        <v>0.313812653172669</v>
      </c>
      <c r="E77" s="17" t="n">
        <v>1708</v>
      </c>
      <c r="G77" s="8" t="str">
        <f aca="false">IF(Estimates!I199="","n/a",TEXT(Estimates!E199,"0.000")&amp;IF(Estimates!I199&lt;0.01,"***",IF(Estimates!I199&lt;0.05,"**",IF(Estimates!I199&lt;0.1,"*",""))))</f>
        <v>-1.167***</v>
      </c>
      <c r="H77" s="8" t="str">
        <f aca="false">IF(Estimates!I200="","n/a",TEXT(Estimates!E200,"0.000")&amp;IF(Estimates!I200&lt;0.01,"***",IF(Estimates!I200&lt;0.05,"**",IF(Estimates!I200&lt;0.1,"*",""))))</f>
        <v>-0.288</v>
      </c>
      <c r="I77" s="16" t="n">
        <f aca="false">IF(Estimates!I201="","",Estimates!I201)</f>
        <v>0.0493612967483004</v>
      </c>
      <c r="J77" s="17" t="n">
        <v>1519</v>
      </c>
    </row>
    <row r="78" customFormat="false" ht="15" hidden="false" customHeight="false" outlineLevel="0" collapsed="false">
      <c r="B78" s="8" t="str">
        <f aca="false">IF(Estimates!H196="","","("&amp;TEXT(Estimates!H196,"0.00")&amp;")")</f>
        <v>(-2.16)</v>
      </c>
      <c r="C78" s="8" t="str">
        <f aca="false">IF(Estimates!H197="","","("&amp;TEXT(Estimates!H197,"0.00")&amp;")")</f>
        <v>(-1.84)</v>
      </c>
      <c r="G78" s="8" t="str">
        <f aca="false">IF(Estimates!H199="","","("&amp;TEXT(Estimates!H199,"0.00")&amp;")")</f>
        <v>(-4.89)</v>
      </c>
      <c r="H78" s="8" t="str">
        <f aca="false">IF(Estimates!H200="","","("&amp;TEXT(Estimates!H200,"0.00")&amp;")")</f>
        <v>(-1.23)</v>
      </c>
    </row>
    <row r="79" customFormat="false" ht="15" hidden="false" customHeight="false" outlineLevel="0" collapsed="false">
      <c r="A79" s="18" t="s">
        <v>45</v>
      </c>
      <c r="B79" s="8" t="str">
        <f aca="false">IF(Estimates!I202="","n/a",TEXT(Estimates!E202,"0.000")&amp;IF(Estimates!I202&lt;0.01,"***",IF(Estimates!I202&lt;0.05,"**",IF(Estimates!I202&lt;0.1,"*",""))))</f>
        <v>-1.249**</v>
      </c>
      <c r="C79" s="8" t="str">
        <f aca="false">IF(Estimates!I203="","n/a",TEXT(Estimates!E203,"0.000")&amp;IF(Estimates!I203&lt;0.01,"***",IF(Estimates!I203&lt;0.05,"**",IF(Estimates!I203&lt;0.1,"*",""))))</f>
        <v>-0.418*</v>
      </c>
      <c r="D79" s="16" t="n">
        <f aca="false">IF(Estimates!I204="","",Estimates!I204)</f>
        <v>0.285121924288093</v>
      </c>
      <c r="E79" s="17" t="n">
        <v>1712</v>
      </c>
      <c r="G79" s="8" t="str">
        <f aca="false">IF(Estimates!I205="","n/a",TEXT(Estimates!E205,"0.000")&amp;IF(Estimates!I205&lt;0.01,"***",IF(Estimates!I205&lt;0.05,"**",IF(Estimates!I205&lt;0.1,"*",""))))</f>
        <v>-1.031***</v>
      </c>
      <c r="H79" s="8" t="str">
        <f aca="false">IF(Estimates!I206="","n/a",TEXT(Estimates!E206,"0.000")&amp;IF(Estimates!I206&lt;0.01,"***",IF(Estimates!I206&lt;0.05,"**",IF(Estimates!I206&lt;0.1,"*",""))))</f>
        <v>-0.216</v>
      </c>
      <c r="I79" s="16" t="n">
        <f aca="false">IF(Estimates!I207="","",Estimates!I207)</f>
        <v>0.0625830488479623</v>
      </c>
      <c r="J79" s="17" t="n">
        <v>1525</v>
      </c>
    </row>
    <row r="80" customFormat="false" ht="15" hidden="false" customHeight="false" outlineLevel="0" collapsed="false">
      <c r="B80" s="8" t="str">
        <f aca="false">IF(Estimates!H202="","","("&amp;TEXT(Estimates!H202,"0.00")&amp;")")</f>
        <v>(-2.18)</v>
      </c>
      <c r="C80" s="8" t="str">
        <f aca="false">IF(Estimates!H203="","","("&amp;TEXT(Estimates!H203,"0.00")&amp;")")</f>
        <v>(-1.84)</v>
      </c>
      <c r="G80" s="8" t="str">
        <f aca="false">IF(Estimates!H205="","","("&amp;TEXT(Estimates!H205,"0.00")&amp;")")</f>
        <v>(-3.82)</v>
      </c>
      <c r="H80" s="8" t="str">
        <f aca="false">IF(Estimates!H206="","","("&amp;TEXT(Estimates!H206,"0.00")&amp;")")</f>
        <v>(-1.09)</v>
      </c>
    </row>
    <row r="81" customFormat="false" ht="15" hidden="false" customHeight="false" outlineLevel="0" collapsed="false">
      <c r="A81" s="18" t="s">
        <v>46</v>
      </c>
      <c r="B81" s="8" t="str">
        <f aca="false">IF(Estimates!I208="","n/a",TEXT(Estimates!E208,"0.000")&amp;IF(Estimates!I208&lt;0.01,"***",IF(Estimates!I208&lt;0.05,"**",IF(Estimates!I208&lt;0.1,"*",""))))</f>
        <v>-1.557**</v>
      </c>
      <c r="C81" s="8" t="str">
        <f aca="false">IF(Estimates!I209="","n/a",TEXT(Estimates!E209,"0.000")&amp;IF(Estimates!I209&lt;0.01,"***",IF(Estimates!I209&lt;0.05,"**",IF(Estimates!I209&lt;0.1,"*",""))))</f>
        <v>-0.380</v>
      </c>
      <c r="D81" s="16" t="n">
        <f aca="false">IF(Estimates!I210="","",Estimates!I210)</f>
        <v>0.286220510259395</v>
      </c>
      <c r="E81" s="17" t="n">
        <v>1547</v>
      </c>
      <c r="G81" s="8" t="str">
        <f aca="false">IF(Estimates!I211="","n/a",TEXT(Estimates!E211,"0.000")&amp;IF(Estimates!I211&lt;0.01,"***",IF(Estimates!I211&lt;0.05,"**",IF(Estimates!I211&lt;0.1,"*",""))))</f>
        <v>-1.304***</v>
      </c>
      <c r="H81" s="8" t="str">
        <f aca="false">IF(Estimates!I212="","n/a",TEXT(Estimates!E212,"0.000")&amp;IF(Estimates!I212&lt;0.01,"***",IF(Estimates!I212&lt;0.05,"**",IF(Estimates!I212&lt;0.1,"*",""))))</f>
        <v>-0.092</v>
      </c>
      <c r="I81" s="16" t="n">
        <f aca="false">IF(Estimates!I213="","",Estimates!I213)</f>
        <v>0.000171317359804292</v>
      </c>
      <c r="J81" s="17" t="n">
        <v>1376</v>
      </c>
    </row>
    <row r="82" customFormat="false" ht="15" hidden="false" customHeight="false" outlineLevel="0" collapsed="false">
      <c r="B82" s="8" t="str">
        <f aca="false">IF(Estimates!H208="","","("&amp;TEXT(Estimates!H208,"0.00")&amp;")")</f>
        <v>(-2.10)</v>
      </c>
      <c r="C82" s="8" t="str">
        <f aca="false">IF(Estimates!H209="","","("&amp;TEXT(Estimates!H209,"0.00")&amp;")")</f>
        <v>(-1.08)</v>
      </c>
      <c r="G82" s="8" t="str">
        <f aca="false">IF(Estimates!H211="","","("&amp;TEXT(Estimates!H211,"0.00")&amp;")")</f>
        <v>(-8.25)</v>
      </c>
      <c r="H82" s="8" t="str">
        <f aca="false">IF(Estimates!H212="","","("&amp;TEXT(Estimates!H212,"0.00")&amp;")")</f>
        <v>(-0.65)</v>
      </c>
    </row>
    <row r="83" customFormat="false" ht="15" hidden="false" customHeight="false" outlineLevel="0" collapsed="false">
      <c r="A83" s="18" t="s">
        <v>47</v>
      </c>
      <c r="B83" s="8" t="str">
        <f aca="false">IF(Estimates!I214="","n/a",TEXT(Estimates!E214,"0.000")&amp;IF(Estimates!I214&lt;0.01,"***",IF(Estimates!I214&lt;0.05,"**",IF(Estimates!I214&lt;0.1,"*",""))))</f>
        <v>-1.432*</v>
      </c>
      <c r="C83" s="8" t="str">
        <f aca="false">IF(Estimates!I215="","n/a",TEXT(Estimates!E215,"0.000")&amp;IF(Estimates!I215&lt;0.01,"***",IF(Estimates!I215&lt;0.05,"**",IF(Estimates!I215&lt;0.1,"*",""))))</f>
        <v>-0.272</v>
      </c>
      <c r="D83" s="16" t="n">
        <f aca="false">IF(Estimates!I216="","",Estimates!I216)</f>
        <v>0.257135324909714</v>
      </c>
      <c r="E83" s="17" t="n">
        <v>1547</v>
      </c>
      <c r="G83" s="8" t="str">
        <f aca="false">IF(Estimates!I217="","n/a",TEXT(Estimates!E217,"0.000")&amp;IF(Estimates!I217&lt;0.01,"***",IF(Estimates!I217&lt;0.05,"**",IF(Estimates!I217&lt;0.1,"*",""))))</f>
        <v>-0.961***</v>
      </c>
      <c r="H83" s="8" t="str">
        <f aca="false">IF(Estimates!I218="","n/a",TEXT(Estimates!E218,"0.000")&amp;IF(Estimates!I218&lt;0.01,"***",IF(Estimates!I218&lt;0.05,"**",IF(Estimates!I218&lt;0.1,"*",""))))</f>
        <v>-0.060</v>
      </c>
      <c r="I83" s="16" t="n">
        <f aca="false">IF(Estimates!I219="","",Estimates!I219)</f>
        <v>0.0217683178473406</v>
      </c>
      <c r="J83" s="17" t="n">
        <v>1376</v>
      </c>
    </row>
    <row r="84" customFormat="false" ht="15" hidden="false" customHeight="false" outlineLevel="0" collapsed="false">
      <c r="B84" s="8" t="str">
        <f aca="false">IF(Estimates!H214="","","("&amp;TEXT(Estimates!H214,"0.00")&amp;")")</f>
        <v>(-1.90)</v>
      </c>
      <c r="C84" s="8" t="str">
        <f aca="false">IF(Estimates!H215="","","("&amp;TEXT(Estimates!H215,"0.00")&amp;")")</f>
        <v>(-0.99)</v>
      </c>
      <c r="G84" s="8" t="str">
        <f aca="false">IF(Estimates!H217="","","("&amp;TEXT(Estimates!H217,"0.00")&amp;")")</f>
        <v>(-3.59)</v>
      </c>
      <c r="H84" s="8" t="str">
        <f aca="false">IF(Estimates!H218="","","("&amp;TEXT(Estimates!H218,"0.00")&amp;")")</f>
        <v>(-0.42)</v>
      </c>
    </row>
    <row r="85" customFormat="false" ht="15" hidden="false" customHeight="false" outlineLevel="0" collapsed="false">
      <c r="A85" s="18" t="s">
        <v>48</v>
      </c>
      <c r="B85" s="8" t="str">
        <f aca="false">IF(Estimates!I220="","n/a",TEXT(Estimates!E220,"0.000")&amp;IF(Estimates!I220&lt;0.01,"***",IF(Estimates!I220&lt;0.05,"**",IF(Estimates!I220&lt;0.1,"*",""))))</f>
        <v>-1.409</v>
      </c>
      <c r="C85" s="8" t="str">
        <f aca="false">IF(Estimates!I221="","n/a",TEXT(Estimates!E221,"0.000")&amp;IF(Estimates!I221&lt;0.01,"***",IF(Estimates!I221&lt;0.05,"**",IF(Estimates!I221&lt;0.1,"*",""))))</f>
        <v>-0.382</v>
      </c>
      <c r="D85" s="16" t="n">
        <f aca="false">IF(Estimates!I222="","",Estimates!I222)</f>
        <v>0.418795613138911</v>
      </c>
      <c r="E85" s="17" t="n">
        <v>1552</v>
      </c>
      <c r="G85" s="8" t="str">
        <f aca="false">IF(Estimates!I223="","n/a",TEXT(Estimates!E223,"0.000")&amp;IF(Estimates!I223&lt;0.01,"***",IF(Estimates!I223&lt;0.05,"**",IF(Estimates!I223&lt;0.1,"*",""))))</f>
        <v>-0.901***</v>
      </c>
      <c r="H85" s="8" t="str">
        <f aca="false">IF(Estimates!I224="","n/a",TEXT(Estimates!E224,"0.000")&amp;IF(Estimates!I224&lt;0.01,"***",IF(Estimates!I224&lt;0.05,"**",IF(Estimates!I224&lt;0.1,"*",""))))</f>
        <v>-0.097</v>
      </c>
      <c r="I85" s="16" t="n">
        <f aca="false">IF(Estimates!I225="","",Estimates!I225)</f>
        <v>0.0276852897007934</v>
      </c>
      <c r="J85" s="17" t="n">
        <v>1383</v>
      </c>
    </row>
    <row r="86" customFormat="false" ht="15" hidden="false" customHeight="false" outlineLevel="0" collapsed="false">
      <c r="A86" s="5"/>
      <c r="B86" s="19" t="str">
        <f aca="false">IF(Estimates!H220="","","("&amp;TEXT(Estimates!H220,"0.00")&amp;")")</f>
        <v>(-1.45)</v>
      </c>
      <c r="C86" s="19" t="str">
        <f aca="false">IF(Estimates!H221="","","("&amp;TEXT(Estimates!H221,"0.00")&amp;")")</f>
        <v>(-1.26)</v>
      </c>
      <c r="D86" s="5"/>
      <c r="E86" s="5"/>
      <c r="F86" s="5"/>
      <c r="G86" s="19" t="str">
        <f aca="false">IF(Estimates!H223="","","("&amp;TEXT(Estimates!H223,"0.00")&amp;")")</f>
        <v>(-3.35)</v>
      </c>
      <c r="H86" s="19" t="str">
        <f aca="false">IF(Estimates!H224="","","("&amp;TEXT(Estimates!H224,"0.00")&amp;")")</f>
        <v>(-0.67)</v>
      </c>
      <c r="I86" s="5"/>
      <c r="J86" s="5"/>
    </row>
    <row r="88" customFormat="false" ht="15" hidden="false" customHeight="false" outlineLevel="0" collapsed="false">
      <c r="A88" s="1" t="s">
        <v>54</v>
      </c>
    </row>
    <row r="89" customFormat="false" ht="15" hidden="false" customHeight="true" outlineLevel="0" collapsed="false">
      <c r="B89" s="11" t="s">
        <v>3</v>
      </c>
      <c r="C89" s="11"/>
      <c r="D89" s="11"/>
      <c r="E89" s="11"/>
      <c r="G89" s="11" t="s">
        <v>4</v>
      </c>
      <c r="H89" s="11"/>
      <c r="I89" s="11"/>
      <c r="J89" s="11"/>
    </row>
    <row r="90" customFormat="false" ht="30" hidden="false" customHeight="true" outlineLevel="0" collapsed="false">
      <c r="A90" s="13"/>
      <c r="B90" s="14" t="s">
        <v>40</v>
      </c>
      <c r="C90" s="14" t="s">
        <v>41</v>
      </c>
      <c r="D90" s="14" t="s">
        <v>42</v>
      </c>
      <c r="E90" s="14" t="s">
        <v>43</v>
      </c>
      <c r="F90" s="13"/>
      <c r="G90" s="14" t="s">
        <v>40</v>
      </c>
      <c r="H90" s="14" t="s">
        <v>41</v>
      </c>
      <c r="I90" s="14" t="s">
        <v>42</v>
      </c>
      <c r="J90" s="14" t="s">
        <v>43</v>
      </c>
    </row>
    <row r="91" customFormat="false" ht="15" hidden="false" customHeight="false" outlineLevel="0" collapsed="false">
      <c r="A91" s="15" t="s">
        <v>44</v>
      </c>
      <c r="B91" s="8" t="str">
        <f aca="false">IF(Estimates!I226="","n/a",TEXT(Estimates!E226,"0.000")&amp;IF(Estimates!I226&lt;0.01,"***",IF(Estimates!I226&lt;0.05,"**",IF(Estimates!I226&lt;0.1,"*",""))))</f>
        <v>-1.468***</v>
      </c>
      <c r="C91" s="8" t="str">
        <f aca="false">IF(Estimates!I227="","n/a",TEXT(Estimates!E227,"0.000")&amp;IF(Estimates!I227&lt;0.01,"***",IF(Estimates!I227&lt;0.05,"**",IF(Estimates!I227&lt;0.1,"*",""))))</f>
        <v>-0.384**</v>
      </c>
      <c r="D91" s="16" t="n">
        <f aca="false">IF(Estimates!I228="","",Estimates!I228)</f>
        <v>0.00116794456720266</v>
      </c>
      <c r="E91" s="17" t="n">
        <v>1726</v>
      </c>
      <c r="G91" s="8" t="str">
        <f aca="false">IF(Estimates!I229="","n/a",TEXT(Estimates!E229,"0.000")&amp;IF(Estimates!I229&lt;0.01,"***",IF(Estimates!I229&lt;0.05,"**",IF(Estimates!I229&lt;0.1,"*",""))))</f>
        <v>-1.459***</v>
      </c>
      <c r="H91" s="8" t="str">
        <f aca="false">IF(Estimates!I230="","n/a",TEXT(Estimates!E230,"0.000")&amp;IF(Estimates!I230&lt;0.01,"***",IF(Estimates!I230&lt;0.05,"**",IF(Estimates!I230&lt;0.1,"*",""))))</f>
        <v>-0.309</v>
      </c>
      <c r="I91" s="16" t="n">
        <f aca="false">IF(Estimates!I231="","",Estimates!I231)</f>
        <v>0.0483498418835488</v>
      </c>
      <c r="J91" s="17" t="n">
        <v>1536</v>
      </c>
    </row>
    <row r="92" customFormat="false" ht="15" hidden="false" customHeight="false" outlineLevel="0" collapsed="false">
      <c r="B92" s="8" t="str">
        <f aca="false">IF(Estimates!H226="","","("&amp;TEXT(Estimates!H226,"0.00")&amp;")")</f>
        <v>(-4.89)</v>
      </c>
      <c r="C92" s="8" t="str">
        <f aca="false">IF(Estimates!H227="","","("&amp;TEXT(Estimates!H227,"0.00")&amp;")")</f>
        <v>(-2.33)</v>
      </c>
      <c r="G92" s="8" t="str">
        <f aca="false">IF(Estimates!H229="","","("&amp;TEXT(Estimates!H229,"0.00")&amp;")")</f>
        <v>(-2.96)</v>
      </c>
      <c r="H92" s="8" t="str">
        <f aca="false">IF(Estimates!H230="","","("&amp;TEXT(Estimates!H230,"0.00")&amp;")")</f>
        <v>(-1.60)</v>
      </c>
    </row>
    <row r="93" customFormat="false" ht="15" hidden="false" customHeight="false" outlineLevel="0" collapsed="false">
      <c r="A93" s="18" t="s">
        <v>45</v>
      </c>
      <c r="B93" s="8" t="str">
        <f aca="false">IF(Estimates!I232="","n/a",TEXT(Estimates!E232,"0.000")&amp;IF(Estimates!I232&lt;0.01,"***",IF(Estimates!I232&lt;0.05,"**",IF(Estimates!I232&lt;0.1,"*",""))))</f>
        <v>-1.324***</v>
      </c>
      <c r="C93" s="8" t="str">
        <f aca="false">IF(Estimates!I233="","n/a",TEXT(Estimates!E233,"0.000")&amp;IF(Estimates!I233&lt;0.01,"***",IF(Estimates!I233&lt;0.05,"**",IF(Estimates!I233&lt;0.1,"*",""))))</f>
        <v>-0.359**</v>
      </c>
      <c r="D93" s="16" t="n">
        <f aca="false">IF(Estimates!I234="","",Estimates!I234)</f>
        <v>0.000103353641262651</v>
      </c>
      <c r="E93" s="17" t="n">
        <v>1730</v>
      </c>
      <c r="G93" s="8" t="str">
        <f aca="false">IF(Estimates!I235="","n/a",TEXT(Estimates!E235,"0.000")&amp;IF(Estimates!I235&lt;0.01,"***",IF(Estimates!I235&lt;0.05,"**",IF(Estimates!I235&lt;0.1,"*",""))))</f>
        <v>-1.213**</v>
      </c>
      <c r="H93" s="8" t="str">
        <f aca="false">IF(Estimates!I236="","n/a",TEXT(Estimates!E236,"0.000")&amp;IF(Estimates!I236&lt;0.01,"***",IF(Estimates!I236&lt;0.05,"**",IF(Estimates!I236&lt;0.1,"*",""))))</f>
        <v>-0.256</v>
      </c>
      <c r="I93" s="16" t="n">
        <f aca="false">IF(Estimates!I237="","",Estimates!I237)</f>
        <v>0.0923102659663741</v>
      </c>
      <c r="J93" s="17" t="n">
        <v>1541</v>
      </c>
    </row>
    <row r="94" customFormat="false" ht="15" hidden="false" customHeight="false" outlineLevel="0" collapsed="false">
      <c r="B94" s="8" t="str">
        <f aca="false">IF(Estimates!H232="","","("&amp;TEXT(Estimates!H232,"0.00")&amp;")")</f>
        <v>(-6.27)</v>
      </c>
      <c r="C94" s="8" t="str">
        <f aca="false">IF(Estimates!H233="","","("&amp;TEXT(Estimates!H233,"0.00")&amp;")")</f>
        <v>(-2.30)</v>
      </c>
      <c r="G94" s="8" t="str">
        <f aca="false">IF(Estimates!H235="","","("&amp;TEXT(Estimates!H235,"0.00")&amp;")")</f>
        <v>(-2.47)</v>
      </c>
      <c r="H94" s="8" t="str">
        <f aca="false">IF(Estimates!H236="","","("&amp;TEXT(Estimates!H236,"0.00")&amp;")")</f>
        <v>(-1.51)</v>
      </c>
    </row>
    <row r="95" customFormat="false" ht="15" hidden="false" customHeight="false" outlineLevel="0" collapsed="false">
      <c r="A95" s="18" t="s">
        <v>46</v>
      </c>
      <c r="B95" s="8" t="str">
        <f aca="false">IF(Estimates!I238="","n/a",TEXT(Estimates!E238,"0.000")&amp;IF(Estimates!I238&lt;0.01,"***",IF(Estimates!I238&lt;0.05,"**",IF(Estimates!I238&lt;0.1,"*",""))))</f>
        <v>-1.511***</v>
      </c>
      <c r="C95" s="8" t="str">
        <f aca="false">IF(Estimates!I239="","n/a",TEXT(Estimates!E239,"0.000")&amp;IF(Estimates!I239&lt;0.01,"***",IF(Estimates!I239&lt;0.05,"**",IF(Estimates!I239&lt;0.1,"*",""))))</f>
        <v>-0.353**</v>
      </c>
      <c r="D95" s="16" t="n">
        <f aca="false">IF(Estimates!I240="","",Estimates!I240)</f>
        <v>0.000128577240655896</v>
      </c>
      <c r="E95" s="17" t="n">
        <v>1662</v>
      </c>
      <c r="G95" s="8" t="str">
        <f aca="false">IF(Estimates!I241="","n/a",TEXT(Estimates!E241,"0.000")&amp;IF(Estimates!I241&lt;0.01,"***",IF(Estimates!I241&lt;0.05,"**",IF(Estimates!I241&lt;0.1,"*",""))))</f>
        <v>-1.478***</v>
      </c>
      <c r="H95" s="8" t="str">
        <f aca="false">IF(Estimates!I242="","n/a",TEXT(Estimates!E242,"0.000")&amp;IF(Estimates!I242&lt;0.01,"***",IF(Estimates!I242&lt;0.05,"**",IF(Estimates!I242&lt;0.1,"*",""))))</f>
        <v>-0.208**</v>
      </c>
      <c r="I95" s="16" t="n">
        <f aca="false">IF(Estimates!I243="","",Estimates!I243)</f>
        <v>0.0251086996786128</v>
      </c>
      <c r="J95" s="17" t="n">
        <v>1483</v>
      </c>
    </row>
    <row r="96" customFormat="false" ht="15" hidden="false" customHeight="false" outlineLevel="0" collapsed="false">
      <c r="B96" s="8" t="str">
        <f aca="false">IF(Estimates!H238="","","("&amp;TEXT(Estimates!H238,"0.00")&amp;")")</f>
        <v>(-5.38)</v>
      </c>
      <c r="C96" s="8" t="str">
        <f aca="false">IF(Estimates!H239="","","("&amp;TEXT(Estimates!H239,"0.00")&amp;")")</f>
        <v>(-2.41)</v>
      </c>
      <c r="G96" s="8" t="str">
        <f aca="false">IF(Estimates!H241="","","("&amp;TEXT(Estimates!H241,"0.00")&amp;")")</f>
        <v>(-3.00)</v>
      </c>
      <c r="H96" s="8" t="str">
        <f aca="false">IF(Estimates!H242="","","("&amp;TEXT(Estimates!H242,"0.00")&amp;")")</f>
        <v>(-2.31)</v>
      </c>
    </row>
    <row r="97" customFormat="false" ht="15" hidden="false" customHeight="false" outlineLevel="0" collapsed="false">
      <c r="A97" s="18" t="s">
        <v>47</v>
      </c>
      <c r="B97" s="8" t="str">
        <f aca="false">IF(Estimates!I244="","n/a",TEXT(Estimates!E244,"0.000")&amp;IF(Estimates!I244&lt;0.01,"***",IF(Estimates!I244&lt;0.05,"**",IF(Estimates!I244&lt;0.1,"*",""))))</f>
        <v>-1.295***</v>
      </c>
      <c r="C97" s="8" t="str">
        <f aca="false">IF(Estimates!I245="","n/a",TEXT(Estimates!E245,"0.000")&amp;IF(Estimates!I245&lt;0.01,"***",IF(Estimates!I245&lt;0.05,"**",IF(Estimates!I245&lt;0.1,"*",""))))</f>
        <v>-0.274*</v>
      </c>
      <c r="D97" s="16" t="n">
        <f aca="false">IF(Estimates!I246="","",Estimates!I246)</f>
        <v>0.000508860834067618</v>
      </c>
      <c r="E97" s="17" t="n">
        <v>1662</v>
      </c>
      <c r="G97" s="8" t="str">
        <f aca="false">IF(Estimates!I247="","n/a",TEXT(Estimates!E247,"0.000")&amp;IF(Estimates!I247&lt;0.01,"***",IF(Estimates!I247&lt;0.05,"**",IF(Estimates!I247&lt;0.1,"*",""))))</f>
        <v>-1.331***</v>
      </c>
      <c r="H97" s="8" t="str">
        <f aca="false">IF(Estimates!I248="","n/a",TEXT(Estimates!E248,"0.000")&amp;IF(Estimates!I248&lt;0.01,"***",IF(Estimates!I248&lt;0.05,"**",IF(Estimates!I248&lt;0.1,"*",""))))</f>
        <v>-0.181*</v>
      </c>
      <c r="I97" s="16" t="n">
        <f aca="false">IF(Estimates!I249="","",Estimates!I249)</f>
        <v>0.0251889317390057</v>
      </c>
      <c r="J97" s="17" t="n">
        <v>1483</v>
      </c>
    </row>
    <row r="98" customFormat="false" ht="15" hidden="false" customHeight="false" outlineLevel="0" collapsed="false">
      <c r="B98" s="8" t="str">
        <f aca="false">IF(Estimates!H244="","","("&amp;TEXT(Estimates!H244,"0.00")&amp;")")</f>
        <v>(-5.42)</v>
      </c>
      <c r="C98" s="8" t="str">
        <f aca="false">IF(Estimates!H245="","","("&amp;TEXT(Estimates!H245,"0.00")&amp;")")</f>
        <v>(-1.76)</v>
      </c>
      <c r="G98" s="8" t="str">
        <f aca="false">IF(Estimates!H247="","","("&amp;TEXT(Estimates!H247,"0.00")&amp;")")</f>
        <v>(-3.05)</v>
      </c>
      <c r="H98" s="8" t="str">
        <f aca="false">IF(Estimates!H248="","","("&amp;TEXT(Estimates!H248,"0.00")&amp;")")</f>
        <v>(-1.93)</v>
      </c>
    </row>
    <row r="99" customFormat="false" ht="15" hidden="false" customHeight="false" outlineLevel="0" collapsed="false">
      <c r="A99" s="18" t="s">
        <v>48</v>
      </c>
      <c r="B99" s="8" t="str">
        <f aca="false">IF(Estimates!I250="","n/a",TEXT(Estimates!E250,"0.000")&amp;IF(Estimates!I250&lt;0.01,"***",IF(Estimates!I250&lt;0.05,"**",IF(Estimates!I250&lt;0.1,"*",""))))</f>
        <v>-1.341***</v>
      </c>
      <c r="C99" s="8" t="str">
        <f aca="false">IF(Estimates!I251="","n/a",TEXT(Estimates!E251,"0.000")&amp;IF(Estimates!I251&lt;0.01,"***",IF(Estimates!I251&lt;0.05,"**",IF(Estimates!I251&lt;0.1,"*",""))))</f>
        <v>-0.322**</v>
      </c>
      <c r="D99" s="16" t="n">
        <f aca="false">IF(Estimates!I252="","",Estimates!I252)</f>
        <v>2.84453216008054E-005</v>
      </c>
      <c r="E99" s="17" t="n">
        <v>1667</v>
      </c>
      <c r="G99" s="8" t="str">
        <f aca="false">IF(Estimates!I253="","n/a",TEXT(Estimates!E253,"0.000")&amp;IF(Estimates!I253&lt;0.01,"***",IF(Estimates!I253&lt;0.05,"**",IF(Estimates!I253&lt;0.1,"*",""))))</f>
        <v>-1.201**</v>
      </c>
      <c r="H99" s="8" t="str">
        <f aca="false">IF(Estimates!I254="","n/a",TEXT(Estimates!E254,"0.000")&amp;IF(Estimates!I254&lt;0.01,"***",IF(Estimates!I254&lt;0.05,"**",IF(Estimates!I254&lt;0.1,"*",""))))</f>
        <v>-0.191*</v>
      </c>
      <c r="I99" s="16" t="n">
        <f aca="false">IF(Estimates!I255="","",Estimates!I255)</f>
        <v>0.0531061040809327</v>
      </c>
      <c r="J99" s="17" t="n">
        <v>1489</v>
      </c>
    </row>
    <row r="100" customFormat="false" ht="15" hidden="false" customHeight="false" outlineLevel="0" collapsed="false">
      <c r="A100" s="5"/>
      <c r="B100" s="19" t="str">
        <f aca="false">IF(Estimates!H250="","","("&amp;TEXT(Estimates!H250,"0.00")&amp;")")</f>
        <v>(-7.03)</v>
      </c>
      <c r="C100" s="19" t="str">
        <f aca="false">IF(Estimates!H251="","","("&amp;TEXT(Estimates!H251,"0.00")&amp;")")</f>
        <v>(-2.14)</v>
      </c>
      <c r="D100" s="5"/>
      <c r="E100" s="5"/>
      <c r="F100" s="5"/>
      <c r="G100" s="19" t="str">
        <f aca="false">IF(Estimates!H253="","","("&amp;TEXT(Estimates!H253,"0.00")&amp;")")</f>
        <v>(-2.55)</v>
      </c>
      <c r="H100" s="19" t="str">
        <f aca="false">IF(Estimates!H254="","","("&amp;TEXT(Estimates!H254,"0.00")&amp;")")</f>
        <v>(-1.96)</v>
      </c>
      <c r="I100" s="5"/>
      <c r="J100" s="5"/>
    </row>
  </sheetData>
  <mergeCells count="15">
    <mergeCell ref="A2:J2"/>
    <mergeCell ref="B5:E5"/>
    <mergeCell ref="G5:J5"/>
    <mergeCell ref="B19:E19"/>
    <mergeCell ref="G19:J19"/>
    <mergeCell ref="B33:E33"/>
    <mergeCell ref="G33:J33"/>
    <mergeCell ref="B47:E47"/>
    <mergeCell ref="G47:J47"/>
    <mergeCell ref="B61:E61"/>
    <mergeCell ref="G61:J61"/>
    <mergeCell ref="B75:E75"/>
    <mergeCell ref="G75:J75"/>
    <mergeCell ref="B89:E89"/>
    <mergeCell ref="G89:J8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3"/>
    <col collapsed="false" customWidth="true" hidden="false" outlineLevel="0" max="4" min="4" style="0" width="9"/>
    <col collapsed="false" customWidth="true" hidden="false" outlineLevel="0" max="5" min="5" style="0" width="8"/>
    <col collapsed="false" customWidth="true" hidden="false" outlineLevel="0" max="6" min="6" style="0" width="3"/>
    <col collapsed="false" customWidth="true" hidden="false" outlineLevel="0" max="8" min="7" style="0" width="13"/>
    <col collapsed="false" customWidth="true" hidden="false" outlineLevel="0" max="9" min="9" style="0" width="9"/>
    <col collapsed="false" customWidth="true" hidden="false" outlineLevel="0" max="10" min="10" style="0" width="8"/>
    <col collapsed="false" customWidth="true" hidden="false" outlineLevel="0" max="11" min="11" style="0" width="3"/>
    <col collapsed="false" customWidth="true" hidden="false" outlineLevel="0" max="12" min="12" style="0" width="10"/>
    <col collapsed="false" customWidth="true" hidden="false" outlineLevel="0" max="13" min="13" style="0" width="18"/>
  </cols>
  <sheetData>
    <row r="1" customFormat="false" ht="15" hidden="false" customHeight="false" outlineLevel="0" collapsed="false">
      <c r="A1" s="1" t="s">
        <v>55</v>
      </c>
    </row>
    <row r="2" customFormat="false" ht="210" hidden="false" customHeight="true" outlineLevel="0" collapsed="false">
      <c r="A2" s="2" t="s">
        <v>56</v>
      </c>
      <c r="B2" s="2"/>
      <c r="C2" s="2"/>
      <c r="D2" s="2"/>
      <c r="E2" s="2"/>
      <c r="F2" s="2"/>
      <c r="G2" s="2"/>
      <c r="H2" s="2"/>
      <c r="I2" s="2"/>
      <c r="J2" s="2"/>
      <c r="K2" s="2"/>
      <c r="L2" s="2"/>
      <c r="M2" s="2"/>
    </row>
    <row r="4" customFormat="false" ht="15" hidden="false" customHeight="false" outlineLevel="0" collapsed="false">
      <c r="A4" s="1" t="s">
        <v>57</v>
      </c>
    </row>
    <row r="5" customFormat="false" ht="15" hidden="false" customHeight="true" outlineLevel="0" collapsed="false">
      <c r="B5" s="11" t="s">
        <v>3</v>
      </c>
      <c r="C5" s="11"/>
      <c r="D5" s="11"/>
      <c r="E5" s="11"/>
      <c r="G5" s="11" t="s">
        <v>4</v>
      </c>
      <c r="H5" s="11"/>
      <c r="I5" s="11"/>
      <c r="J5" s="11"/>
    </row>
    <row r="6" customFormat="false" ht="45" hidden="false" customHeight="true" outlineLevel="0" collapsed="false">
      <c r="A6" s="14" t="s">
        <v>58</v>
      </c>
      <c r="B6" s="14" t="s">
        <v>59</v>
      </c>
      <c r="C6" s="14" t="s">
        <v>60</v>
      </c>
      <c r="D6" s="14" t="s">
        <v>42</v>
      </c>
      <c r="E6" s="14" t="s">
        <v>43</v>
      </c>
      <c r="F6" s="13"/>
      <c r="G6" s="14" t="s">
        <v>59</v>
      </c>
      <c r="H6" s="14" t="s">
        <v>60</v>
      </c>
      <c r="I6" s="14" t="s">
        <v>42</v>
      </c>
      <c r="J6" s="14" t="s">
        <v>43</v>
      </c>
      <c r="K6" s="13"/>
      <c r="L6" s="14" t="s">
        <v>61</v>
      </c>
      <c r="M6" s="14" t="s">
        <v>62</v>
      </c>
    </row>
    <row r="7" customFormat="false" ht="15" hidden="false" customHeight="false" outlineLevel="0" collapsed="false">
      <c r="A7" s="18" t="s">
        <v>63</v>
      </c>
      <c r="B7" s="8" t="str">
        <f aca="false">IF(Estimates!I256="","n/a",TEXT(Estimates!E256,"0.000")&amp;IF(Estimates!I256&lt;0.01,"***",IF(Estimates!I256&lt;0.05,"**",IF(Estimates!I256&lt;0.1,"*",""))))</f>
        <v>-0.465**</v>
      </c>
      <c r="C7" s="8" t="str">
        <f aca="false">IF(Estimates!I257="","n/a",TEXT(Estimates!E257,"0.000")&amp;IF(Estimates!I257&lt;0.01,"***",IF(Estimates!I257&lt;0.05,"**",IF(Estimates!I257&lt;0.1,"*",""))))</f>
        <v>-0.248</v>
      </c>
      <c r="D7" s="16" t="n">
        <f aca="false">IF(Estimates!I258="","",Estimates!I258)</f>
        <v>0.607730473077814</v>
      </c>
      <c r="E7" s="17" t="n">
        <v>1431</v>
      </c>
      <c r="G7" s="8" t="str">
        <f aca="false">IF(Estimates!I259="","n/a",TEXT(Estimates!E259,"0.000")&amp;IF(Estimates!I259&lt;0.01,"***",IF(Estimates!I259&lt;0.05,"**",IF(Estimates!I259&lt;0.1,"*",""))))</f>
        <v>-0.357</v>
      </c>
      <c r="H7" s="8" t="str">
        <f aca="false">IF(Estimates!I260="","n/a",TEXT(Estimates!E260,"0.000")&amp;IF(Estimates!I260&lt;0.01,"***",IF(Estimates!I260&lt;0.05,"**",IF(Estimates!I260&lt;0.1,"*",""))))</f>
        <v>-0.575</v>
      </c>
      <c r="I7" s="16" t="n">
        <f aca="false">IF(Estimates!I261="","",Estimates!I261)</f>
        <v>0.610315742882991</v>
      </c>
      <c r="J7" s="17" t="n">
        <v>1278</v>
      </c>
      <c r="L7" s="8" t="s">
        <v>64</v>
      </c>
      <c r="M7" s="8" t="s">
        <v>65</v>
      </c>
    </row>
    <row r="8" customFormat="false" ht="15" hidden="false" customHeight="false" outlineLevel="0" collapsed="false">
      <c r="B8" s="8" t="str">
        <f aca="false">IF(Estimates!H256="","","("&amp;TEXT(Estimates!H256,"0.00")&amp;")")</f>
        <v>(-2.42)</v>
      </c>
      <c r="C8" s="8" t="str">
        <f aca="false">IF(Estimates!H257="","","("&amp;TEXT(Estimates!H257,"0.00")&amp;")")</f>
        <v>(-0.70)</v>
      </c>
      <c r="G8" s="8" t="str">
        <f aca="false">IF(Estimates!H259="","","("&amp;TEXT(Estimates!H259,"0.00")&amp;")")</f>
        <v>(-1.70)</v>
      </c>
      <c r="H8" s="8" t="str">
        <f aca="false">IF(Estimates!H260="","","("&amp;TEXT(Estimates!H260,"0.00")&amp;")")</f>
        <v>(-1.39)</v>
      </c>
    </row>
    <row r="9" customFormat="false" ht="15" hidden="false" customHeight="false" outlineLevel="0" collapsed="false">
      <c r="A9" s="18" t="s">
        <v>66</v>
      </c>
      <c r="B9" s="8" t="str">
        <f aca="false">IF(Estimates!I262="","n/a",TEXT(Estimates!E262,"0.000")&amp;IF(Estimates!I262&lt;0.01,"***",IF(Estimates!I262&lt;0.05,"**",IF(Estimates!I262&lt;0.1,"*",""))))</f>
        <v>-0.254</v>
      </c>
      <c r="C9" s="8" t="str">
        <f aca="false">IF(Estimates!I263="","n/a",TEXT(Estimates!E263,"0.000")&amp;IF(Estimates!I263&lt;0.01,"***",IF(Estimates!I263&lt;0.05,"**",IF(Estimates!I263&lt;0.1,"*",""))))</f>
        <v>-0.492</v>
      </c>
      <c r="D9" s="16" t="n">
        <f aca="false">IF(Estimates!I264="","",Estimates!I264)</f>
        <v>0.552054015775866</v>
      </c>
      <c r="E9" s="17" t="n">
        <v>1431</v>
      </c>
      <c r="G9" s="8" t="str">
        <f aca="false">IF(Estimates!I265="","n/a",TEXT(Estimates!E265,"0.000")&amp;IF(Estimates!I265&lt;0.01,"***",IF(Estimates!I265&lt;0.05,"**",IF(Estimates!I265&lt;0.1,"*",""))))</f>
        <v>-0.023</v>
      </c>
      <c r="H9" s="8" t="str">
        <f aca="false">IF(Estimates!I266="","n/a",TEXT(Estimates!E266,"0.000")&amp;IF(Estimates!I266&lt;0.01,"***",IF(Estimates!I266&lt;0.05,"**",IF(Estimates!I266&lt;0.1,"*",""))))</f>
        <v>-0.947*</v>
      </c>
      <c r="I9" s="16" t="n">
        <f aca="false">IF(Estimates!I267="","",Estimates!I267)</f>
        <v>0.0616682751193709</v>
      </c>
      <c r="J9" s="17" t="n">
        <v>1278</v>
      </c>
      <c r="L9" s="8" t="s">
        <v>67</v>
      </c>
      <c r="M9" s="8" t="s">
        <v>68</v>
      </c>
    </row>
    <row r="10" customFormat="false" ht="15" hidden="false" customHeight="false" outlineLevel="0" collapsed="false">
      <c r="B10" s="8" t="str">
        <f aca="false">IF(Estimates!H262="","","("&amp;TEXT(Estimates!H262,"0.00")&amp;")")</f>
        <v>(-1.16)</v>
      </c>
      <c r="C10" s="8" t="str">
        <f aca="false">IF(Estimates!H263="","","("&amp;TEXT(Estimates!H263,"0.00")&amp;")")</f>
        <v>(-1.46)</v>
      </c>
      <c r="G10" s="8" t="str">
        <f aca="false">IF(Estimates!H265="","","("&amp;TEXT(Estimates!H265,"0.00")&amp;")")</f>
        <v>(-0.12)</v>
      </c>
      <c r="H10" s="8" t="str">
        <f aca="false">IF(Estimates!H266="","","("&amp;TEXT(Estimates!H266,"0.00")&amp;")")</f>
        <v>(-2.08)</v>
      </c>
    </row>
    <row r="11" customFormat="false" ht="15" hidden="false" customHeight="false" outlineLevel="0" collapsed="false">
      <c r="A11" s="18" t="s">
        <v>69</v>
      </c>
      <c r="B11" s="8" t="str">
        <f aca="false">IF(Estimates!I268="","n/a",TEXT(Estimates!E268,"0.000")&amp;IF(Estimates!I268&lt;0.01,"***",IF(Estimates!I268&lt;0.05,"**",IF(Estimates!I268&lt;0.1,"*",""))))</f>
        <v>-0.330</v>
      </c>
      <c r="C11" s="8" t="str">
        <f aca="false">IF(Estimates!I269="","n/a",TEXT(Estimates!E269,"0.000")&amp;IF(Estimates!I269&lt;0.01,"***",IF(Estimates!I269&lt;0.05,"**",IF(Estimates!I269&lt;0.1,"*",""))))</f>
        <v>-0.422</v>
      </c>
      <c r="D11" s="16" t="n">
        <f aca="false">IF(Estimates!I270="","",Estimates!I270)</f>
        <v>0.812989907269758</v>
      </c>
      <c r="E11" s="17" t="n">
        <v>1431</v>
      </c>
      <c r="G11" s="8" t="str">
        <f aca="false">IF(Estimates!I271="","n/a",TEXT(Estimates!E271,"0.000")&amp;IF(Estimates!I271&lt;0.01,"***",IF(Estimates!I271&lt;0.05,"**",IF(Estimates!I271&lt;0.1,"*",""))))</f>
        <v>-0.162</v>
      </c>
      <c r="H11" s="8" t="str">
        <f aca="false">IF(Estimates!I272="","n/a",TEXT(Estimates!E272,"0.000")&amp;IF(Estimates!I272&lt;0.01,"***",IF(Estimates!I272&lt;0.05,"**",IF(Estimates!I272&lt;0.1,"*",""))))</f>
        <v>-0.667*</v>
      </c>
      <c r="I11" s="16" t="n">
        <f aca="false">IF(Estimates!I273="","",Estimates!I273)</f>
        <v>0.17720688069235</v>
      </c>
      <c r="J11" s="17" t="n">
        <v>1278</v>
      </c>
      <c r="L11" s="8" t="s">
        <v>70</v>
      </c>
      <c r="M11" s="8" t="s">
        <v>71</v>
      </c>
    </row>
    <row r="12" customFormat="false" ht="15" hidden="false" customHeight="false" outlineLevel="0" collapsed="false">
      <c r="B12" s="8" t="str">
        <f aca="false">IF(Estimates!H268="","","("&amp;TEXT(Estimates!H268,"0.00")&amp;")")</f>
        <v>(-1.39)</v>
      </c>
      <c r="C12" s="8" t="str">
        <f aca="false">IF(Estimates!H269="","","("&amp;TEXT(Estimates!H269,"0.00")&amp;")")</f>
        <v>(-1.37)</v>
      </c>
      <c r="G12" s="8" t="str">
        <f aca="false">IF(Estimates!H271="","","("&amp;TEXT(Estimates!H271,"0.00")&amp;")")</f>
        <v>(-0.79)</v>
      </c>
      <c r="H12" s="8" t="str">
        <f aca="false">IF(Estimates!H272="","","("&amp;TEXT(Estimates!H272,"0.00")&amp;")")</f>
        <v>(-1.80)</v>
      </c>
    </row>
    <row r="13" customFormat="false" ht="15" hidden="false" customHeight="false" outlineLevel="0" collapsed="false">
      <c r="A13" s="18" t="s">
        <v>72</v>
      </c>
      <c r="B13" s="8" t="str">
        <f aca="false">IF(Estimates!I274="","n/a",TEXT(Estimates!E274,"0.000")&amp;IF(Estimates!I274&lt;0.01,"***",IF(Estimates!I274&lt;0.05,"**",IF(Estimates!I274&lt;0.1,"*",""))))</f>
        <v>-0.231</v>
      </c>
      <c r="C13" s="8" t="str">
        <f aca="false">IF(Estimates!I275="","n/a",TEXT(Estimates!E275,"0.000")&amp;IF(Estimates!I275&lt;0.01,"***",IF(Estimates!I275&lt;0.05,"**",IF(Estimates!I275&lt;0.1,"*",""))))</f>
        <v>-0.627</v>
      </c>
      <c r="D13" s="16" t="n">
        <f aca="false">IF(Estimates!I276="","",Estimates!I276)</f>
        <v>0.40472635134612</v>
      </c>
      <c r="E13" s="17" t="n">
        <v>1431</v>
      </c>
      <c r="G13" s="8" t="str">
        <f aca="false">IF(Estimates!I277="","n/a",TEXT(Estimates!E277,"0.000")&amp;IF(Estimates!I277&lt;0.01,"***",IF(Estimates!I277&lt;0.05,"**",IF(Estimates!I277&lt;0.1,"*",""))))</f>
        <v>-0.117</v>
      </c>
      <c r="H13" s="8" t="str">
        <f aca="false">IF(Estimates!I278="","n/a",TEXT(Estimates!E278,"0.000")&amp;IF(Estimates!I278&lt;0.01,"***",IF(Estimates!I278&lt;0.05,"**",IF(Estimates!I278&lt;0.1,"*",""))))</f>
        <v>-0.800</v>
      </c>
      <c r="I13" s="16" t="n">
        <f aca="false">IF(Estimates!I279="","",Estimates!I279)</f>
        <v>0.158708618738762</v>
      </c>
      <c r="J13" s="17" t="n">
        <v>1278</v>
      </c>
      <c r="L13" s="8" t="s">
        <v>73</v>
      </c>
      <c r="M13" s="8" t="s">
        <v>74</v>
      </c>
    </row>
    <row r="14" customFormat="false" ht="15" hidden="false" customHeight="false" outlineLevel="0" collapsed="false">
      <c r="B14" s="8" t="str">
        <f aca="false">IF(Estimates!H274="","","("&amp;TEXT(Estimates!H274,"0.00")&amp;")")</f>
        <v>(-1.07)</v>
      </c>
      <c r="C14" s="8" t="str">
        <f aca="false">IF(Estimates!H275="","","("&amp;TEXT(Estimates!H275,"0.00")&amp;")")</f>
        <v>(-1.57)</v>
      </c>
      <c r="G14" s="8" t="str">
        <f aca="false">IF(Estimates!H277="","","("&amp;TEXT(Estimates!H277,"0.00")&amp;")")</f>
        <v>(-0.76)</v>
      </c>
      <c r="H14" s="8" t="str">
        <f aca="false">IF(Estimates!H278="","","("&amp;TEXT(Estimates!H278,"0.00")&amp;")")</f>
        <v>(-1.68)</v>
      </c>
    </row>
    <row r="15" customFormat="false" ht="15" hidden="false" customHeight="false" outlineLevel="0" collapsed="false">
      <c r="A15" s="18" t="s">
        <v>75</v>
      </c>
      <c r="B15" s="8" t="str">
        <f aca="false">IF(Estimates!I280="","n/a",TEXT(Estimates!E280,"0.000")&amp;IF(Estimates!I280&lt;0.01,"***",IF(Estimates!I280&lt;0.05,"**",IF(Estimates!I280&lt;0.1,"*",""))))</f>
        <v>-0.249</v>
      </c>
      <c r="C15" s="8" t="str">
        <f aca="false">IF(Estimates!I281="","n/a",TEXT(Estimates!E281,"0.000")&amp;IF(Estimates!I281&lt;0.01,"***",IF(Estimates!I281&lt;0.05,"**",IF(Estimates!I281&lt;0.1,"*",""))))</f>
        <v>-0.346</v>
      </c>
      <c r="D15" s="16" t="n">
        <f aca="false">IF(Estimates!I282="","",Estimates!I282)</f>
        <v>0.83451248230025</v>
      </c>
      <c r="E15" s="17" t="n">
        <v>1431</v>
      </c>
      <c r="G15" s="8" t="str">
        <f aca="false">IF(Estimates!I283="","n/a",TEXT(Estimates!E283,"0.000")&amp;IF(Estimates!I283&lt;0.01,"***",IF(Estimates!I283&lt;0.05,"**",IF(Estimates!I283&lt;0.1,"*",""))))</f>
        <v>-0.250</v>
      </c>
      <c r="H15" s="8" t="str">
        <f aca="false">IF(Estimates!I284="","n/a",TEXT(Estimates!E284,"0.000")&amp;IF(Estimates!I284&lt;0.01,"***",IF(Estimates!I284&lt;0.05,"**",IF(Estimates!I284&lt;0.1,"*",""))))</f>
        <v>-0.487</v>
      </c>
      <c r="I15" s="16" t="n">
        <f aca="false">IF(Estimates!I285="","",Estimates!I285)</f>
        <v>0.54297663421606</v>
      </c>
      <c r="J15" s="17" t="n">
        <v>1278</v>
      </c>
      <c r="L15" s="8" t="s">
        <v>76</v>
      </c>
      <c r="M15" s="8" t="s">
        <v>77</v>
      </c>
    </row>
    <row r="16" customFormat="false" ht="15" hidden="false" customHeight="false" outlineLevel="0" collapsed="false">
      <c r="B16" s="8" t="str">
        <f aca="false">IF(Estimates!H280="","","("&amp;TEXT(Estimates!H280,"0.00")&amp;")")</f>
        <v>(-1.52)</v>
      </c>
      <c r="C16" s="8" t="str">
        <f aca="false">IF(Estimates!H281="","","("&amp;TEXT(Estimates!H281,"0.00")&amp;")")</f>
        <v>(-0.73)</v>
      </c>
      <c r="G16" s="8" t="str">
        <f aca="false">IF(Estimates!H283="","","("&amp;TEXT(Estimates!H283,"0.00")&amp;")")</f>
        <v>(-1.28)</v>
      </c>
      <c r="H16" s="8" t="str">
        <f aca="false">IF(Estimates!H284="","","("&amp;TEXT(Estimates!H284,"0.00")&amp;")")</f>
        <v>(-1.31)</v>
      </c>
    </row>
    <row r="17" customFormat="false" ht="15" hidden="false" customHeight="false" outlineLevel="0" collapsed="false">
      <c r="A17" s="18" t="s">
        <v>78</v>
      </c>
      <c r="B17" s="8" t="str">
        <f aca="false">IF(Estimates!I286="","n/a",TEXT(Estimates!E286,"0.000")&amp;IF(Estimates!I286&lt;0.01,"***",IF(Estimates!I286&lt;0.05,"**",IF(Estimates!I286&lt;0.1,"*",""))))</f>
        <v>-0.317</v>
      </c>
      <c r="C17" s="8" t="str">
        <f aca="false">IF(Estimates!I287="","n/a",TEXT(Estimates!E287,"0.000")&amp;IF(Estimates!I287&lt;0.01,"***",IF(Estimates!I287&lt;0.05,"**",IF(Estimates!I287&lt;0.1,"*",""))))</f>
        <v>-0.607</v>
      </c>
      <c r="D17" s="16" t="n">
        <f aca="false">IF(Estimates!I288="","",Estimates!I288)</f>
        <v>0.51488494285812</v>
      </c>
      <c r="E17" s="17" t="n">
        <v>1431</v>
      </c>
      <c r="G17" s="8" t="str">
        <f aca="false">IF(Estimates!I289="","n/a",TEXT(Estimates!E289,"0.000")&amp;IF(Estimates!I289&lt;0.01,"***",IF(Estimates!I289&lt;0.05,"**",IF(Estimates!I289&lt;0.1,"*",""))))</f>
        <v>-0.375</v>
      </c>
      <c r="H17" s="8" t="str">
        <f aca="false">IF(Estimates!I290="","n/a",TEXT(Estimates!E290,"0.000")&amp;IF(Estimates!I290&lt;0.01,"***",IF(Estimates!I290&lt;0.05,"**",IF(Estimates!I290&lt;0.1,"*",""))))</f>
        <v>-0.546</v>
      </c>
      <c r="I17" s="16" t="n">
        <f aca="false">IF(Estimates!I291="","",Estimates!I291)</f>
        <v>0.689542972783744</v>
      </c>
      <c r="J17" s="17" t="n">
        <v>1278</v>
      </c>
      <c r="L17" s="8" t="s">
        <v>79</v>
      </c>
      <c r="M17" s="8" t="s">
        <v>80</v>
      </c>
    </row>
    <row r="18" customFormat="false" ht="15" hidden="false" customHeight="false" outlineLevel="0" collapsed="false">
      <c r="B18" s="8" t="str">
        <f aca="false">IF(Estimates!H286="","","("&amp;TEXT(Estimates!H286,"0.00")&amp;")")</f>
        <v>(-1.66)</v>
      </c>
      <c r="C18" s="8" t="str">
        <f aca="false">IF(Estimates!H287="","","("&amp;TEXT(Estimates!H287,"0.00")&amp;")")</f>
        <v>(-1.41)</v>
      </c>
      <c r="G18" s="8" t="str">
        <f aca="false">IF(Estimates!H289="","","("&amp;TEXT(Estimates!H289,"0.00")&amp;")")</f>
        <v>(-1.61)</v>
      </c>
      <c r="H18" s="8" t="str">
        <f aca="false">IF(Estimates!H290="","","("&amp;TEXT(Estimates!H290,"0.00")&amp;")")</f>
        <v>(-1.33)</v>
      </c>
    </row>
    <row r="19" customFormat="false" ht="15" hidden="false" customHeight="false" outlineLevel="0" collapsed="false">
      <c r="A19" s="18" t="s">
        <v>81</v>
      </c>
      <c r="B19" s="8" t="str">
        <f aca="false">IF(Estimates!I292="","n/a",TEXT(Estimates!E292,"0.000")&amp;IF(Estimates!I292&lt;0.01,"***",IF(Estimates!I292&lt;0.05,"**",IF(Estimates!I292&lt;0.1,"*",""))))</f>
        <v>-0.146</v>
      </c>
      <c r="C19" s="8" t="str">
        <f aca="false">IF(Estimates!I293="","n/a",TEXT(Estimates!E293,"0.000")&amp;IF(Estimates!I293&lt;0.01,"***",IF(Estimates!I293&lt;0.05,"**",IF(Estimates!I293&lt;0.1,"*",""))))</f>
        <v>-0.525*</v>
      </c>
      <c r="D19" s="16" t="n">
        <f aca="false">IF(Estimates!I294="","",Estimates!I294)</f>
        <v>0.351814786270802</v>
      </c>
      <c r="E19" s="17" t="n">
        <v>1431</v>
      </c>
      <c r="G19" s="8" t="str">
        <f aca="false">IF(Estimates!I295="","n/a",TEXT(Estimates!E295,"0.000")&amp;IF(Estimates!I295&lt;0.01,"***",IF(Estimates!I295&lt;0.05,"**",IF(Estimates!I295&lt;0.1,"*",""))))</f>
        <v>-0.197</v>
      </c>
      <c r="H19" s="8" t="str">
        <f aca="false">IF(Estimates!I296="","n/a",TEXT(Estimates!E296,"0.000")&amp;IF(Estimates!I296&lt;0.01,"***",IF(Estimates!I296&lt;0.05,"**",IF(Estimates!I296&lt;0.1,"*",""))))</f>
        <v>-0.552</v>
      </c>
      <c r="I19" s="16" t="n">
        <f aca="false">IF(Estimates!I297="","",Estimates!I297)</f>
        <v>0.410203004866219</v>
      </c>
      <c r="J19" s="17" t="n">
        <v>1278</v>
      </c>
      <c r="L19" s="8" t="s">
        <v>82</v>
      </c>
      <c r="M19" s="8" t="s">
        <v>83</v>
      </c>
    </row>
    <row r="20" customFormat="false" ht="15" hidden="false" customHeight="false" outlineLevel="0" collapsed="false">
      <c r="A20" s="5"/>
      <c r="B20" s="19" t="str">
        <f aca="false">IF(Estimates!H292="","","("&amp;TEXT(Estimates!H292,"0.00")&amp;")")</f>
        <v>(-0.50)</v>
      </c>
      <c r="C20" s="19" t="str">
        <f aca="false">IF(Estimates!H293="","","("&amp;TEXT(Estimates!H293,"0.00")&amp;")")</f>
        <v>(-2.05)</v>
      </c>
      <c r="D20" s="5"/>
      <c r="E20" s="5"/>
      <c r="F20" s="5"/>
      <c r="G20" s="19" t="str">
        <f aca="false">IF(Estimates!H295="","","("&amp;TEXT(Estimates!H295,"0.00")&amp;")")</f>
        <v>(-0.85)</v>
      </c>
      <c r="H20" s="19" t="str">
        <f aca="false">IF(Estimates!H296="","","("&amp;TEXT(Estimates!H296,"0.00")&amp;")")</f>
        <v>(-1.62)</v>
      </c>
      <c r="I20" s="5"/>
      <c r="J20" s="5"/>
      <c r="K20" s="5"/>
      <c r="L20" s="5"/>
      <c r="M20" s="5"/>
    </row>
    <row r="23" customFormat="false" ht="15" hidden="false" customHeight="false" outlineLevel="0" collapsed="false">
      <c r="A23" s="1" t="s">
        <v>84</v>
      </c>
    </row>
    <row r="24" customFormat="false" ht="15" hidden="false" customHeight="true" outlineLevel="0" collapsed="false">
      <c r="B24" s="11" t="s">
        <v>3</v>
      </c>
      <c r="C24" s="11"/>
      <c r="D24" s="11"/>
      <c r="E24" s="11"/>
      <c r="G24" s="11" t="s">
        <v>4</v>
      </c>
      <c r="H24" s="11"/>
      <c r="I24" s="11"/>
      <c r="J24" s="11"/>
    </row>
    <row r="25" customFormat="false" ht="45" hidden="false" customHeight="true" outlineLevel="0" collapsed="false">
      <c r="A25" s="14" t="s">
        <v>58</v>
      </c>
      <c r="B25" s="14" t="s">
        <v>59</v>
      </c>
      <c r="C25" s="14" t="s">
        <v>60</v>
      </c>
      <c r="D25" s="14" t="s">
        <v>42</v>
      </c>
      <c r="E25" s="14" t="s">
        <v>43</v>
      </c>
      <c r="F25" s="13"/>
      <c r="G25" s="14" t="s">
        <v>59</v>
      </c>
      <c r="H25" s="14" t="s">
        <v>60</v>
      </c>
      <c r="I25" s="14" t="s">
        <v>42</v>
      </c>
      <c r="J25" s="14" t="s">
        <v>43</v>
      </c>
      <c r="K25" s="13"/>
      <c r="L25" s="14" t="s">
        <v>61</v>
      </c>
      <c r="M25" s="14" t="s">
        <v>62</v>
      </c>
    </row>
    <row r="26" customFormat="false" ht="15" hidden="false" customHeight="false" outlineLevel="0" collapsed="false">
      <c r="A26" s="18" t="s">
        <v>63</v>
      </c>
      <c r="B26" s="8" t="str">
        <f aca="false">IF(Estimates!I298="","n/a",TEXT(Estimates!E298,"0.000")&amp;IF(Estimates!I298&lt;0.01,"***",IF(Estimates!I298&lt;0.05,"**",IF(Estimates!I298&lt;0.1,"*",""))))</f>
        <v>-0.867***</v>
      </c>
      <c r="C26" s="8" t="str">
        <f aca="false">IF(Estimates!I299="","n/a",TEXT(Estimates!E299,"0.000")&amp;IF(Estimates!I299&lt;0.01,"***",IF(Estimates!I299&lt;0.05,"**",IF(Estimates!I299&lt;0.1,"*",""))))</f>
        <v>-0.076</v>
      </c>
      <c r="D26" s="16" t="n">
        <f aca="false">IF(Estimates!I300="","",Estimates!I300)</f>
        <v>0.0192364523750966</v>
      </c>
      <c r="E26" s="17" t="n">
        <v>1313</v>
      </c>
      <c r="G26" s="8" t="str">
        <f aca="false">IF(Estimates!I301="","n/a",TEXT(Estimates!E301,"0.000")&amp;IF(Estimates!I301&lt;0.01,"***",IF(Estimates!I301&lt;0.05,"**",IF(Estimates!I301&lt;0.1,"*",""))))</f>
        <v>-0.795***</v>
      </c>
      <c r="H26" s="8" t="str">
        <f aca="false">IF(Estimates!I302="","n/a",TEXT(Estimates!E302,"0.000")&amp;IF(Estimates!I302&lt;0.01,"***",IF(Estimates!I302&lt;0.05,"**",IF(Estimates!I302&lt;0.1,"*",""))))</f>
        <v>-0.071</v>
      </c>
      <c r="I26" s="16" t="n">
        <f aca="false">IF(Estimates!I303="","",Estimates!I303)</f>
        <v>0.0285430389404294</v>
      </c>
      <c r="J26" s="17" t="n">
        <v>1179</v>
      </c>
      <c r="L26" s="8" t="s">
        <v>64</v>
      </c>
      <c r="M26" s="8" t="s">
        <v>65</v>
      </c>
    </row>
    <row r="27" customFormat="false" ht="15" hidden="false" customHeight="false" outlineLevel="0" collapsed="false">
      <c r="B27" s="8" t="str">
        <f aca="false">IF(Estimates!H298="","","("&amp;TEXT(Estimates!H298,"0.00")&amp;")")</f>
        <v>(-4.45)</v>
      </c>
      <c r="C27" s="8" t="str">
        <f aca="false">IF(Estimates!H299="","","("&amp;TEXT(Estimates!H299,"0.00")&amp;")")</f>
        <v>(-0.34)</v>
      </c>
      <c r="G27" s="8" t="str">
        <f aca="false">IF(Estimates!H301="","","("&amp;TEXT(Estimates!H301,"0.00")&amp;")")</f>
        <v>(-3.83)</v>
      </c>
      <c r="H27" s="8" t="str">
        <f aca="false">IF(Estimates!H302="","","("&amp;TEXT(Estimates!H302,"0.00")&amp;")")</f>
        <v>(-0.35)</v>
      </c>
    </row>
    <row r="28" customFormat="false" ht="15" hidden="false" customHeight="false" outlineLevel="0" collapsed="false">
      <c r="A28" s="18" t="s">
        <v>66</v>
      </c>
      <c r="B28" s="8" t="str">
        <f aca="false">IF(Estimates!I304="","n/a",TEXT(Estimates!E304,"0.000")&amp;IF(Estimates!I304&lt;0.01,"***",IF(Estimates!I304&lt;0.05,"**",IF(Estimates!I304&lt;0.1,"*",""))))</f>
        <v>-0.413*</v>
      </c>
      <c r="C28" s="8" t="str">
        <f aca="false">IF(Estimates!I305="","n/a",TEXT(Estimates!E305,"0.000")&amp;IF(Estimates!I305&lt;0.01,"***",IF(Estimates!I305&lt;0.05,"**",IF(Estimates!I305&lt;0.1,"*",""))))</f>
        <v>-0.243</v>
      </c>
      <c r="D28" s="16" t="n">
        <f aca="false">IF(Estimates!I306="","",Estimates!I306)</f>
        <v>0.606540491263341</v>
      </c>
      <c r="E28" s="17" t="n">
        <v>1313</v>
      </c>
      <c r="G28" s="8" t="str">
        <f aca="false">IF(Estimates!I307="","n/a",TEXT(Estimates!E307,"0.000")&amp;IF(Estimates!I307&lt;0.01,"***",IF(Estimates!I307&lt;0.05,"**",IF(Estimates!I307&lt;0.1,"*",""))))</f>
        <v>-0.131</v>
      </c>
      <c r="H28" s="8" t="str">
        <f aca="false">IF(Estimates!I308="","n/a",TEXT(Estimates!E308,"0.000")&amp;IF(Estimates!I308&lt;0.01,"***",IF(Estimates!I308&lt;0.05,"**",IF(Estimates!I308&lt;0.1,"*",""))))</f>
        <v>-0.384</v>
      </c>
      <c r="I28" s="16" t="n">
        <f aca="false">IF(Estimates!I309="","",Estimates!I309)</f>
        <v>0.522804636256141</v>
      </c>
      <c r="J28" s="17" t="n">
        <v>1179</v>
      </c>
      <c r="L28" s="8" t="s">
        <v>67</v>
      </c>
      <c r="M28" s="8" t="s">
        <v>68</v>
      </c>
    </row>
    <row r="29" customFormat="false" ht="15" hidden="false" customHeight="false" outlineLevel="0" collapsed="false">
      <c r="B29" s="8" t="str">
        <f aca="false">IF(Estimates!H304="","","("&amp;TEXT(Estimates!H304,"0.00")&amp;")")</f>
        <v>(-1.78)</v>
      </c>
      <c r="C29" s="8" t="str">
        <f aca="false">IF(Estimates!H305="","","("&amp;TEXT(Estimates!H305,"0.00")&amp;")")</f>
        <v>(-1.01)</v>
      </c>
      <c r="G29" s="8" t="str">
        <f aca="false">IF(Estimates!H307="","","("&amp;TEXT(Estimates!H307,"0.00")&amp;")")</f>
        <v>(-0.44)</v>
      </c>
      <c r="H29" s="8" t="str">
        <f aca="false">IF(Estimates!H308="","","("&amp;TEXT(Estimates!H308,"0.00")&amp;")")</f>
        <v>(-1.61)</v>
      </c>
    </row>
    <row r="30" customFormat="false" ht="15" hidden="false" customHeight="false" outlineLevel="0" collapsed="false">
      <c r="A30" s="18" t="s">
        <v>69</v>
      </c>
      <c r="B30" s="8" t="str">
        <f aca="false">IF(Estimates!I310="","n/a",TEXT(Estimates!E310,"0.000")&amp;IF(Estimates!I310&lt;0.01,"***",IF(Estimates!I310&lt;0.05,"**",IF(Estimates!I310&lt;0.1,"*",""))))</f>
        <v>-0.719***</v>
      </c>
      <c r="C30" s="8" t="str">
        <f aca="false">IF(Estimates!I311="","n/a",TEXT(Estimates!E311,"0.000")&amp;IF(Estimates!I311&lt;0.01,"***",IF(Estimates!I311&lt;0.05,"**",IF(Estimates!I311&lt;0.1,"*",""))))</f>
        <v>-0.231</v>
      </c>
      <c r="D30" s="16" t="n">
        <f aca="false">IF(Estimates!I312="","",Estimates!I312)</f>
        <v>0.0421056063860088</v>
      </c>
      <c r="E30" s="17" t="n">
        <v>1313</v>
      </c>
      <c r="G30" s="8" t="str">
        <f aca="false">IF(Estimates!I313="","n/a",TEXT(Estimates!E313,"0.000")&amp;IF(Estimates!I313&lt;0.01,"***",IF(Estimates!I313&lt;0.05,"**",IF(Estimates!I313&lt;0.1,"*",""))))</f>
        <v>-0.534**</v>
      </c>
      <c r="H30" s="8" t="str">
        <f aca="false">IF(Estimates!I314="","n/a",TEXT(Estimates!E314,"0.000")&amp;IF(Estimates!I314&lt;0.01,"***",IF(Estimates!I314&lt;0.05,"**",IF(Estimates!I314&lt;0.1,"*",""))))</f>
        <v>-0.165</v>
      </c>
      <c r="I30" s="16" t="n">
        <f aca="false">IF(Estimates!I315="","",Estimates!I315)</f>
        <v>0.172797221453992</v>
      </c>
      <c r="J30" s="17" t="n">
        <v>1179</v>
      </c>
      <c r="L30" s="8" t="s">
        <v>70</v>
      </c>
      <c r="M30" s="8" t="s">
        <v>71</v>
      </c>
    </row>
    <row r="31" customFormat="false" ht="15" hidden="false" customHeight="false" outlineLevel="0" collapsed="false">
      <c r="B31" s="8" t="str">
        <f aca="false">IF(Estimates!H310="","","("&amp;TEXT(Estimates!H310,"0.00")&amp;")")</f>
        <v>(-3.85)</v>
      </c>
      <c r="C31" s="8" t="str">
        <f aca="false">IF(Estimates!H311="","","("&amp;TEXT(Estimates!H311,"0.00")&amp;")")</f>
        <v>(-1.15)</v>
      </c>
      <c r="G31" s="8" t="str">
        <f aca="false">IF(Estimates!H313="","","("&amp;TEXT(Estimates!H313,"0.00")&amp;")")</f>
        <v>(-2.33)</v>
      </c>
      <c r="H31" s="8" t="str">
        <f aca="false">IF(Estimates!H314="","","("&amp;TEXT(Estimates!H314,"0.00")&amp;")")</f>
        <v>(-0.96)</v>
      </c>
    </row>
    <row r="32" customFormat="false" ht="15" hidden="false" customHeight="false" outlineLevel="0" collapsed="false">
      <c r="A32" s="18" t="s">
        <v>72</v>
      </c>
      <c r="B32" s="8" t="str">
        <f aca="false">IF(Estimates!I316="","n/a",TEXT(Estimates!E316,"0.000")&amp;IF(Estimates!I316&lt;0.01,"***",IF(Estimates!I316&lt;0.05,"**",IF(Estimates!I316&lt;0.1,"*",""))))</f>
        <v>-0.395**</v>
      </c>
      <c r="C32" s="8" t="str">
        <f aca="false">IF(Estimates!I317="","n/a",TEXT(Estimates!E317,"0.000")&amp;IF(Estimates!I317&lt;0.01,"***",IF(Estimates!I317&lt;0.05,"**",IF(Estimates!I317&lt;0.1,"*",""))))</f>
        <v>-0.627**</v>
      </c>
      <c r="D32" s="16" t="n">
        <f aca="false">IF(Estimates!I318="","",Estimates!I318)</f>
        <v>0.456240677871114</v>
      </c>
      <c r="E32" s="17" t="n">
        <v>1313</v>
      </c>
      <c r="G32" s="8" t="str">
        <f aca="false">IF(Estimates!I319="","n/a",TEXT(Estimates!E319,"0.000")&amp;IF(Estimates!I319&lt;0.01,"***",IF(Estimates!I319&lt;0.05,"**",IF(Estimates!I319&lt;0.1,"*",""))))</f>
        <v>-0.375</v>
      </c>
      <c r="H32" s="8" t="str">
        <f aca="false">IF(Estimates!I320="","n/a",TEXT(Estimates!E320,"0.000")&amp;IF(Estimates!I320&lt;0.01,"***",IF(Estimates!I320&lt;0.05,"**",IF(Estimates!I320&lt;0.1,"*",""))))</f>
        <v>-0.407</v>
      </c>
      <c r="I32" s="16" t="n">
        <f aca="false">IF(Estimates!I321="","",Estimates!I321)</f>
        <v>0.951026815668812</v>
      </c>
      <c r="J32" s="17" t="n">
        <v>1179</v>
      </c>
      <c r="L32" s="8" t="s">
        <v>73</v>
      </c>
      <c r="M32" s="8" t="s">
        <v>74</v>
      </c>
    </row>
    <row r="33" customFormat="false" ht="15" hidden="false" customHeight="false" outlineLevel="0" collapsed="false">
      <c r="B33" s="8" t="str">
        <f aca="false">IF(Estimates!H316="","","("&amp;TEXT(Estimates!H316,"0.00")&amp;")")</f>
        <v>(-2.42)</v>
      </c>
      <c r="C33" s="8" t="str">
        <f aca="false">IF(Estimates!H317="","","("&amp;TEXT(Estimates!H317,"0.00")&amp;")")</f>
        <v>(-2.61)</v>
      </c>
      <c r="G33" s="8" t="str">
        <f aca="false">IF(Estimates!H319="","","("&amp;TEXT(Estimates!H319,"0.00")&amp;")")</f>
        <v>(-1.20)</v>
      </c>
      <c r="H33" s="8" t="str">
        <f aca="false">IF(Estimates!H320="","","("&amp;TEXT(Estimates!H320,"0.00")&amp;")")</f>
        <v>(-1.45)</v>
      </c>
    </row>
    <row r="34" customFormat="false" ht="15" hidden="false" customHeight="false" outlineLevel="0" collapsed="false">
      <c r="A34" s="18" t="s">
        <v>75</v>
      </c>
      <c r="B34" s="8" t="str">
        <f aca="false">IF(Estimates!I322="","n/a",TEXT(Estimates!E322,"0.000")&amp;IF(Estimates!I322&lt;0.01,"***",IF(Estimates!I322&lt;0.05,"**",IF(Estimates!I322&lt;0.1,"*",""))))</f>
        <v>-0.321*</v>
      </c>
      <c r="C34" s="8" t="str">
        <f aca="false">IF(Estimates!I323="","n/a",TEXT(Estimates!E323,"0.000")&amp;IF(Estimates!I323&lt;0.01,"***",IF(Estimates!I323&lt;0.05,"**",IF(Estimates!I323&lt;0.1,"*",""))))</f>
        <v>-0.378</v>
      </c>
      <c r="D34" s="16" t="n">
        <f aca="false">IF(Estimates!I324="","",Estimates!I324)</f>
        <v>0.87222583809374</v>
      </c>
      <c r="E34" s="17" t="n">
        <v>1313</v>
      </c>
      <c r="G34" s="8" t="str">
        <f aca="false">IF(Estimates!I325="","n/a",TEXT(Estimates!E325,"0.000")&amp;IF(Estimates!I325&lt;0.01,"***",IF(Estimates!I325&lt;0.05,"**",IF(Estimates!I325&lt;0.1,"*",""))))</f>
        <v>-0.370*</v>
      </c>
      <c r="H34" s="8" t="str">
        <f aca="false">IF(Estimates!I326="","n/a",TEXT(Estimates!E326,"0.000")&amp;IF(Estimates!I326&lt;0.01,"***",IF(Estimates!I326&lt;0.05,"**",IF(Estimates!I326&lt;0.1,"*",""))))</f>
        <v>-0.208</v>
      </c>
      <c r="I34" s="16" t="n">
        <f aca="false">IF(Estimates!I327="","",Estimates!I327)</f>
        <v>0.699686352876994</v>
      </c>
      <c r="J34" s="17" t="n">
        <v>1179</v>
      </c>
      <c r="L34" s="8" t="s">
        <v>76</v>
      </c>
      <c r="M34" s="8" t="s">
        <v>77</v>
      </c>
    </row>
    <row r="35" customFormat="false" ht="15" hidden="false" customHeight="false" outlineLevel="0" collapsed="false">
      <c r="B35" s="8" t="str">
        <f aca="false">IF(Estimates!H322="","","("&amp;TEXT(Estimates!H322,"0.00")&amp;")")</f>
        <v>(-1.87)</v>
      </c>
      <c r="C35" s="8" t="str">
        <f aca="false">IF(Estimates!H323="","","("&amp;TEXT(Estimates!H323,"0.00")&amp;")")</f>
        <v>(-1.21)</v>
      </c>
      <c r="G35" s="8" t="str">
        <f aca="false">IF(Estimates!H325="","","("&amp;TEXT(Estimates!H325,"0.00")&amp;")")</f>
        <v>(-1.99)</v>
      </c>
      <c r="H35" s="8" t="str">
        <f aca="false">IF(Estimates!H326="","","("&amp;TEXT(Estimates!H326,"0.00")&amp;")")</f>
        <v>(-0.60)</v>
      </c>
    </row>
    <row r="36" customFormat="false" ht="15" hidden="false" customHeight="false" outlineLevel="0" collapsed="false">
      <c r="A36" s="18" t="s">
        <v>78</v>
      </c>
      <c r="B36" s="8" t="str">
        <f aca="false">IF(Estimates!I328="","n/a",TEXT(Estimates!E328,"0.000")&amp;IF(Estimates!I328&lt;0.01,"***",IF(Estimates!I328&lt;0.05,"**",IF(Estimates!I328&lt;0.1,"*",""))))</f>
        <v>-0.366**</v>
      </c>
      <c r="C36" s="8" t="str">
        <f aca="false">IF(Estimates!I329="","n/a",TEXT(Estimates!E329,"0.000")&amp;IF(Estimates!I329&lt;0.01,"***",IF(Estimates!I329&lt;0.05,"**",IF(Estimates!I329&lt;0.1,"*",""))))</f>
        <v>-0.407</v>
      </c>
      <c r="D36" s="16" t="n">
        <f aca="false">IF(Estimates!I330="","",Estimates!I330)</f>
        <v>0.909285083156702</v>
      </c>
      <c r="E36" s="17" t="n">
        <v>1313</v>
      </c>
      <c r="G36" s="8" t="str">
        <f aca="false">IF(Estimates!I331="","n/a",TEXT(Estimates!E331,"0.000")&amp;IF(Estimates!I331&lt;0.01,"***",IF(Estimates!I331&lt;0.05,"**",IF(Estimates!I331&lt;0.1,"*",""))))</f>
        <v>-0.445***</v>
      </c>
      <c r="H36" s="8" t="str">
        <f aca="false">IF(Estimates!I332="","n/a",TEXT(Estimates!E332,"0.000")&amp;IF(Estimates!I332&lt;0.01,"***",IF(Estimates!I332&lt;0.05,"**",IF(Estimates!I332&lt;0.1,"*",""))))</f>
        <v>-0.281</v>
      </c>
      <c r="I36" s="16" t="n">
        <f aca="false">IF(Estimates!I333="","",Estimates!I333)</f>
        <v>0.696111794854343</v>
      </c>
      <c r="J36" s="17" t="n">
        <v>1179</v>
      </c>
      <c r="L36" s="8" t="s">
        <v>79</v>
      </c>
      <c r="M36" s="8" t="s">
        <v>80</v>
      </c>
    </row>
    <row r="37" customFormat="false" ht="15" hidden="false" customHeight="false" outlineLevel="0" collapsed="false">
      <c r="B37" s="8" t="str">
        <f aca="false">IF(Estimates!H328="","","("&amp;TEXT(Estimates!H328,"0.00")&amp;")")</f>
        <v>(-2.33)</v>
      </c>
      <c r="C37" s="8" t="str">
        <f aca="false">IF(Estimates!H329="","","("&amp;TEXT(Estimates!H329,"0.00")&amp;")")</f>
        <v>(-1.41)</v>
      </c>
      <c r="G37" s="8" t="str">
        <f aca="false">IF(Estimates!H331="","","("&amp;TEXT(Estimates!H331,"0.00")&amp;")")</f>
        <v>(-2.89)</v>
      </c>
      <c r="H37" s="8" t="str">
        <f aca="false">IF(Estimates!H332="","","("&amp;TEXT(Estimates!H332,"0.00")&amp;")")</f>
        <v>(-0.70)</v>
      </c>
    </row>
    <row r="38" customFormat="false" ht="15" hidden="false" customHeight="false" outlineLevel="0" collapsed="false">
      <c r="A38" s="18" t="s">
        <v>81</v>
      </c>
      <c r="B38" s="8" t="str">
        <f aca="false">IF(Estimates!I334="","n/a",TEXT(Estimates!E334,"0.000")&amp;IF(Estimates!I334&lt;0.01,"***",IF(Estimates!I334&lt;0.05,"**",IF(Estimates!I334&lt;0.1,"*",""))))</f>
        <v>-0.515</v>
      </c>
      <c r="C38" s="8" t="str">
        <f aca="false">IF(Estimates!I335="","n/a",TEXT(Estimates!E335,"0.000")&amp;IF(Estimates!I335&lt;0.01,"***",IF(Estimates!I335&lt;0.05,"**",IF(Estimates!I335&lt;0.1,"*",""))))</f>
        <v>-0.401**</v>
      </c>
      <c r="D38" s="16" t="n">
        <f aca="false">IF(Estimates!I336="","",Estimates!I336)</f>
        <v>0.832219915917601</v>
      </c>
      <c r="E38" s="17" t="n">
        <v>1313</v>
      </c>
      <c r="G38" s="8" t="str">
        <f aca="false">IF(Estimates!I337="","n/a",TEXT(Estimates!E337,"0.000")&amp;IF(Estimates!I337&lt;0.01,"***",IF(Estimates!I337&lt;0.05,"**",IF(Estimates!I337&lt;0.1,"*",""))))</f>
        <v>-0.444</v>
      </c>
      <c r="H38" s="8" t="str">
        <f aca="false">IF(Estimates!I338="","n/a",TEXT(Estimates!E338,"0.000")&amp;IF(Estimates!I338&lt;0.01,"***",IF(Estimates!I338&lt;0.05,"**",IF(Estimates!I338&lt;0.1,"*",""))))</f>
        <v>-0.221</v>
      </c>
      <c r="I38" s="16" t="n">
        <f aca="false">IF(Estimates!I339="","",Estimates!I339)</f>
        <v>0.650572792054854</v>
      </c>
      <c r="J38" s="17" t="n">
        <v>1179</v>
      </c>
      <c r="L38" s="8" t="s">
        <v>82</v>
      </c>
      <c r="M38" s="8" t="s">
        <v>83</v>
      </c>
    </row>
    <row r="39" customFormat="false" ht="15" hidden="false" customHeight="false" outlineLevel="0" collapsed="false">
      <c r="A39" s="5"/>
      <c r="B39" s="19" t="str">
        <f aca="false">IF(Estimates!H334="","","("&amp;TEXT(Estimates!H334,"0.00")&amp;")")</f>
        <v>(-1.02)</v>
      </c>
      <c r="C39" s="19" t="str">
        <f aca="false">IF(Estimates!H335="","","("&amp;TEXT(Estimates!H335,"0.00")&amp;")")</f>
        <v>(-2.40)</v>
      </c>
      <c r="D39" s="5"/>
      <c r="E39" s="5"/>
      <c r="F39" s="5"/>
      <c r="G39" s="19" t="str">
        <f aca="false">IF(Estimates!H337="","","("&amp;TEXT(Estimates!H337,"0.00")&amp;")")</f>
        <v>(-1.13)</v>
      </c>
      <c r="H39" s="19" t="str">
        <f aca="false">IF(Estimates!H338="","","("&amp;TEXT(Estimates!H338,"0.00")&amp;")")</f>
        <v>(-1.20)</v>
      </c>
      <c r="I39" s="5"/>
      <c r="J39" s="5"/>
      <c r="K39" s="5"/>
      <c r="L39" s="5"/>
      <c r="M39" s="5"/>
    </row>
  </sheetData>
  <mergeCells count="5">
    <mergeCell ref="A2:M2"/>
    <mergeCell ref="B5:E5"/>
    <mergeCell ref="G5:J5"/>
    <mergeCell ref="B24:E24"/>
    <mergeCell ref="G24:J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3"/>
    <col collapsed="false" customWidth="true" hidden="false" outlineLevel="0" max="4" min="4" style="0" width="9"/>
    <col collapsed="false" customWidth="true" hidden="false" outlineLevel="0" max="5" min="5" style="0" width="8"/>
    <col collapsed="false" customWidth="true" hidden="false" outlineLevel="0" max="6" min="6" style="0" width="3"/>
    <col collapsed="false" customWidth="true" hidden="false" outlineLevel="0" max="8" min="7" style="0" width="13"/>
    <col collapsed="false" customWidth="true" hidden="false" outlineLevel="0" max="9" min="9" style="0" width="9"/>
    <col collapsed="false" customWidth="true" hidden="false" outlineLevel="0" max="10" min="10" style="0" width="8"/>
  </cols>
  <sheetData>
    <row r="1" customFormat="false" ht="15" hidden="false" customHeight="false" outlineLevel="0" collapsed="false">
      <c r="A1" s="1" t="s">
        <v>85</v>
      </c>
    </row>
    <row r="2" customFormat="false" ht="139.5" hidden="false" customHeight="true" outlineLevel="0" collapsed="false">
      <c r="A2" s="2" t="s">
        <v>86</v>
      </c>
      <c r="B2" s="2"/>
      <c r="C2" s="2"/>
      <c r="D2" s="2"/>
      <c r="E2" s="2"/>
      <c r="F2" s="2"/>
      <c r="G2" s="2"/>
      <c r="H2" s="2"/>
      <c r="I2" s="2"/>
      <c r="J2" s="2"/>
    </row>
    <row r="4" customFormat="false" ht="15" hidden="false" customHeight="true" outlineLevel="0" collapsed="false">
      <c r="B4" s="11" t="s">
        <v>3</v>
      </c>
      <c r="C4" s="11"/>
      <c r="D4" s="11"/>
      <c r="E4" s="11"/>
      <c r="G4" s="11" t="s">
        <v>4</v>
      </c>
      <c r="H4" s="11"/>
      <c r="I4" s="11"/>
      <c r="J4" s="11"/>
    </row>
    <row r="5" customFormat="false" ht="30" hidden="false" customHeight="true" outlineLevel="0" collapsed="false">
      <c r="A5" s="14" t="s">
        <v>87</v>
      </c>
      <c r="B5" s="14" t="s">
        <v>88</v>
      </c>
      <c r="C5" s="14" t="s">
        <v>89</v>
      </c>
      <c r="D5" s="14" t="s">
        <v>42</v>
      </c>
      <c r="E5" s="14" t="s">
        <v>43</v>
      </c>
      <c r="F5" s="13"/>
      <c r="G5" s="14" t="s">
        <v>88</v>
      </c>
      <c r="H5" s="14" t="s">
        <v>89</v>
      </c>
      <c r="I5" s="14" t="s">
        <v>42</v>
      </c>
      <c r="J5" s="14" t="s">
        <v>43</v>
      </c>
    </row>
    <row r="6" customFormat="false" ht="15" hidden="false" customHeight="false" outlineLevel="0" collapsed="false">
      <c r="A6" s="18" t="s">
        <v>44</v>
      </c>
      <c r="B6" s="8" t="str">
        <f aca="false">IF(Estimates!I340="","n/a",TEXT(Estimates!E340,"0.000")&amp;IF(Estimates!I340&lt;0.01,"***",IF(Estimates!I340&lt;0.05,"**",IF(Estimates!I340&lt;0.1,"*",""))))</f>
        <v>-1.000***</v>
      </c>
      <c r="C6" s="8" t="str">
        <f aca="false">IF(Estimates!I341="","n/a",TEXT(Estimates!E341,"0.000")&amp;IF(Estimates!I341&lt;0.01,"***",IF(Estimates!I341&lt;0.05,"**",IF(Estimates!I341&lt;0.1,"*",""))))</f>
        <v>-0.325</v>
      </c>
      <c r="D6" s="16" t="n">
        <f aca="false">IF(Estimates!I342="","",Estimates!I342)</f>
        <v>0.0442196350839075</v>
      </c>
      <c r="E6" s="17" t="n">
        <v>1723</v>
      </c>
      <c r="G6" s="8" t="str">
        <f aca="false">IF(Estimates!I343="","n/a",TEXT(Estimates!E343,"0.000")&amp;IF(Estimates!I343&lt;0.01,"***",IF(Estimates!I343&lt;0.05,"**",IF(Estimates!I343&lt;0.1,"*",""))))</f>
        <v>-0.850***</v>
      </c>
      <c r="H6" s="8" t="str">
        <f aca="false">IF(Estimates!I344="","n/a",TEXT(Estimates!E344,"0.000")&amp;IF(Estimates!I344&lt;0.01,"***",IF(Estimates!I344&lt;0.05,"**",IF(Estimates!I344&lt;0.1,"*",""))))</f>
        <v>-0.255</v>
      </c>
      <c r="I6" s="16" t="n">
        <f aca="false">IF(Estimates!I345="","",Estimates!I345)</f>
        <v>0.0918018170201297</v>
      </c>
      <c r="J6" s="17" t="n">
        <v>1532</v>
      </c>
    </row>
    <row r="7" customFormat="false" ht="15" hidden="false" customHeight="false" outlineLevel="0" collapsed="false">
      <c r="B7" s="8" t="str">
        <f aca="false">IF(Estimates!H340="","","("&amp;TEXT(Estimates!H340,"0.00")&amp;")")</f>
        <v>(-6.01)</v>
      </c>
      <c r="C7" s="8" t="str">
        <f aca="false">IF(Estimates!H341="","","("&amp;TEXT(Estimates!H341,"0.00")&amp;")")</f>
        <v>(-1.31)</v>
      </c>
      <c r="G7" s="8" t="str">
        <f aca="false">IF(Estimates!H343="","","("&amp;TEXT(Estimates!H343,"0.00")&amp;")")</f>
        <v>(-4.81)</v>
      </c>
      <c r="H7" s="8" t="str">
        <f aca="false">IF(Estimates!H344="","","("&amp;TEXT(Estimates!H344,"0.00")&amp;")")</f>
        <v>(-0.94)</v>
      </c>
    </row>
    <row r="8" customFormat="false" ht="15" hidden="false" customHeight="false" outlineLevel="0" collapsed="false">
      <c r="A8" s="18" t="s">
        <v>48</v>
      </c>
      <c r="B8" s="8" t="str">
        <f aca="false">IF(Estimates!I346="","n/a",TEXT(Estimates!E346,"0.000")&amp;IF(Estimates!I346&lt;0.01,"***",IF(Estimates!I346&lt;0.05,"**",IF(Estimates!I346&lt;0.1,"*",""))))</f>
        <v>-1.191***</v>
      </c>
      <c r="C8" s="8" t="str">
        <f aca="false">IF(Estimates!I347="","n/a",TEXT(Estimates!E347,"0.000")&amp;IF(Estimates!I347&lt;0.01,"***",IF(Estimates!I347&lt;0.05,"**",IF(Estimates!I347&lt;0.1,"*",""))))</f>
        <v>-0.054</v>
      </c>
      <c r="D8" s="16" t="n">
        <f aca="false">IF(Estimates!I348="","",Estimates!I348)</f>
        <v>0.00424862313455681</v>
      </c>
      <c r="E8" s="17" t="n">
        <v>1566</v>
      </c>
      <c r="G8" s="8" t="str">
        <f aca="false">IF(Estimates!I349="","n/a",TEXT(Estimates!E349,"0.000")&amp;IF(Estimates!I349&lt;0.01,"***",IF(Estimates!I349&lt;0.05,"**",IF(Estimates!I349&lt;0.1,"*",""))))</f>
        <v>-0.774***</v>
      </c>
      <c r="H8" s="8" t="str">
        <f aca="false">IF(Estimates!I350="","n/a",TEXT(Estimates!E350,"0.000")&amp;IF(Estimates!I350&lt;0.01,"***",IF(Estimates!I350&lt;0.05,"**",IF(Estimates!I350&lt;0.1,"*",""))))</f>
        <v>-0.032</v>
      </c>
      <c r="I8" s="16" t="n">
        <f aca="false">IF(Estimates!I351="","",Estimates!I351)</f>
        <v>0.00550659287623132</v>
      </c>
      <c r="J8" s="17" t="n">
        <v>1395</v>
      </c>
    </row>
    <row r="9" customFormat="false" ht="15" hidden="false" customHeight="false" outlineLevel="0" collapsed="false">
      <c r="A9" s="5"/>
      <c r="B9" s="19" t="str">
        <f aca="false">IF(Estimates!H346="","","("&amp;TEXT(Estimates!H346,"0.00")&amp;")")</f>
        <v>(-4.17)</v>
      </c>
      <c r="C9" s="19" t="str">
        <f aca="false">IF(Estimates!H347="","","("&amp;TEXT(Estimates!H347,"0.00")&amp;")")</f>
        <v>(-0.38)</v>
      </c>
      <c r="D9" s="5"/>
      <c r="E9" s="5"/>
      <c r="F9" s="5"/>
      <c r="G9" s="19" t="str">
        <f aca="false">IF(Estimates!H349="","","("&amp;TEXT(Estimates!H349,"0.00")&amp;")")</f>
        <v>(-4.29)</v>
      </c>
      <c r="H9" s="19" t="str">
        <f aca="false">IF(Estimates!H350="","","("&amp;TEXT(Estimates!H350,"0.00")&amp;")")</f>
        <v>(-0.24)</v>
      </c>
      <c r="I9" s="5"/>
      <c r="J9" s="5"/>
    </row>
  </sheetData>
  <mergeCells count="3">
    <mergeCell ref="A2:J2"/>
    <mergeCell ref="B4:E4"/>
    <mergeCell ref="G4:J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s>
  <sheetData>
    <row r="1" customFormat="false" ht="15" hidden="false" customHeight="false" outlineLevel="0" collapsed="false">
      <c r="A1" s="1" t="s">
        <v>90</v>
      </c>
    </row>
    <row r="2" customFormat="false" ht="153.75" hidden="false" customHeight="true" outlineLevel="0" collapsed="false">
      <c r="A2" s="2" t="s">
        <v>91</v>
      </c>
      <c r="B2" s="2"/>
      <c r="C2" s="2"/>
      <c r="D2" s="2"/>
      <c r="E2" s="2"/>
    </row>
    <row r="4" customFormat="false" ht="15" hidden="false" customHeight="false" outlineLevel="0" collapsed="false">
      <c r="A4" s="1" t="s">
        <v>92</v>
      </c>
    </row>
    <row r="5" customFormat="false" ht="57.75" hidden="false" customHeight="true" outlineLevel="0" collapsed="false">
      <c r="A5" s="13"/>
      <c r="B5" s="14" t="s">
        <v>93</v>
      </c>
      <c r="C5" s="14" t="s">
        <v>94</v>
      </c>
      <c r="D5" s="14" t="s">
        <v>95</v>
      </c>
      <c r="E5" s="14" t="s">
        <v>96</v>
      </c>
    </row>
    <row r="6" customFormat="false" ht="15" hidden="false" customHeight="false" outlineLevel="0" collapsed="false">
      <c r="A6" s="7" t="s">
        <v>97</v>
      </c>
      <c r="B6" s="8" t="str">
        <f aca="false">IF(Estimates!I352="","n/a",TEXT(Estimates!E352,"0.000")&amp;IF(Estimates!I352&lt;0.01,"***",IF(Estimates!I352&lt;0.05,"**",IF(Estimates!I352&lt;0.1,"*",""))))</f>
        <v>-0.295**</v>
      </c>
      <c r="C6" s="8" t="str">
        <f aca="false">IF(Estimates!I353="","n/a",TEXT(Estimates!E353,"0.000")&amp;IF(Estimates!I353&lt;0.01,"***",IF(Estimates!I353&lt;0.05,"**",IF(Estimates!I353&lt;0.1,"*",""))))</f>
        <v>-0.257*</v>
      </c>
      <c r="D6" s="8" t="str">
        <f aca="false">IF(Estimates!I354="","n/a",TEXT(Estimates!E354,"0.000")&amp;IF(Estimates!I354&lt;0.01,"***",IF(Estimates!I354&lt;0.05,"**",IF(Estimates!I354&lt;0.1,"*",""))))</f>
        <v>-0.275*</v>
      </c>
      <c r="E6" s="8" t="str">
        <f aca="false">IF(Estimates!I355="","n/a",TEXT(Estimates!E355,"0.000")&amp;IF(Estimates!I355&lt;0.01,"***",IF(Estimates!I355&lt;0.05,"**",IF(Estimates!I355&lt;0.1,"*",""))))</f>
        <v>-0.173</v>
      </c>
    </row>
    <row r="7" customFormat="false" ht="15" hidden="false" customHeight="false" outlineLevel="0" collapsed="false">
      <c r="B7" s="8" t="str">
        <f aca="false">IF(Estimates!H352="","","("&amp;TEXT(Estimates!H352,"0.00")&amp;")")</f>
        <v>(-2.13)</v>
      </c>
      <c r="C7" s="8" t="str">
        <f aca="false">IF(Estimates!H353="","","("&amp;TEXT(Estimates!H353,"0.00")&amp;")")</f>
        <v>(-1.81)</v>
      </c>
      <c r="D7" s="8" t="str">
        <f aca="false">IF(Estimates!H354="","","("&amp;TEXT(Estimates!H354,"0.00")&amp;")")</f>
        <v>(-1.96)</v>
      </c>
      <c r="E7" s="8" t="str">
        <f aca="false">IF(Estimates!H355="","","("&amp;TEXT(Estimates!H355,"0.00")&amp;")")</f>
        <v>(-1.09)</v>
      </c>
    </row>
    <row r="8" customFormat="false" ht="15" hidden="false" customHeight="false" outlineLevel="0" collapsed="false">
      <c r="A8" s="7" t="s">
        <v>98</v>
      </c>
      <c r="B8" s="8" t="str">
        <f aca="false">IF(Estimates!I356="","n/a",TEXT(Estimates!E356,"0.000")&amp;IF(Estimates!I356&lt;0.01,"***",IF(Estimates!I356&lt;0.05,"**",IF(Estimates!I356&lt;0.1,"*",""))))</f>
        <v>0.554</v>
      </c>
      <c r="C8" s="8" t="str">
        <f aca="false">IF(Estimates!I357="","n/a",TEXT(Estimates!E357,"0.000")&amp;IF(Estimates!I357&lt;0.01,"***",IF(Estimates!I357&lt;0.05,"**",IF(Estimates!I357&lt;0.1,"*",""))))</f>
        <v>0.141</v>
      </c>
      <c r="D8" s="8" t="str">
        <f aca="false">IF(Estimates!I358="","n/a",TEXT(Estimates!E358,"0.000")&amp;IF(Estimates!I358&lt;0.01,"***",IF(Estimates!I358&lt;0.05,"**",IF(Estimates!I358&lt;0.1,"*",""))))</f>
        <v>0.274</v>
      </c>
      <c r="E8" s="8" t="str">
        <f aca="false">IF(Estimates!I359="","n/a",TEXT(Estimates!E359,"0.000")&amp;IF(Estimates!I359&lt;0.01,"***",IF(Estimates!I359&lt;0.05,"**",IF(Estimates!I359&lt;0.1,"*",""))))</f>
        <v>0.299</v>
      </c>
    </row>
    <row r="9" customFormat="false" ht="15" hidden="false" customHeight="false" outlineLevel="0" collapsed="false">
      <c r="B9" s="8" t="str">
        <f aca="false">IF(Estimates!H356="","","("&amp;TEXT(Estimates!H356,"0.00")&amp;")")</f>
        <v>(1.36)</v>
      </c>
      <c r="C9" s="8" t="str">
        <f aca="false">IF(Estimates!H357="","","("&amp;TEXT(Estimates!H357,"0.00")&amp;")")</f>
        <v>(0.34)</v>
      </c>
      <c r="D9" s="8" t="str">
        <f aca="false">IF(Estimates!H358="","","("&amp;TEXT(Estimates!H358,"0.00")&amp;")")</f>
        <v>(0.72)</v>
      </c>
      <c r="E9" s="8" t="str">
        <f aca="false">IF(Estimates!H359="","","("&amp;TEXT(Estimates!H359,"0.00")&amp;")")</f>
        <v>(0.72)</v>
      </c>
    </row>
    <row r="10" customFormat="false" ht="15" hidden="false" customHeight="false" outlineLevel="0" collapsed="false">
      <c r="A10" s="7" t="s">
        <v>99</v>
      </c>
      <c r="B10" s="8" t="str">
        <f aca="false">IF(Estimates!I360="","n/a",TEXT(Estimates!E360,"0.000")&amp;IF(Estimates!I360&lt;0.01,"***",IF(Estimates!I360&lt;0.05,"**",IF(Estimates!I360&lt;0.1,"*",""))))</f>
        <v>0.243**</v>
      </c>
      <c r="C10" s="8" t="str">
        <f aca="false">IF(Estimates!I361="","n/a",TEXT(Estimates!E361,"0.000")&amp;IF(Estimates!I361&lt;0.01,"***",IF(Estimates!I361&lt;0.05,"**",IF(Estimates!I361&lt;0.1,"*",""))))</f>
        <v>0.307***</v>
      </c>
      <c r="D10" s="8" t="str">
        <f aca="false">IF(Estimates!I362="","n/a",TEXT(Estimates!E362,"0.000")&amp;IF(Estimates!I362&lt;0.01,"***",IF(Estimates!I362&lt;0.05,"**",IF(Estimates!I362&lt;0.1,"*",""))))</f>
        <v>0.279***</v>
      </c>
      <c r="E10" s="8" t="str">
        <f aca="false">IF(Estimates!I363="","n/a",TEXT(Estimates!E363,"0.000")&amp;IF(Estimates!I363&lt;0.01,"***",IF(Estimates!I363&lt;0.05,"**",IF(Estimates!I363&lt;0.1,"*",""))))</f>
        <v>0.291*</v>
      </c>
    </row>
    <row r="11" customFormat="false" ht="15" hidden="false" customHeight="false" outlineLevel="0" collapsed="false">
      <c r="B11" s="8" t="str">
        <f aca="false">IF(Estimates!H360="","","("&amp;TEXT(Estimates!H360,"0.00")&amp;")")</f>
        <v>(2.83)</v>
      </c>
      <c r="C11" s="8" t="str">
        <f aca="false">IF(Estimates!H361="","","("&amp;TEXT(Estimates!H361,"0.00")&amp;")")</f>
        <v>(3.25)</v>
      </c>
      <c r="D11" s="8" t="str">
        <f aca="false">IF(Estimates!H362="","","("&amp;TEXT(Estimates!H362,"0.00")&amp;")")</f>
        <v>(3.00)</v>
      </c>
      <c r="E11" s="8" t="str">
        <f aca="false">IF(Estimates!H363="","","("&amp;TEXT(Estimates!H363,"0.00")&amp;")")</f>
        <v>(2.03)</v>
      </c>
    </row>
    <row r="12" customFormat="false" ht="15" hidden="false" customHeight="false" outlineLevel="0" collapsed="false">
      <c r="A12" s="7" t="s">
        <v>100</v>
      </c>
      <c r="C12" s="8" t="str">
        <f aca="false">IF(Estimates!I364="","n/a",TEXT(Estimates!E364,"0.000")&amp;IF(Estimates!I364&lt;0.01,"***",IF(Estimates!I364&lt;0.05,"**",IF(Estimates!I364&lt;0.1,"*",""))))</f>
        <v>-1.221**</v>
      </c>
    </row>
    <row r="13" customFormat="false" ht="15" hidden="false" customHeight="false" outlineLevel="0" collapsed="false">
      <c r="C13" s="8" t="str">
        <f aca="false">IF(Estimates!H364="","","("&amp;TEXT(Estimates!H364,"0.00")&amp;")")</f>
        <v>(-2.13)</v>
      </c>
    </row>
    <row r="14" customFormat="false" ht="15" hidden="false" customHeight="false" outlineLevel="0" collapsed="false">
      <c r="A14" s="7" t="s">
        <v>9</v>
      </c>
      <c r="B14" s="17" t="n">
        <v>1033</v>
      </c>
      <c r="C14" s="17" t="n">
        <v>1033</v>
      </c>
      <c r="D14" s="17" t="n">
        <v>1033</v>
      </c>
      <c r="E14" s="17" t="n">
        <v>1033</v>
      </c>
    </row>
    <row r="15" customFormat="false" ht="15" hidden="false" customHeight="false" outlineLevel="0" collapsed="false">
      <c r="A15" s="12" t="s">
        <v>10</v>
      </c>
      <c r="B15" s="20" t="n">
        <v>0.0629469509023997</v>
      </c>
      <c r="C15" s="20" t="n">
        <v>0.0713816761195296</v>
      </c>
      <c r="D15" s="20" t="n">
        <v>0.063940912959112</v>
      </c>
      <c r="E15" s="20" t="n">
        <v>0.0724688629059958</v>
      </c>
    </row>
    <row r="18" customFormat="false" ht="15" hidden="false" customHeight="false" outlineLevel="0" collapsed="false">
      <c r="A18" s="1" t="s">
        <v>101</v>
      </c>
    </row>
    <row r="19" customFormat="false" ht="57.75" hidden="false" customHeight="true" outlineLevel="0" collapsed="false">
      <c r="A19" s="13"/>
      <c r="B19" s="14" t="s">
        <v>93</v>
      </c>
      <c r="C19" s="14" t="s">
        <v>94</v>
      </c>
      <c r="D19" s="14" t="s">
        <v>95</v>
      </c>
      <c r="E19" s="14" t="s">
        <v>96</v>
      </c>
    </row>
    <row r="20" customFormat="false" ht="15" hidden="false" customHeight="false" outlineLevel="0" collapsed="false">
      <c r="A20" s="7" t="s">
        <v>97</v>
      </c>
      <c r="B20" s="8" t="str">
        <f aca="false">IF(Estimates!I365="","n/a",TEXT(Estimates!E365,"0.000")&amp;IF(Estimates!I365&lt;0.01,"***",IF(Estimates!I365&lt;0.05,"**",IF(Estimates!I365&lt;0.1,"*",""))))</f>
        <v>-0.460***</v>
      </c>
      <c r="C20" s="8" t="str">
        <f aca="false">IF(Estimates!I366="","n/a",TEXT(Estimates!E366,"0.000")&amp;IF(Estimates!I366&lt;0.01,"***",IF(Estimates!I366&lt;0.05,"**",IF(Estimates!I366&lt;0.1,"*",""))))</f>
        <v>-0.432***</v>
      </c>
      <c r="D20" s="8" t="str">
        <f aca="false">IF(Estimates!I367="","n/a",TEXT(Estimates!E367,"0.000")&amp;IF(Estimates!I367&lt;0.01,"***",IF(Estimates!I367&lt;0.05,"**",IF(Estimates!I367&lt;0.1,"*",""))))</f>
        <v>-0.450***</v>
      </c>
      <c r="E20" s="8" t="str">
        <f aca="false">IF(Estimates!I368="","n/a",TEXT(Estimates!E368,"0.000")&amp;IF(Estimates!I368&lt;0.01,"***",IF(Estimates!I368&lt;0.05,"**",IF(Estimates!I368&lt;0.1,"*",""))))</f>
        <v>-0.398**</v>
      </c>
    </row>
    <row r="21" customFormat="false" ht="15" hidden="false" customHeight="false" outlineLevel="0" collapsed="false">
      <c r="B21" s="8" t="str">
        <f aca="false">IF(Estimates!H365="","","("&amp;TEXT(Estimates!H365,"0.00")&amp;")")</f>
        <v>(-2.99)</v>
      </c>
      <c r="C21" s="8" t="str">
        <f aca="false">IF(Estimates!H366="","","("&amp;TEXT(Estimates!H366,"0.00")&amp;")")</f>
        <v>(-2.98)</v>
      </c>
      <c r="D21" s="8" t="str">
        <f aca="false">IF(Estimates!H367="","","("&amp;TEXT(Estimates!H367,"0.00")&amp;")")</f>
        <v>(-2.98)</v>
      </c>
      <c r="E21" s="8" t="str">
        <f aca="false">IF(Estimates!H368="","","("&amp;TEXT(Estimates!H368,"0.00")&amp;")")</f>
        <v>(-2.36)</v>
      </c>
    </row>
    <row r="22" customFormat="false" ht="15" hidden="false" customHeight="false" outlineLevel="0" collapsed="false">
      <c r="A22" s="7" t="s">
        <v>98</v>
      </c>
      <c r="B22" s="8" t="str">
        <f aca="false">IF(Estimates!I369="","n/a",TEXT(Estimates!E369,"0.000")&amp;IF(Estimates!I369&lt;0.01,"***",IF(Estimates!I369&lt;0.05,"**",IF(Estimates!I369&lt;0.1,"*",""))))</f>
        <v>0.704**</v>
      </c>
      <c r="C22" s="8" t="str">
        <f aca="false">IF(Estimates!I370="","n/a",TEXT(Estimates!E370,"0.000")&amp;IF(Estimates!I370&lt;0.01,"***",IF(Estimates!I370&lt;0.05,"**",IF(Estimates!I370&lt;0.1,"*",""))))</f>
        <v>0.405</v>
      </c>
      <c r="D22" s="8" t="str">
        <f aca="false">IF(Estimates!I371="","n/a",TEXT(Estimates!E371,"0.000")&amp;IF(Estimates!I371&lt;0.01,"***",IF(Estimates!I371&lt;0.05,"**",IF(Estimates!I371&lt;0.1,"*",""))))</f>
        <v>0.577**</v>
      </c>
      <c r="E22" s="8" t="str">
        <f aca="false">IF(Estimates!I372="","n/a",TEXT(Estimates!E372,"0.000")&amp;IF(Estimates!I372&lt;0.01,"***",IF(Estimates!I372&lt;0.05,"**",IF(Estimates!I372&lt;0.1,"*",""))))</f>
        <v>0.623**</v>
      </c>
    </row>
    <row r="23" customFormat="false" ht="15" hidden="false" customHeight="false" outlineLevel="0" collapsed="false">
      <c r="B23" s="8" t="str">
        <f aca="false">IF(Estimates!H369="","","("&amp;TEXT(Estimates!H369,"0.00")&amp;")")</f>
        <v>(2.66)</v>
      </c>
      <c r="C23" s="8" t="str">
        <f aca="false">IF(Estimates!H370="","","("&amp;TEXT(Estimates!H370,"0.00")&amp;")")</f>
        <v>(1.68)</v>
      </c>
      <c r="D23" s="8" t="str">
        <f aca="false">IF(Estimates!H371="","","("&amp;TEXT(Estimates!H371,"0.00")&amp;")")</f>
        <v>(2.47)</v>
      </c>
      <c r="E23" s="8" t="str">
        <f aca="false">IF(Estimates!H372="","","("&amp;TEXT(Estimates!H372,"0.00")&amp;")")</f>
        <v>(2.25)</v>
      </c>
    </row>
    <row r="24" customFormat="false" ht="15" hidden="false" customHeight="false" outlineLevel="0" collapsed="false">
      <c r="A24" s="7" t="s">
        <v>99</v>
      </c>
      <c r="B24" s="8" t="str">
        <f aca="false">IF(Estimates!I373="","n/a",TEXT(Estimates!E373,"0.000")&amp;IF(Estimates!I373&lt;0.01,"***",IF(Estimates!I373&lt;0.05,"**",IF(Estimates!I373&lt;0.1,"*",""))))</f>
        <v>0.024</v>
      </c>
      <c r="C24" s="8" t="str">
        <f aca="false">IF(Estimates!I374="","n/a",TEXT(Estimates!E374,"0.000")&amp;IF(Estimates!I374&lt;0.01,"***",IF(Estimates!I374&lt;0.05,"**",IF(Estimates!I374&lt;0.1,"*",""))))</f>
        <v>0.067</v>
      </c>
      <c r="D24" s="8" t="str">
        <f aca="false">IF(Estimates!I375="","n/a",TEXT(Estimates!E375,"0.000")&amp;IF(Estimates!I375&lt;0.01,"***",IF(Estimates!I375&lt;0.05,"**",IF(Estimates!I375&lt;0.1,"*",""))))</f>
        <v>0.040</v>
      </c>
      <c r="E24" s="8" t="str">
        <f aca="false">IF(Estimates!I376="","n/a",TEXT(Estimates!E376,"0.000")&amp;IF(Estimates!I376&lt;0.01,"***",IF(Estimates!I376&lt;0.05,"**",IF(Estimates!I376&lt;0.1,"*",""))))</f>
        <v>0.047</v>
      </c>
    </row>
    <row r="25" customFormat="false" ht="15" hidden="false" customHeight="false" outlineLevel="0" collapsed="false">
      <c r="B25" s="8" t="str">
        <f aca="false">IF(Estimates!H373="","","("&amp;TEXT(Estimates!H373,"0.00")&amp;")")</f>
        <v>(0.16)</v>
      </c>
      <c r="C25" s="8" t="str">
        <f aca="false">IF(Estimates!H374="","","("&amp;TEXT(Estimates!H374,"0.00")&amp;")")</f>
        <v>(0.46)</v>
      </c>
      <c r="D25" s="8" t="str">
        <f aca="false">IF(Estimates!H375="","","("&amp;TEXT(Estimates!H375,"0.00")&amp;")")</f>
        <v>(0.26)</v>
      </c>
      <c r="E25" s="8" t="str">
        <f aca="false">IF(Estimates!H376="","","("&amp;TEXT(Estimates!H376,"0.00")&amp;")")</f>
        <v>(0.30)</v>
      </c>
    </row>
    <row r="26" customFormat="false" ht="15" hidden="false" customHeight="false" outlineLevel="0" collapsed="false">
      <c r="A26" s="7" t="s">
        <v>100</v>
      </c>
      <c r="C26" s="8" t="str">
        <f aca="false">IF(Estimates!I377="","n/a",TEXT(Estimates!E377,"0.000")&amp;IF(Estimates!I377&lt;0.01,"***",IF(Estimates!I377&lt;0.05,"**",IF(Estimates!I377&lt;0.1,"*",""))))</f>
        <v>-0.921**</v>
      </c>
    </row>
    <row r="27" customFormat="false" ht="15" hidden="false" customHeight="false" outlineLevel="0" collapsed="false">
      <c r="C27" s="8" t="str">
        <f aca="false">IF(Estimates!H377="","","("&amp;TEXT(Estimates!H377,"0.00")&amp;")")</f>
        <v>(-2.35)</v>
      </c>
    </row>
    <row r="28" customFormat="false" ht="15" hidden="false" customHeight="false" outlineLevel="0" collapsed="false">
      <c r="A28" s="7" t="s">
        <v>9</v>
      </c>
      <c r="B28" s="17" t="n">
        <v>930</v>
      </c>
      <c r="C28" s="17" t="n">
        <v>930</v>
      </c>
      <c r="D28" s="17" t="n">
        <v>930</v>
      </c>
      <c r="E28" s="17" t="n">
        <v>930</v>
      </c>
    </row>
    <row r="29" customFormat="false" ht="15" hidden="false" customHeight="false" outlineLevel="0" collapsed="false">
      <c r="A29" s="12" t="s">
        <v>10</v>
      </c>
      <c r="B29" s="20" t="n">
        <v>0.156920600746335</v>
      </c>
      <c r="C29" s="20" t="n">
        <v>0.161246459959649</v>
      </c>
      <c r="D29" s="20" t="n">
        <v>0.156369614742321</v>
      </c>
      <c r="E29" s="20" t="n">
        <v>0.15457005373178</v>
      </c>
    </row>
  </sheetData>
  <mergeCells count="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22"/>
    <col collapsed="false" customWidth="true" hidden="false" outlineLevel="0" max="4" min="4" style="0" width="40"/>
  </cols>
  <sheetData>
    <row r="1" customFormat="false" ht="15" hidden="false" customHeight="false" outlineLevel="0" collapsed="false">
      <c r="A1" s="21" t="s">
        <v>102</v>
      </c>
    </row>
    <row r="3" customFormat="false" ht="15" hidden="false" customHeight="false" outlineLevel="0" collapsed="false">
      <c r="A3" s="1" t="s">
        <v>103</v>
      </c>
      <c r="B3" s="1" t="s">
        <v>87</v>
      </c>
      <c r="C3" s="1" t="s">
        <v>104</v>
      </c>
      <c r="D3" s="1" t="s">
        <v>105</v>
      </c>
      <c r="E3" s="1" t="s">
        <v>106</v>
      </c>
      <c r="F3" s="1" t="s">
        <v>107</v>
      </c>
      <c r="G3" s="1" t="s">
        <v>108</v>
      </c>
      <c r="H3" s="1" t="s">
        <v>109</v>
      </c>
      <c r="I3" s="1" t="s">
        <v>110</v>
      </c>
    </row>
    <row r="4" customFormat="false" ht="15" hidden="false" customHeight="false" outlineLevel="0" collapsed="false">
      <c r="A4" s="7" t="s">
        <v>111</v>
      </c>
      <c r="B4" s="7" t="s">
        <v>112</v>
      </c>
      <c r="C4" s="7" t="s">
        <v>113</v>
      </c>
      <c r="D4" s="7" t="s">
        <v>114</v>
      </c>
      <c r="E4" s="22" t="n">
        <v>-0.615830746289678</v>
      </c>
      <c r="F4" s="22" t="n">
        <v>0.174662824992917</v>
      </c>
      <c r="G4" s="23" t="n">
        <v>19</v>
      </c>
      <c r="H4" s="24" t="n">
        <f aca="false">IF(F4&gt;0,E4/F4,"")</f>
        <v>-3.52582609559103</v>
      </c>
      <c r="I4" s="24" t="n">
        <f aca="false">IF(H4="","",TDIST(ABS(H4),G4-1,2))</f>
        <v>0.00241420206498876</v>
      </c>
    </row>
    <row r="5" customFormat="false" ht="15" hidden="false" customHeight="false" outlineLevel="0" collapsed="false">
      <c r="A5" s="7" t="s">
        <v>111</v>
      </c>
      <c r="B5" s="7" t="s">
        <v>112</v>
      </c>
      <c r="C5" s="7" t="s">
        <v>113</v>
      </c>
      <c r="D5" s="7" t="s">
        <v>115</v>
      </c>
      <c r="E5" s="22" t="n">
        <v>-0.315551182172722</v>
      </c>
      <c r="F5" s="22" t="n">
        <v>0.253824791281937</v>
      </c>
      <c r="G5" s="23" t="n">
        <v>19</v>
      </c>
      <c r="H5" s="24" t="n">
        <f aca="false">IF(F5&gt;0,E5/F5,"")</f>
        <v>-1.2431850355477</v>
      </c>
      <c r="I5" s="24" t="n">
        <f aca="false">IF(H5="","",TDIST(ABS(H5),G5-1,2))</f>
        <v>0.229749621278642</v>
      </c>
    </row>
    <row r="6" customFormat="false" ht="15" hidden="false" customHeight="false" outlineLevel="0" collapsed="false">
      <c r="A6" s="7" t="s">
        <v>111</v>
      </c>
      <c r="B6" s="7" t="s">
        <v>112</v>
      </c>
      <c r="C6" s="7" t="s">
        <v>116</v>
      </c>
      <c r="D6" s="7" t="s">
        <v>114</v>
      </c>
      <c r="E6" s="22" t="n">
        <v>-0.397668917736177</v>
      </c>
      <c r="F6" s="22" t="n">
        <v>0.149453372878099</v>
      </c>
      <c r="G6" s="23" t="n">
        <v>19</v>
      </c>
      <c r="H6" s="24" t="n">
        <f aca="false">IF(F6&gt;0,E6/F6,"")</f>
        <v>-2.66082263704102</v>
      </c>
      <c r="I6" s="24" t="n">
        <f aca="false">IF(H6="","",TDIST(ABS(H6),G6-1,2))</f>
        <v>0.015920355692464</v>
      </c>
    </row>
    <row r="7" customFormat="false" ht="15" hidden="false" customHeight="false" outlineLevel="0" collapsed="false">
      <c r="A7" s="7" t="s">
        <v>111</v>
      </c>
      <c r="B7" s="7" t="s">
        <v>112</v>
      </c>
      <c r="C7" s="7" t="s">
        <v>116</v>
      </c>
      <c r="D7" s="7" t="s">
        <v>115</v>
      </c>
      <c r="E7" s="22" t="n">
        <v>-0.300309950400021</v>
      </c>
      <c r="F7" s="22" t="n">
        <v>0.167535075383342</v>
      </c>
      <c r="G7" s="23" t="n">
        <v>19</v>
      </c>
      <c r="H7" s="24" t="n">
        <f aca="false">IF(F7&gt;0,E7/F7,"")</f>
        <v>-1.79251986315625</v>
      </c>
      <c r="I7" s="24" t="n">
        <f aca="false">IF(H7="","",TDIST(ABS(H7),G7-1,2))</f>
        <v>0.0898733422015</v>
      </c>
    </row>
    <row r="8" customFormat="false" ht="15" hidden="false" customHeight="false" outlineLevel="0" collapsed="false">
      <c r="A8" s="7" t="s">
        <v>111</v>
      </c>
      <c r="B8" s="7" t="s">
        <v>112</v>
      </c>
      <c r="C8" s="7" t="s">
        <v>113</v>
      </c>
      <c r="D8" s="7" t="s">
        <v>117</v>
      </c>
      <c r="E8" s="22" t="n">
        <v>-0.300279564116956</v>
      </c>
      <c r="F8" s="22" t="n">
        <v>0.278333339586793</v>
      </c>
      <c r="G8" s="23" t="n">
        <v>19</v>
      </c>
      <c r="H8" s="24" t="n">
        <f aca="false">IF(F8&gt;0,E8/F8,"")</f>
        <v>-1.07884870911528</v>
      </c>
      <c r="I8" s="24" t="n">
        <f aca="false">IF(H8="","",TDIST(ABS(H8),G8-1,2))</f>
        <v>0.294900593206157</v>
      </c>
    </row>
    <row r="9" customFormat="false" ht="15" hidden="false" customHeight="false" outlineLevel="0" collapsed="false">
      <c r="A9" s="7" t="s">
        <v>111</v>
      </c>
      <c r="B9" s="7" t="s">
        <v>112</v>
      </c>
      <c r="C9" s="7" t="s">
        <v>116</v>
      </c>
      <c r="D9" s="7" t="s">
        <v>117</v>
      </c>
      <c r="E9" s="22" t="n">
        <v>-0.0973589673361565</v>
      </c>
      <c r="F9" s="22" t="n">
        <v>0.213458076102528</v>
      </c>
      <c r="G9" s="23" t="n">
        <v>19</v>
      </c>
      <c r="H9" s="24" t="n">
        <f aca="false">IF(F9&gt;0,E9/F9,"")</f>
        <v>-0.456103461222021</v>
      </c>
      <c r="I9" s="24" t="n">
        <f aca="false">IF(H9="","",TDIST(ABS(H9),G9-1,2))</f>
        <v>0.653770580207377</v>
      </c>
    </row>
    <row r="10" customFormat="false" ht="15" hidden="false" customHeight="false" outlineLevel="0" collapsed="false">
      <c r="A10" s="7" t="s">
        <v>118</v>
      </c>
      <c r="B10" s="7" t="s">
        <v>112</v>
      </c>
      <c r="C10" s="7" t="s">
        <v>113</v>
      </c>
      <c r="D10" s="7" t="s">
        <v>119</v>
      </c>
      <c r="E10" s="22" t="n">
        <v>-0.680756660222042</v>
      </c>
      <c r="F10" s="22" t="n">
        <v>0.293769126451373</v>
      </c>
      <c r="G10" s="23" t="n">
        <v>19</v>
      </c>
      <c r="H10" s="24" t="n">
        <f aca="false">IF(F10&gt;0,E10/F10,"")</f>
        <v>-2.31731859792532</v>
      </c>
      <c r="I10" s="24" t="n">
        <f aca="false">IF(H10="","",TDIST(ABS(H10),G10-1,2))</f>
        <v>0.0324684181023569</v>
      </c>
    </row>
    <row r="11" customFormat="false" ht="15" hidden="false" customHeight="false" outlineLevel="0" collapsed="false">
      <c r="A11" s="7" t="s">
        <v>118</v>
      </c>
      <c r="B11" s="7" t="s">
        <v>112</v>
      </c>
      <c r="C11" s="7" t="s">
        <v>113</v>
      </c>
      <c r="D11" s="7" t="s">
        <v>120</v>
      </c>
      <c r="E11" s="22" t="n">
        <v>-0.46722161123582</v>
      </c>
      <c r="F11" s="22" t="n">
        <v>0.230137284741247</v>
      </c>
      <c r="G11" s="23" t="n">
        <v>19</v>
      </c>
      <c r="H11" s="24" t="n">
        <f aca="false">IF(F11&gt;0,E11/F11,"")</f>
        <v>-2.03018651133012</v>
      </c>
      <c r="I11" s="24" t="n">
        <f aca="false">IF(H11="","",TDIST(ABS(H11),G11-1,2))</f>
        <v>0.0573820156558536</v>
      </c>
    </row>
    <row r="12" customFormat="false" ht="15" hidden="false" customHeight="false" outlineLevel="0" collapsed="false">
      <c r="A12" s="7" t="s">
        <v>118</v>
      </c>
      <c r="B12" s="7" t="s">
        <v>112</v>
      </c>
      <c r="C12" s="7" t="s">
        <v>116</v>
      </c>
      <c r="D12" s="7" t="s">
        <v>119</v>
      </c>
      <c r="E12" s="22" t="n">
        <v>-0.482254784843609</v>
      </c>
      <c r="F12" s="22" t="n">
        <v>0.222935595452754</v>
      </c>
      <c r="G12" s="23" t="n">
        <v>19</v>
      </c>
      <c r="H12" s="24" t="n">
        <f aca="false">IF(F12&gt;0,E12/F12,"")</f>
        <v>-2.16320226415261</v>
      </c>
      <c r="I12" s="24" t="n">
        <f aca="false">IF(H12="","",TDIST(ABS(H12),G12-1,2))</f>
        <v>0.0442265137863351</v>
      </c>
    </row>
    <row r="13" customFormat="false" ht="15" hidden="false" customHeight="false" outlineLevel="0" collapsed="false">
      <c r="A13" s="7" t="s">
        <v>118</v>
      </c>
      <c r="B13" s="7" t="s">
        <v>112</v>
      </c>
      <c r="C13" s="7" t="s">
        <v>116</v>
      </c>
      <c r="D13" s="7" t="s">
        <v>120</v>
      </c>
      <c r="E13" s="22" t="n">
        <v>-0.472730222836808</v>
      </c>
      <c r="F13" s="22" t="n">
        <v>0.289193646815462</v>
      </c>
      <c r="G13" s="23" t="n">
        <v>19</v>
      </c>
      <c r="H13" s="24" t="n">
        <f aca="false">IF(F13&gt;0,E13/F13,"")</f>
        <v>-1.63464940548457</v>
      </c>
      <c r="I13" s="24" t="n">
        <f aca="false">IF(H13="","",TDIST(ABS(H13),G13-1,2))</f>
        <v>0.119489734396856</v>
      </c>
    </row>
    <row r="14" customFormat="false" ht="15" hidden="false" customHeight="false" outlineLevel="0" collapsed="false">
      <c r="A14" s="7" t="s">
        <v>118</v>
      </c>
      <c r="B14" s="7" t="s">
        <v>112</v>
      </c>
      <c r="C14" s="7" t="s">
        <v>113</v>
      </c>
      <c r="D14" s="7" t="s">
        <v>117</v>
      </c>
      <c r="E14" s="22" t="n">
        <v>-0.213535048986223</v>
      </c>
      <c r="F14" s="22" t="n">
        <v>0.401473312350207</v>
      </c>
      <c r="G14" s="23" t="n">
        <v>19</v>
      </c>
      <c r="H14" s="24" t="n">
        <f aca="false">IF(F14&gt;0,E14/F14,"")</f>
        <v>-0.531878564321493</v>
      </c>
      <c r="I14" s="24" t="n">
        <f aca="false">IF(H14="","",TDIST(ABS(H14),G14-1,2))</f>
        <v>0.601313746468471</v>
      </c>
    </row>
    <row r="15" customFormat="false" ht="15" hidden="false" customHeight="false" outlineLevel="0" collapsed="false">
      <c r="A15" s="7" t="s">
        <v>118</v>
      </c>
      <c r="B15" s="7" t="s">
        <v>112</v>
      </c>
      <c r="C15" s="7" t="s">
        <v>116</v>
      </c>
      <c r="D15" s="7" t="s">
        <v>117</v>
      </c>
      <c r="E15" s="22" t="n">
        <v>-0.00952456200680107</v>
      </c>
      <c r="F15" s="22" t="n">
        <v>0.36077544555333</v>
      </c>
      <c r="G15" s="23" t="n">
        <v>19</v>
      </c>
      <c r="H15" s="24" t="n">
        <f aca="false">IF(F15&gt;0,E15/F15,"")</f>
        <v>-0.02640025013951</v>
      </c>
      <c r="I15" s="24" t="n">
        <f aca="false">IF(H15="","",TDIST(ABS(H15),G15-1,2))</f>
        <v>0.979228585188274</v>
      </c>
    </row>
    <row r="16" customFormat="false" ht="15" hidden="false" customHeight="false" outlineLevel="0" collapsed="false">
      <c r="A16" s="7" t="s">
        <v>121</v>
      </c>
      <c r="B16" s="7" t="s">
        <v>112</v>
      </c>
      <c r="C16" s="7" t="s">
        <v>113</v>
      </c>
      <c r="D16" s="7" t="s">
        <v>122</v>
      </c>
      <c r="E16" s="22" t="n">
        <v>-0.253907471598457</v>
      </c>
      <c r="F16" s="22" t="n">
        <v>0.219047025200785</v>
      </c>
      <c r="G16" s="23" t="n">
        <v>19</v>
      </c>
      <c r="H16" s="24" t="n">
        <f aca="false">IF(F16&gt;0,E16/F16,"")</f>
        <v>-1.1591459476143</v>
      </c>
      <c r="I16" s="24" t="n">
        <f aca="false">IF(H16="","",TDIST(ABS(H16),G16-1,2))</f>
        <v>0.261543441922252</v>
      </c>
    </row>
    <row r="17" customFormat="false" ht="15" hidden="false" customHeight="false" outlineLevel="0" collapsed="false">
      <c r="A17" s="7" t="s">
        <v>121</v>
      </c>
      <c r="B17" s="7" t="s">
        <v>112</v>
      </c>
      <c r="C17" s="7" t="s">
        <v>113</v>
      </c>
      <c r="D17" s="7" t="s">
        <v>123</v>
      </c>
      <c r="E17" s="22" t="n">
        <v>-0.491948529311925</v>
      </c>
      <c r="F17" s="22" t="n">
        <v>0.336184423301976</v>
      </c>
      <c r="G17" s="23" t="n">
        <v>19</v>
      </c>
      <c r="H17" s="24" t="n">
        <f aca="false">IF(F17&gt;0,E17/F17,"")</f>
        <v>-1.46332933715384</v>
      </c>
      <c r="I17" s="24" t="n">
        <f aca="false">IF(H17="","",TDIST(ABS(H17),G17-1,2))</f>
        <v>0.160621290125301</v>
      </c>
    </row>
    <row r="18" customFormat="false" ht="15" hidden="false" customHeight="false" outlineLevel="0" collapsed="false">
      <c r="A18" s="7" t="s">
        <v>121</v>
      </c>
      <c r="B18" s="7" t="s">
        <v>112</v>
      </c>
      <c r="C18" s="7" t="s">
        <v>116</v>
      </c>
      <c r="D18" s="7" t="s">
        <v>122</v>
      </c>
      <c r="E18" s="22" t="n">
        <v>-0.0228599996321811</v>
      </c>
      <c r="F18" s="22" t="n">
        <v>0.188245604396794</v>
      </c>
      <c r="G18" s="23" t="n">
        <v>19</v>
      </c>
      <c r="H18" s="24" t="n">
        <f aca="false">IF(F18&gt;0,E18/F18,"")</f>
        <v>-0.121437096528403</v>
      </c>
      <c r="I18" s="24" t="n">
        <f aca="false">IF(H18="","",TDIST(ABS(H18),G18-1,2))</f>
        <v>0.904690238571898</v>
      </c>
    </row>
    <row r="19" customFormat="false" ht="15" hidden="false" customHeight="false" outlineLevel="0" collapsed="false">
      <c r="A19" s="7" t="s">
        <v>121</v>
      </c>
      <c r="B19" s="7" t="s">
        <v>112</v>
      </c>
      <c r="C19" s="7" t="s">
        <v>116</v>
      </c>
      <c r="D19" s="7" t="s">
        <v>123</v>
      </c>
      <c r="E19" s="22" t="n">
        <v>-0.946642196879963</v>
      </c>
      <c r="F19" s="22" t="n">
        <v>0.454474858272155</v>
      </c>
      <c r="G19" s="23" t="n">
        <v>19</v>
      </c>
      <c r="H19" s="24" t="n">
        <f aca="false">IF(F19&gt;0,E19/F19,"")</f>
        <v>-2.08293633773044</v>
      </c>
      <c r="I19" s="24" t="n">
        <f aca="false">IF(H19="","",TDIST(ABS(H19),G19-1,2))</f>
        <v>0.0517905180288919</v>
      </c>
    </row>
    <row r="20" customFormat="false" ht="15" hidden="false" customHeight="false" outlineLevel="0" collapsed="false">
      <c r="A20" s="7" t="s">
        <v>121</v>
      </c>
      <c r="B20" s="7" t="s">
        <v>112</v>
      </c>
      <c r="C20" s="7" t="s">
        <v>113</v>
      </c>
      <c r="D20" s="7" t="s">
        <v>117</v>
      </c>
      <c r="E20" s="22" t="n">
        <v>0.238041057713468</v>
      </c>
      <c r="F20" s="22" t="n">
        <v>0.392780287702535</v>
      </c>
      <c r="G20" s="23" t="n">
        <v>19</v>
      </c>
      <c r="H20" s="24" t="n">
        <f aca="false">IF(F20&gt;0,E20/F20,"")</f>
        <v>0.606041253001332</v>
      </c>
      <c r="I20" s="24" t="n">
        <f aca="false">IF(H20="","",TDIST(ABS(H20),G20-1,2))</f>
        <v>0.552054015775866</v>
      </c>
    </row>
    <row r="21" customFormat="false" ht="15" hidden="false" customHeight="false" outlineLevel="0" collapsed="false">
      <c r="A21" s="7" t="s">
        <v>121</v>
      </c>
      <c r="B21" s="7" t="s">
        <v>112</v>
      </c>
      <c r="C21" s="7" t="s">
        <v>116</v>
      </c>
      <c r="D21" s="7" t="s">
        <v>117</v>
      </c>
      <c r="E21" s="22" t="n">
        <v>0.923782197247782</v>
      </c>
      <c r="F21" s="22" t="n">
        <v>0.463559022830577</v>
      </c>
      <c r="G21" s="23" t="n">
        <v>19</v>
      </c>
      <c r="H21" s="24" t="n">
        <f aca="false">IF(F21&gt;0,E21/F21,"")</f>
        <v>1.99280383241598</v>
      </c>
      <c r="I21" s="24" t="n">
        <f aca="false">IF(H21="","",TDIST(ABS(H21),G21-1,2))</f>
        <v>0.0616682751193709</v>
      </c>
    </row>
    <row r="22" customFormat="false" ht="15" hidden="false" customHeight="false" outlineLevel="0" collapsed="false">
      <c r="A22" s="7" t="s">
        <v>124</v>
      </c>
      <c r="B22" s="7" t="s">
        <v>112</v>
      </c>
      <c r="C22" s="7" t="s">
        <v>113</v>
      </c>
      <c r="D22" s="7" t="s">
        <v>125</v>
      </c>
      <c r="E22" s="22" t="n">
        <v>-0.985666744209302</v>
      </c>
      <c r="F22" s="22" t="n">
        <v>0.340145594098413</v>
      </c>
      <c r="G22" s="23" t="n">
        <v>19</v>
      </c>
      <c r="H22" s="24" t="n">
        <f aca="false">IF(F22&gt;0,E22/F22,"")</f>
        <v>-2.89777895498515</v>
      </c>
      <c r="I22" s="24" t="n">
        <f aca="false">IF(H22="","",TDIST(ABS(H22),G22-1,2))</f>
        <v>0.00959128953545229</v>
      </c>
    </row>
    <row r="23" customFormat="false" ht="15" hidden="false" customHeight="false" outlineLevel="0" collapsed="false">
      <c r="A23" s="7" t="s">
        <v>124</v>
      </c>
      <c r="B23" s="7" t="s">
        <v>112</v>
      </c>
      <c r="C23" s="7" t="s">
        <v>113</v>
      </c>
      <c r="D23" s="7" t="s">
        <v>126</v>
      </c>
      <c r="E23" s="22" t="n">
        <v>-0.133888114995184</v>
      </c>
      <c r="F23" s="22" t="n">
        <v>0.209545482901237</v>
      </c>
      <c r="G23" s="23" t="n">
        <v>19</v>
      </c>
      <c r="H23" s="24" t="n">
        <f aca="false">IF(F23&gt;0,E23/F23,"")</f>
        <v>-0.638945364707708</v>
      </c>
      <c r="I23" s="24" t="n">
        <f aca="false">IF(H23="","",TDIST(ABS(H23),G23-1,2))</f>
        <v>0.530905790809299</v>
      </c>
    </row>
    <row r="24" customFormat="false" ht="15" hidden="false" customHeight="false" outlineLevel="0" collapsed="false">
      <c r="A24" s="7" t="s">
        <v>124</v>
      </c>
      <c r="B24" s="7" t="s">
        <v>112</v>
      </c>
      <c r="C24" s="7" t="s">
        <v>116</v>
      </c>
      <c r="D24" s="7" t="s">
        <v>125</v>
      </c>
      <c r="E24" s="22" t="n">
        <v>-0.688058399936832</v>
      </c>
      <c r="F24" s="22" t="n">
        <v>0.361257802786692</v>
      </c>
      <c r="G24" s="23" t="n">
        <v>19</v>
      </c>
      <c r="H24" s="24" t="n">
        <f aca="false">IF(F24&gt;0,E24/F24,"")</f>
        <v>-1.9046187919797</v>
      </c>
      <c r="I24" s="24" t="n">
        <f aca="false">IF(H24="","",TDIST(ABS(H24),G24-1,2))</f>
        <v>0.0729366686386981</v>
      </c>
    </row>
    <row r="25" customFormat="false" ht="15" hidden="false" customHeight="false" outlineLevel="0" collapsed="false">
      <c r="A25" s="7" t="s">
        <v>124</v>
      </c>
      <c r="B25" s="7" t="s">
        <v>112</v>
      </c>
      <c r="C25" s="7" t="s">
        <v>116</v>
      </c>
      <c r="D25" s="7" t="s">
        <v>126</v>
      </c>
      <c r="E25" s="22" t="n">
        <v>-0.237051305650892</v>
      </c>
      <c r="F25" s="22" t="n">
        <v>0.116255433243915</v>
      </c>
      <c r="G25" s="23" t="n">
        <v>19</v>
      </c>
      <c r="H25" s="24" t="n">
        <f aca="false">IF(F25&gt;0,E25/F25,"")</f>
        <v>-2.0390557158179</v>
      </c>
      <c r="I25" s="24" t="n">
        <f aca="false">IF(H25="","",TDIST(ABS(H25),G25-1,2))</f>
        <v>0.0564053182618632</v>
      </c>
    </row>
    <row r="26" customFormat="false" ht="15" hidden="false" customHeight="false" outlineLevel="0" collapsed="false">
      <c r="A26" s="7" t="s">
        <v>124</v>
      </c>
      <c r="B26" s="7" t="s">
        <v>112</v>
      </c>
      <c r="C26" s="7" t="s">
        <v>113</v>
      </c>
      <c r="D26" s="7" t="s">
        <v>117</v>
      </c>
      <c r="E26" s="22" t="n">
        <v>0.851778629214118</v>
      </c>
      <c r="F26" s="22" t="n">
        <v>0.48796220418012</v>
      </c>
      <c r="G26" s="23" t="n">
        <v>19</v>
      </c>
      <c r="H26" s="24" t="n">
        <f aca="false">IF(F26&gt;0,E26/F26,"")</f>
        <v>1.74558320689056</v>
      </c>
      <c r="I26" s="24" t="n">
        <f aca="false">IF(H26="","",TDIST(ABS(H26),G26-1,2))</f>
        <v>0.0979295714828382</v>
      </c>
    </row>
    <row r="27" customFormat="false" ht="15" hidden="false" customHeight="false" outlineLevel="0" collapsed="false">
      <c r="A27" s="7" t="s">
        <v>124</v>
      </c>
      <c r="B27" s="7" t="s">
        <v>112</v>
      </c>
      <c r="C27" s="7" t="s">
        <v>116</v>
      </c>
      <c r="D27" s="7" t="s">
        <v>117</v>
      </c>
      <c r="E27" s="22" t="n">
        <v>0.45100709428594</v>
      </c>
      <c r="F27" s="22" t="n">
        <v>0.418025207696086</v>
      </c>
      <c r="G27" s="23" t="n">
        <v>19</v>
      </c>
      <c r="H27" s="24" t="n">
        <f aca="false">IF(F27&gt;0,E27/F27,"")</f>
        <v>1.07889927684417</v>
      </c>
      <c r="I27" s="24" t="n">
        <f aca="false">IF(H27="","",TDIST(ABS(H27),G27-1,2))</f>
        <v>0.294878651942014</v>
      </c>
    </row>
    <row r="28" customFormat="false" ht="15" hidden="false" customHeight="false" outlineLevel="0" collapsed="false">
      <c r="A28" s="7" t="s">
        <v>127</v>
      </c>
      <c r="B28" s="7" t="s">
        <v>112</v>
      </c>
      <c r="C28" s="7" t="s">
        <v>113</v>
      </c>
      <c r="D28" s="7" t="s">
        <v>128</v>
      </c>
      <c r="E28" s="22" t="n">
        <v>-0.779958050501983</v>
      </c>
      <c r="F28" s="22" t="n">
        <v>0.24020121385437</v>
      </c>
      <c r="G28" s="23" t="n">
        <v>84</v>
      </c>
      <c r="H28" s="24" t="n">
        <f aca="false">IF(F28&gt;0,E28/F28,"")</f>
        <v>-3.24710286840957</v>
      </c>
      <c r="I28" s="24" t="n">
        <f aca="false">IF(H28="","",TDIST(ABS(H28),G28-1,2))</f>
        <v>0.00168290254376805</v>
      </c>
    </row>
    <row r="29" customFormat="false" ht="15" hidden="false" customHeight="false" outlineLevel="0" collapsed="false">
      <c r="A29" s="7" t="s">
        <v>127</v>
      </c>
      <c r="B29" s="7" t="s">
        <v>112</v>
      </c>
      <c r="C29" s="7" t="s">
        <v>113</v>
      </c>
      <c r="D29" s="7" t="s">
        <v>129</v>
      </c>
      <c r="E29" s="22" t="n">
        <v>0.184433367188141</v>
      </c>
      <c r="F29" s="22" t="n">
        <v>0.240811559481922</v>
      </c>
      <c r="G29" s="23" t="n">
        <v>84</v>
      </c>
      <c r="H29" s="24" t="n">
        <f aca="false">IF(F29&gt;0,E29/F29,"")</f>
        <v>0.765882533151348</v>
      </c>
      <c r="I29" s="24" t="n">
        <f aca="false">IF(H29="","",TDIST(ABS(H29),G29-1,2))</f>
        <v>0.445918810555083</v>
      </c>
    </row>
    <row r="30" customFormat="false" ht="15" hidden="false" customHeight="false" outlineLevel="0" collapsed="false">
      <c r="A30" s="7" t="s">
        <v>127</v>
      </c>
      <c r="B30" s="7" t="s">
        <v>112</v>
      </c>
      <c r="C30" s="7" t="s">
        <v>116</v>
      </c>
      <c r="D30" s="7" t="s">
        <v>128</v>
      </c>
      <c r="E30" s="22" t="n">
        <v>-0.505615852694201</v>
      </c>
      <c r="F30" s="22" t="n">
        <v>0.232444986644971</v>
      </c>
      <c r="G30" s="23" t="n">
        <v>63</v>
      </c>
      <c r="H30" s="24" t="n">
        <f aca="false">IF(F30&gt;0,E30/F30,"")</f>
        <v>-2.17520652947642</v>
      </c>
      <c r="I30" s="24" t="n">
        <f aca="false">IF(H30="","",TDIST(ABS(H30),G30-1,2))</f>
        <v>0.0334367937125053</v>
      </c>
    </row>
    <row r="31" customFormat="false" ht="15" hidden="false" customHeight="false" outlineLevel="0" collapsed="false">
      <c r="A31" s="7" t="s">
        <v>127</v>
      </c>
      <c r="B31" s="7" t="s">
        <v>112</v>
      </c>
      <c r="C31" s="7" t="s">
        <v>116</v>
      </c>
      <c r="D31" s="7" t="s">
        <v>129</v>
      </c>
      <c r="E31" s="22" t="n">
        <v>-0.186884476118109</v>
      </c>
      <c r="F31" s="22" t="n">
        <v>0.187074277517654</v>
      </c>
      <c r="G31" s="23" t="n">
        <v>63</v>
      </c>
      <c r="H31" s="24" t="n">
        <f aca="false">IF(F31&gt;0,E31/F31,"")</f>
        <v>-0.998985422250116</v>
      </c>
      <c r="I31" s="24" t="n">
        <f aca="false">IF(H31="","",TDIST(ABS(H31),G31-1,2))</f>
        <v>0.32168479261001</v>
      </c>
    </row>
    <row r="32" customFormat="false" ht="15" hidden="false" customHeight="false" outlineLevel="0" collapsed="false">
      <c r="A32" s="7" t="s">
        <v>127</v>
      </c>
      <c r="B32" s="7" t="s">
        <v>112</v>
      </c>
      <c r="C32" s="7" t="s">
        <v>113</v>
      </c>
      <c r="D32" s="7" t="s">
        <v>117</v>
      </c>
      <c r="E32" s="22" t="n">
        <v>0.964391417690124</v>
      </c>
      <c r="F32" s="22" t="n">
        <v>0.38716889053579</v>
      </c>
      <c r="G32" s="23" t="n">
        <v>84</v>
      </c>
      <c r="H32" s="24" t="n">
        <f aca="false">IF(F32&gt;0,E32/F32,"")</f>
        <v>2.49088044330095</v>
      </c>
      <c r="I32" s="24" t="n">
        <f aca="false">IF(H32="","",TDIST(ABS(H32),G32-1,2))</f>
        <v>0.0147355840531528</v>
      </c>
    </row>
    <row r="33" customFormat="false" ht="15" hidden="false" customHeight="false" outlineLevel="0" collapsed="false">
      <c r="A33" s="7" t="s">
        <v>127</v>
      </c>
      <c r="B33" s="7" t="s">
        <v>112</v>
      </c>
      <c r="C33" s="7" t="s">
        <v>116</v>
      </c>
      <c r="D33" s="7" t="s">
        <v>117</v>
      </c>
      <c r="E33" s="22" t="n">
        <v>0.318731376576092</v>
      </c>
      <c r="F33" s="22" t="n">
        <v>0.3414228571876</v>
      </c>
      <c r="G33" s="23" t="n">
        <v>63</v>
      </c>
      <c r="H33" s="24" t="n">
        <f aca="false">IF(F33&gt;0,E33/F33,"")</f>
        <v>0.933538484217416</v>
      </c>
      <c r="I33" s="24" t="n">
        <f aca="false">IF(H33="","",TDIST(ABS(H33),G33-1,2))</f>
        <v>0.354163526056266</v>
      </c>
    </row>
    <row r="34" customFormat="false" ht="15" hidden="false" customHeight="false" outlineLevel="0" collapsed="false">
      <c r="A34" s="7" t="s">
        <v>130</v>
      </c>
      <c r="B34" s="7" t="s">
        <v>112</v>
      </c>
      <c r="C34" s="7" t="s">
        <v>113</v>
      </c>
      <c r="D34" s="7" t="s">
        <v>131</v>
      </c>
      <c r="E34" s="22" t="n">
        <v>-1.24424501286855</v>
      </c>
      <c r="F34" s="22" t="n">
        <v>0.575845802190939</v>
      </c>
      <c r="G34" s="23" t="n">
        <v>19</v>
      </c>
      <c r="H34" s="24" t="n">
        <f aca="false">IF(F34&gt;0,E34/F34,"")</f>
        <v>-2.16072602793063</v>
      </c>
      <c r="I34" s="24" t="n">
        <f aca="false">IF(H34="","",TDIST(ABS(H34),G34-1,2))</f>
        <v>0.044443913478344</v>
      </c>
    </row>
    <row r="35" customFormat="false" ht="15" hidden="false" customHeight="false" outlineLevel="0" collapsed="false">
      <c r="A35" s="7" t="s">
        <v>130</v>
      </c>
      <c r="B35" s="7" t="s">
        <v>112</v>
      </c>
      <c r="C35" s="7" t="s">
        <v>113</v>
      </c>
      <c r="D35" s="7" t="s">
        <v>132</v>
      </c>
      <c r="E35" s="22" t="n">
        <v>-0.451627436310656</v>
      </c>
      <c r="F35" s="22" t="n">
        <v>0.245154923525425</v>
      </c>
      <c r="G35" s="23" t="n">
        <v>19</v>
      </c>
      <c r="H35" s="24" t="n">
        <f aca="false">IF(F35&gt;0,E35/F35,"")</f>
        <v>-1.84221238478948</v>
      </c>
      <c r="I35" s="24" t="n">
        <f aca="false">IF(H35="","",TDIST(ABS(H35),G35-1,2))</f>
        <v>0.0819805866448274</v>
      </c>
    </row>
    <row r="36" customFormat="false" ht="15" hidden="false" customHeight="false" outlineLevel="0" collapsed="false">
      <c r="A36" s="7" t="s">
        <v>130</v>
      </c>
      <c r="B36" s="7" t="s">
        <v>112</v>
      </c>
      <c r="C36" s="7" t="s">
        <v>116</v>
      </c>
      <c r="D36" s="7" t="s">
        <v>131</v>
      </c>
      <c r="E36" s="22" t="n">
        <v>-1.16652046690695</v>
      </c>
      <c r="F36" s="22" t="n">
        <v>0.238618019501184</v>
      </c>
      <c r="G36" s="23" t="n">
        <v>19</v>
      </c>
      <c r="H36" s="24" t="n">
        <f aca="false">IF(F36&gt;0,E36/F36,"")</f>
        <v>-4.88865203619361</v>
      </c>
      <c r="I36" s="24" t="n">
        <f aca="false">IF(H36="","",TDIST(ABS(H36),G36-1,2))</f>
        <v>0.000118210915410033</v>
      </c>
    </row>
    <row r="37" customFormat="false" ht="15" hidden="false" customHeight="false" outlineLevel="0" collapsed="false">
      <c r="A37" s="7" t="s">
        <v>130</v>
      </c>
      <c r="B37" s="7" t="s">
        <v>112</v>
      </c>
      <c r="C37" s="7" t="s">
        <v>116</v>
      </c>
      <c r="D37" s="7" t="s">
        <v>132</v>
      </c>
      <c r="E37" s="22" t="n">
        <v>-0.288152912803416</v>
      </c>
      <c r="F37" s="22" t="n">
        <v>0.23427774416816</v>
      </c>
      <c r="G37" s="23" t="n">
        <v>19</v>
      </c>
      <c r="H37" s="24" t="n">
        <f aca="false">IF(F37&gt;0,E37/F37,"")</f>
        <v>-1.22996281113491</v>
      </c>
      <c r="I37" s="24" t="n">
        <f aca="false">IF(H37="","",TDIST(ABS(H37),G37-1,2))</f>
        <v>0.234544992463091</v>
      </c>
    </row>
    <row r="38" customFormat="false" ht="15" hidden="false" customHeight="false" outlineLevel="0" collapsed="false">
      <c r="A38" s="7" t="s">
        <v>130</v>
      </c>
      <c r="B38" s="7" t="s">
        <v>112</v>
      </c>
      <c r="C38" s="7" t="s">
        <v>113</v>
      </c>
      <c r="D38" s="7" t="s">
        <v>117</v>
      </c>
      <c r="E38" s="22" t="n">
        <v>-0.792617576557897</v>
      </c>
      <c r="F38" s="22" t="n">
        <v>0.764899285188773</v>
      </c>
      <c r="G38" s="23" t="n">
        <v>19</v>
      </c>
      <c r="H38" s="24" t="n">
        <f aca="false">IF(F38&gt;0,E38/F38,"")</f>
        <v>-1.03623783144507</v>
      </c>
      <c r="I38" s="24" t="n">
        <f aca="false">IF(H38="","",TDIST(ABS(H38),G38-1,2))</f>
        <v>0.313812653172669</v>
      </c>
    </row>
    <row r="39" customFormat="false" ht="15" hidden="false" customHeight="false" outlineLevel="0" collapsed="false">
      <c r="A39" s="7" t="s">
        <v>130</v>
      </c>
      <c r="B39" s="7" t="s">
        <v>112</v>
      </c>
      <c r="C39" s="7" t="s">
        <v>116</v>
      </c>
      <c r="D39" s="7" t="s">
        <v>117</v>
      </c>
      <c r="E39" s="22" t="n">
        <v>-0.878367554103534</v>
      </c>
      <c r="F39" s="22" t="n">
        <v>0.416785784235664</v>
      </c>
      <c r="G39" s="23" t="n">
        <v>19</v>
      </c>
      <c r="H39" s="24" t="n">
        <f aca="false">IF(F39&gt;0,E39/F39,"")</f>
        <v>-2.10747963900534</v>
      </c>
      <c r="I39" s="24" t="n">
        <f aca="false">IF(H39="","",TDIST(ABS(H39),G39-1,2))</f>
        <v>0.0493612967483004</v>
      </c>
    </row>
    <row r="40" customFormat="false" ht="15" hidden="false" customHeight="false" outlineLevel="0" collapsed="false">
      <c r="A40" s="7" t="s">
        <v>133</v>
      </c>
      <c r="B40" s="7" t="s">
        <v>112</v>
      </c>
      <c r="C40" s="7" t="s">
        <v>113</v>
      </c>
      <c r="D40" s="7" t="s">
        <v>134</v>
      </c>
      <c r="E40" s="22" t="n">
        <v>-1.46809709511341</v>
      </c>
      <c r="F40" s="22" t="n">
        <v>0.300401866556577</v>
      </c>
      <c r="G40" s="23" t="n">
        <v>19</v>
      </c>
      <c r="H40" s="24" t="n">
        <f aca="false">IF(F40&gt;0,E40/F40,"")</f>
        <v>-4.8871104295782</v>
      </c>
      <c r="I40" s="24" t="n">
        <f aca="false">IF(H40="","",TDIST(ABS(H40),G40-1,2))</f>
        <v>0.000118607914246289</v>
      </c>
    </row>
    <row r="41" customFormat="false" ht="15" hidden="false" customHeight="false" outlineLevel="0" collapsed="false">
      <c r="A41" s="7" t="s">
        <v>133</v>
      </c>
      <c r="B41" s="7" t="s">
        <v>112</v>
      </c>
      <c r="C41" s="7" t="s">
        <v>113</v>
      </c>
      <c r="D41" s="7" t="s">
        <v>135</v>
      </c>
      <c r="E41" s="22" t="n">
        <v>-0.384238991348932</v>
      </c>
      <c r="F41" s="22" t="n">
        <v>0.16491732555204</v>
      </c>
      <c r="G41" s="23" t="n">
        <v>19</v>
      </c>
      <c r="H41" s="24" t="n">
        <f aca="false">IF(F41&gt;0,E41/F41,"")</f>
        <v>-2.32988856727297</v>
      </c>
      <c r="I41" s="24" t="n">
        <f aca="false">IF(H41="","",TDIST(ABS(H41),G41-1,2))</f>
        <v>0.0316500563073013</v>
      </c>
    </row>
    <row r="42" customFormat="false" ht="15" hidden="false" customHeight="false" outlineLevel="0" collapsed="false">
      <c r="A42" s="7" t="s">
        <v>133</v>
      </c>
      <c r="B42" s="7" t="s">
        <v>112</v>
      </c>
      <c r="C42" s="7" t="s">
        <v>116</v>
      </c>
      <c r="D42" s="7" t="s">
        <v>134</v>
      </c>
      <c r="E42" s="22" t="n">
        <v>-1.45902457697974</v>
      </c>
      <c r="F42" s="22" t="n">
        <v>0.492893849203096</v>
      </c>
      <c r="G42" s="23" t="n">
        <v>19</v>
      </c>
      <c r="H42" s="24" t="n">
        <f aca="false">IF(F42&gt;0,E42/F42,"")</f>
        <v>-2.96011926165983</v>
      </c>
      <c r="I42" s="24" t="n">
        <f aca="false">IF(H42="","",TDIST(ABS(H42),G42-1,2))</f>
        <v>0.00838074075226884</v>
      </c>
    </row>
    <row r="43" customFormat="false" ht="15" hidden="false" customHeight="false" outlineLevel="0" collapsed="false">
      <c r="A43" s="7" t="s">
        <v>133</v>
      </c>
      <c r="B43" s="7" t="s">
        <v>112</v>
      </c>
      <c r="C43" s="7" t="s">
        <v>116</v>
      </c>
      <c r="D43" s="7" t="s">
        <v>135</v>
      </c>
      <c r="E43" s="22" t="n">
        <v>-0.309437428767958</v>
      </c>
      <c r="F43" s="22" t="n">
        <v>0.193515269237135</v>
      </c>
      <c r="G43" s="23" t="n">
        <v>19</v>
      </c>
      <c r="H43" s="24" t="n">
        <f aca="false">IF(F43&gt;0,E43/F43,"")</f>
        <v>-1.59903365759098</v>
      </c>
      <c r="I43" s="24" t="n">
        <f aca="false">IF(H43="","",TDIST(ABS(H43),G43-1,2))</f>
        <v>0.12721832709042</v>
      </c>
    </row>
    <row r="44" customFormat="false" ht="15" hidden="false" customHeight="false" outlineLevel="0" collapsed="false">
      <c r="A44" s="7" t="s">
        <v>133</v>
      </c>
      <c r="B44" s="7" t="s">
        <v>112</v>
      </c>
      <c r="C44" s="7" t="s">
        <v>113</v>
      </c>
      <c r="D44" s="7" t="s">
        <v>117</v>
      </c>
      <c r="E44" s="22" t="n">
        <v>-1.08385810376448</v>
      </c>
      <c r="F44" s="22" t="n">
        <v>0.281376781756308</v>
      </c>
      <c r="G44" s="23" t="n">
        <v>19</v>
      </c>
      <c r="H44" s="24" t="n">
        <f aca="false">IF(F44&gt;0,E44/F44,"")</f>
        <v>-3.85198130776538</v>
      </c>
      <c r="I44" s="24" t="n">
        <f aca="false">IF(H44="","",TDIST(ABS(H44),G44-1,2))</f>
        <v>0.00116794456720266</v>
      </c>
    </row>
    <row r="45" customFormat="false" ht="15" hidden="false" customHeight="false" outlineLevel="0" collapsed="false">
      <c r="A45" s="7" t="s">
        <v>133</v>
      </c>
      <c r="B45" s="7" t="s">
        <v>112</v>
      </c>
      <c r="C45" s="7" t="s">
        <v>116</v>
      </c>
      <c r="D45" s="7" t="s">
        <v>117</v>
      </c>
      <c r="E45" s="22" t="n">
        <v>-1.14958714821178</v>
      </c>
      <c r="F45" s="22" t="n">
        <v>0.542764006263604</v>
      </c>
      <c r="G45" s="23" t="n">
        <v>19</v>
      </c>
      <c r="H45" s="24" t="n">
        <f aca="false">IF(F45&gt;0,E45/F45,"")</f>
        <v>-2.11802392005608</v>
      </c>
      <c r="I45" s="24" t="n">
        <f aca="false">IF(H45="","",TDIST(ABS(H45),G45-1,2))</f>
        <v>0.0483498418835488</v>
      </c>
    </row>
    <row r="46" customFormat="false" ht="15" hidden="false" customHeight="false" outlineLevel="0" collapsed="false">
      <c r="A46" s="7" t="s">
        <v>111</v>
      </c>
      <c r="B46" s="7" t="s">
        <v>44</v>
      </c>
      <c r="C46" s="7" t="s">
        <v>113</v>
      </c>
      <c r="D46" s="7" t="s">
        <v>136</v>
      </c>
      <c r="E46" s="22" t="n">
        <v>-0.615830746289678</v>
      </c>
      <c r="F46" s="22" t="n">
        <v>0.174662824992917</v>
      </c>
      <c r="G46" s="23" t="n">
        <v>19</v>
      </c>
      <c r="H46" s="24" t="n">
        <f aca="false">IF(F46&gt;0,E46/F46,"")</f>
        <v>-3.52582609559103</v>
      </c>
      <c r="I46" s="24" t="n">
        <f aca="false">IF(H46="","",TDIST(ABS(H46),G46-1,2))</f>
        <v>0.00241420206498876</v>
      </c>
    </row>
    <row r="47" customFormat="false" ht="15" hidden="false" customHeight="false" outlineLevel="0" collapsed="false">
      <c r="A47" s="7" t="s">
        <v>111</v>
      </c>
      <c r="B47" s="7" t="s">
        <v>44</v>
      </c>
      <c r="C47" s="7" t="s">
        <v>113</v>
      </c>
      <c r="D47" s="7" t="s">
        <v>137</v>
      </c>
      <c r="E47" s="22" t="n">
        <v>-0.315551182172722</v>
      </c>
      <c r="F47" s="22" t="n">
        <v>0.253824791281937</v>
      </c>
      <c r="G47" s="23" t="n">
        <v>19</v>
      </c>
      <c r="H47" s="24" t="n">
        <f aca="false">IF(F47&gt;0,E47/F47,"")</f>
        <v>-1.2431850355477</v>
      </c>
      <c r="I47" s="24" t="n">
        <f aca="false">IF(H47="","",TDIST(ABS(H47),G47-1,2))</f>
        <v>0.229749621278642</v>
      </c>
    </row>
    <row r="48" customFormat="false" ht="15" hidden="false" customHeight="false" outlineLevel="0" collapsed="false">
      <c r="A48" s="7" t="s">
        <v>111</v>
      </c>
      <c r="B48" s="7" t="s">
        <v>44</v>
      </c>
      <c r="C48" s="7" t="s">
        <v>113</v>
      </c>
      <c r="D48" s="7" t="s">
        <v>117</v>
      </c>
      <c r="E48" s="22" t="n">
        <v>-0.300279564116956</v>
      </c>
      <c r="F48" s="22" t="n">
        <v>0.278333339586793</v>
      </c>
      <c r="G48" s="23" t="n">
        <v>19</v>
      </c>
      <c r="H48" s="24" t="n">
        <f aca="false">IF(F48&gt;0,E48/F48,"")</f>
        <v>-1.07884870911528</v>
      </c>
      <c r="I48" s="24" t="n">
        <f aca="false">IF(H48="","",TDIST(ABS(H48),G48-1,2))</f>
        <v>0.294900593206157</v>
      </c>
    </row>
    <row r="49" customFormat="false" ht="15" hidden="false" customHeight="false" outlineLevel="0" collapsed="false">
      <c r="A49" s="7" t="s">
        <v>111</v>
      </c>
      <c r="B49" s="7" t="s">
        <v>44</v>
      </c>
      <c r="C49" s="7" t="s">
        <v>116</v>
      </c>
      <c r="D49" s="7" t="s">
        <v>136</v>
      </c>
      <c r="E49" s="22" t="n">
        <v>-0.397668917736177</v>
      </c>
      <c r="F49" s="22" t="n">
        <v>0.149453372878099</v>
      </c>
      <c r="G49" s="23" t="n">
        <v>19</v>
      </c>
      <c r="H49" s="24" t="n">
        <f aca="false">IF(F49&gt;0,E49/F49,"")</f>
        <v>-2.66082263704102</v>
      </c>
      <c r="I49" s="24" t="n">
        <f aca="false">IF(H49="","",TDIST(ABS(H49),G49-1,2))</f>
        <v>0.015920355692464</v>
      </c>
    </row>
    <row r="50" customFormat="false" ht="15" hidden="false" customHeight="false" outlineLevel="0" collapsed="false">
      <c r="A50" s="7" t="s">
        <v>111</v>
      </c>
      <c r="B50" s="7" t="s">
        <v>44</v>
      </c>
      <c r="C50" s="7" t="s">
        <v>116</v>
      </c>
      <c r="D50" s="7" t="s">
        <v>137</v>
      </c>
      <c r="E50" s="22" t="n">
        <v>-0.300309950400021</v>
      </c>
      <c r="F50" s="22" t="n">
        <v>0.167535075383342</v>
      </c>
      <c r="G50" s="23" t="n">
        <v>19</v>
      </c>
      <c r="H50" s="24" t="n">
        <f aca="false">IF(F50&gt;0,E50/F50,"")</f>
        <v>-1.79251986315625</v>
      </c>
      <c r="I50" s="24" t="n">
        <f aca="false">IF(H50="","",TDIST(ABS(H50),G50-1,2))</f>
        <v>0.0898733422015</v>
      </c>
    </row>
    <row r="51" customFormat="false" ht="15" hidden="false" customHeight="false" outlineLevel="0" collapsed="false">
      <c r="A51" s="7" t="s">
        <v>111</v>
      </c>
      <c r="B51" s="7" t="s">
        <v>44</v>
      </c>
      <c r="C51" s="7" t="s">
        <v>116</v>
      </c>
      <c r="D51" s="7" t="s">
        <v>117</v>
      </c>
      <c r="E51" s="22" t="n">
        <v>-0.0973589673361565</v>
      </c>
      <c r="F51" s="22" t="n">
        <v>0.213458076102528</v>
      </c>
      <c r="G51" s="23" t="n">
        <v>19</v>
      </c>
      <c r="H51" s="24" t="n">
        <f aca="false">IF(F51&gt;0,E51/F51,"")</f>
        <v>-0.456103461222021</v>
      </c>
      <c r="I51" s="24" t="n">
        <f aca="false">IF(H51="","",TDIST(ABS(H51),G51-1,2))</f>
        <v>0.653770580207377</v>
      </c>
    </row>
    <row r="52" customFormat="false" ht="15" hidden="false" customHeight="false" outlineLevel="0" collapsed="false">
      <c r="A52" s="7" t="s">
        <v>111</v>
      </c>
      <c r="B52" s="7" t="s">
        <v>45</v>
      </c>
      <c r="C52" s="7" t="s">
        <v>113</v>
      </c>
      <c r="D52" s="7" t="s">
        <v>136</v>
      </c>
      <c r="E52" s="22" t="n">
        <v>-0.580386477987524</v>
      </c>
      <c r="F52" s="22" t="n">
        <v>0.170839185112519</v>
      </c>
      <c r="G52" s="23" t="n">
        <v>19</v>
      </c>
      <c r="H52" s="24" t="n">
        <f aca="false">IF(F52&gt;0,E52/F52,"")</f>
        <v>-3.39726789029851</v>
      </c>
      <c r="I52" s="24" t="n">
        <f aca="false">IF(H52="","",TDIST(ABS(H52),G52-1,2))</f>
        <v>0.00321087809150045</v>
      </c>
    </row>
    <row r="53" customFormat="false" ht="15" hidden="false" customHeight="false" outlineLevel="0" collapsed="false">
      <c r="A53" s="7" t="s">
        <v>111</v>
      </c>
      <c r="B53" s="7" t="s">
        <v>45</v>
      </c>
      <c r="C53" s="7" t="s">
        <v>113</v>
      </c>
      <c r="D53" s="7" t="s">
        <v>137</v>
      </c>
      <c r="E53" s="22" t="n">
        <v>-0.299484255487176</v>
      </c>
      <c r="F53" s="22" t="n">
        <v>0.235717993446704</v>
      </c>
      <c r="G53" s="23" t="n">
        <v>19</v>
      </c>
      <c r="H53" s="24" t="n">
        <f aca="false">IF(F53&gt;0,E53/F53,"")</f>
        <v>-1.27051928072215</v>
      </c>
      <c r="I53" s="24" t="n">
        <f aca="false">IF(H53="","",TDIST(ABS(H53),G53-1,2))</f>
        <v>0.220076564553732</v>
      </c>
    </row>
    <row r="54" customFormat="false" ht="15" hidden="false" customHeight="false" outlineLevel="0" collapsed="false">
      <c r="A54" s="7" t="s">
        <v>111</v>
      </c>
      <c r="B54" s="7" t="s">
        <v>45</v>
      </c>
      <c r="C54" s="7" t="s">
        <v>113</v>
      </c>
      <c r="D54" s="7" t="s">
        <v>117</v>
      </c>
      <c r="E54" s="22" t="n">
        <v>-0.280902222500348</v>
      </c>
      <c r="F54" s="22" t="n">
        <v>0.284034827784827</v>
      </c>
      <c r="G54" s="23" t="n">
        <v>19</v>
      </c>
      <c r="H54" s="24" t="n">
        <f aca="false">IF(F54&gt;0,E54/F54,"")</f>
        <v>-0.988971052215992</v>
      </c>
      <c r="I54" s="24" t="n">
        <f aca="false">IF(H54="","",TDIST(ABS(H54),G54-1,2))</f>
        <v>0.33578605705336</v>
      </c>
    </row>
    <row r="55" customFormat="false" ht="15" hidden="false" customHeight="false" outlineLevel="0" collapsed="false">
      <c r="A55" s="7" t="s">
        <v>111</v>
      </c>
      <c r="B55" s="7" t="s">
        <v>45</v>
      </c>
      <c r="C55" s="7" t="s">
        <v>116</v>
      </c>
      <c r="D55" s="7" t="s">
        <v>136</v>
      </c>
      <c r="E55" s="22" t="n">
        <v>-0.36464693878891</v>
      </c>
      <c r="F55" s="22" t="n">
        <v>0.132539639081704</v>
      </c>
      <c r="G55" s="23" t="n">
        <v>19</v>
      </c>
      <c r="H55" s="24" t="n">
        <f aca="false">IF(F55&gt;0,E55/F55,"")</f>
        <v>-2.75122930253435</v>
      </c>
      <c r="I55" s="24" t="n">
        <f aca="false">IF(H55="","",TDIST(ABS(H55),G55-1,2))</f>
        <v>0.0131378361661906</v>
      </c>
    </row>
    <row r="56" customFormat="false" ht="15" hidden="false" customHeight="false" outlineLevel="0" collapsed="false">
      <c r="A56" s="7" t="s">
        <v>111</v>
      </c>
      <c r="B56" s="7" t="s">
        <v>45</v>
      </c>
      <c r="C56" s="7" t="s">
        <v>116</v>
      </c>
      <c r="D56" s="7" t="s">
        <v>137</v>
      </c>
      <c r="E56" s="22" t="n">
        <v>-0.267972711242731</v>
      </c>
      <c r="F56" s="22" t="n">
        <v>0.148278840537231</v>
      </c>
      <c r="G56" s="23" t="n">
        <v>19</v>
      </c>
      <c r="H56" s="24" t="n">
        <f aca="false">IF(F56&gt;0,E56/F56,"")</f>
        <v>-1.80722151772859</v>
      </c>
      <c r="I56" s="24" t="n">
        <f aca="false">IF(H56="","",TDIST(ABS(H56),G56-1,2))</f>
        <v>0.087471764955746</v>
      </c>
    </row>
    <row r="57" customFormat="false" ht="15" hidden="false" customHeight="false" outlineLevel="0" collapsed="false">
      <c r="A57" s="7" t="s">
        <v>111</v>
      </c>
      <c r="B57" s="7" t="s">
        <v>45</v>
      </c>
      <c r="C57" s="7" t="s">
        <v>116</v>
      </c>
      <c r="D57" s="7" t="s">
        <v>117</v>
      </c>
      <c r="E57" s="22" t="n">
        <v>-0.0966742275461793</v>
      </c>
      <c r="F57" s="22" t="n">
        <v>0.212911416368688</v>
      </c>
      <c r="G57" s="23" t="n">
        <v>19</v>
      </c>
      <c r="H57" s="24" t="n">
        <f aca="false">IF(F57&gt;0,E57/F57,"")</f>
        <v>-0.454058449260294</v>
      </c>
      <c r="I57" s="24" t="n">
        <f aca="false">IF(H57="","",TDIST(ABS(H57),G57-1,2))</f>
        <v>0.65521405362244</v>
      </c>
    </row>
    <row r="58" customFormat="false" ht="15" hidden="false" customHeight="false" outlineLevel="0" collapsed="false">
      <c r="A58" s="7" t="s">
        <v>111</v>
      </c>
      <c r="B58" s="7" t="s">
        <v>46</v>
      </c>
      <c r="C58" s="7" t="s">
        <v>113</v>
      </c>
      <c r="D58" s="7" t="s">
        <v>136</v>
      </c>
      <c r="E58" s="22" t="n">
        <v>-0.584867639376354</v>
      </c>
      <c r="F58" s="22" t="n">
        <v>0.211678767660781</v>
      </c>
      <c r="G58" s="23" t="n">
        <v>19</v>
      </c>
      <c r="H58" s="24" t="n">
        <f aca="false">IF(F58&gt;0,E58/F58,"")</f>
        <v>-2.76299624114221</v>
      </c>
      <c r="I58" s="24" t="n">
        <f aca="false">IF(H58="","",TDIST(ABS(H58),G58-1,2))</f>
        <v>0.0128119061444238</v>
      </c>
    </row>
    <row r="59" customFormat="false" ht="15" hidden="false" customHeight="false" outlineLevel="0" collapsed="false">
      <c r="A59" s="7" t="s">
        <v>111</v>
      </c>
      <c r="B59" s="7" t="s">
        <v>46</v>
      </c>
      <c r="C59" s="7" t="s">
        <v>113</v>
      </c>
      <c r="D59" s="7" t="s">
        <v>137</v>
      </c>
      <c r="E59" s="22" t="n">
        <v>-0.41015788334341</v>
      </c>
      <c r="F59" s="22" t="n">
        <v>0.266174509302031</v>
      </c>
      <c r="G59" s="23" t="n">
        <v>19</v>
      </c>
      <c r="H59" s="24" t="n">
        <f aca="false">IF(F59&gt;0,E59/F59,"")</f>
        <v>-1.54093599878868</v>
      </c>
      <c r="I59" s="24" t="n">
        <f aca="false">IF(H59="","",TDIST(ABS(H59),G59-1,2))</f>
        <v>0.140728582677334</v>
      </c>
    </row>
    <row r="60" customFormat="false" ht="15" hidden="false" customHeight="false" outlineLevel="0" collapsed="false">
      <c r="A60" s="7" t="s">
        <v>111</v>
      </c>
      <c r="B60" s="7" t="s">
        <v>46</v>
      </c>
      <c r="C60" s="7" t="s">
        <v>113</v>
      </c>
      <c r="D60" s="7" t="s">
        <v>117</v>
      </c>
      <c r="E60" s="22" t="n">
        <v>-0.174709756032943</v>
      </c>
      <c r="F60" s="22" t="n">
        <v>0.292191691607501</v>
      </c>
      <c r="G60" s="23" t="n">
        <v>19</v>
      </c>
      <c r="H60" s="24" t="n">
        <f aca="false">IF(F60&gt;0,E60/F60,"")</f>
        <v>-0.597928555297971</v>
      </c>
      <c r="I60" s="24" t="n">
        <f aca="false">IF(H60="","",TDIST(ABS(H60),G60-1,2))</f>
        <v>0.557336498988602</v>
      </c>
    </row>
    <row r="61" customFormat="false" ht="15" hidden="false" customHeight="false" outlineLevel="0" collapsed="false">
      <c r="A61" s="7" t="s">
        <v>111</v>
      </c>
      <c r="B61" s="7" t="s">
        <v>46</v>
      </c>
      <c r="C61" s="7" t="s">
        <v>116</v>
      </c>
      <c r="D61" s="7" t="s">
        <v>136</v>
      </c>
      <c r="E61" s="22" t="n">
        <v>-0.304841868409644</v>
      </c>
      <c r="F61" s="22" t="n">
        <v>0.182348353072277</v>
      </c>
      <c r="G61" s="23" t="n">
        <v>19</v>
      </c>
      <c r="H61" s="24" t="n">
        <f aca="false">IF(F61&gt;0,E61/F61,"")</f>
        <v>-1.67175553424831</v>
      </c>
      <c r="I61" s="24" t="n">
        <f aca="false">IF(H61="","",TDIST(ABS(H61),G61-1,2))</f>
        <v>0.11186578341579</v>
      </c>
    </row>
    <row r="62" customFormat="false" ht="15" hidden="false" customHeight="false" outlineLevel="0" collapsed="false">
      <c r="A62" s="7" t="s">
        <v>111</v>
      </c>
      <c r="B62" s="7" t="s">
        <v>46</v>
      </c>
      <c r="C62" s="7" t="s">
        <v>116</v>
      </c>
      <c r="D62" s="7" t="s">
        <v>137</v>
      </c>
      <c r="E62" s="22" t="n">
        <v>-0.284609502225905</v>
      </c>
      <c r="F62" s="22" t="n">
        <v>0.166868737254842</v>
      </c>
      <c r="G62" s="23" t="n">
        <v>19</v>
      </c>
      <c r="H62" s="24" t="n">
        <f aca="false">IF(F62&gt;0,E62/F62,"")</f>
        <v>-1.70558911697911</v>
      </c>
      <c r="I62" s="24" t="n">
        <f aca="false">IF(H62="","",TDIST(ABS(H62),G62-1,2))</f>
        <v>0.105280773580038</v>
      </c>
    </row>
    <row r="63" customFormat="false" ht="15" hidden="false" customHeight="false" outlineLevel="0" collapsed="false">
      <c r="A63" s="7" t="s">
        <v>111</v>
      </c>
      <c r="B63" s="7" t="s">
        <v>46</v>
      </c>
      <c r="C63" s="7" t="s">
        <v>116</v>
      </c>
      <c r="D63" s="7" t="s">
        <v>117</v>
      </c>
      <c r="E63" s="22" t="n">
        <v>-0.0202323661837389</v>
      </c>
      <c r="F63" s="22" t="n">
        <v>0.236631518063668</v>
      </c>
      <c r="G63" s="23" t="n">
        <v>19</v>
      </c>
      <c r="H63" s="24" t="n">
        <f aca="false">IF(F63&gt;0,E63/F63,"")</f>
        <v>-0.0855015694836357</v>
      </c>
      <c r="I63" s="24" t="n">
        <f aca="false">IF(H63="","",TDIST(ABS(H63),G63-1,2))</f>
        <v>0.932806513399589</v>
      </c>
    </row>
    <row r="64" customFormat="false" ht="15" hidden="false" customHeight="false" outlineLevel="0" collapsed="false">
      <c r="A64" s="7" t="s">
        <v>111</v>
      </c>
      <c r="B64" s="7" t="s">
        <v>47</v>
      </c>
      <c r="C64" s="7" t="s">
        <v>113</v>
      </c>
      <c r="D64" s="7" t="s">
        <v>136</v>
      </c>
      <c r="E64" s="22" t="n">
        <v>-0.814549007024428</v>
      </c>
      <c r="F64" s="22" t="n">
        <v>0.190156181908326</v>
      </c>
      <c r="G64" s="23" t="n">
        <v>19</v>
      </c>
      <c r="H64" s="24" t="n">
        <f aca="false">IF(F64&gt;0,E64/F64,"")</f>
        <v>-4.28357889209788</v>
      </c>
      <c r="I64" s="24" t="n">
        <f aca="false">IF(H64="","",TDIST(ABS(H64),G64-1,2))</f>
        <v>0.000447083846171056</v>
      </c>
    </row>
    <row r="65" customFormat="false" ht="15" hidden="false" customHeight="false" outlineLevel="0" collapsed="false">
      <c r="A65" s="7" t="s">
        <v>111</v>
      </c>
      <c r="B65" s="7" t="s">
        <v>47</v>
      </c>
      <c r="C65" s="7" t="s">
        <v>113</v>
      </c>
      <c r="D65" s="7" t="s">
        <v>137</v>
      </c>
      <c r="E65" s="22" t="n">
        <v>-0.267145387441358</v>
      </c>
      <c r="F65" s="22" t="n">
        <v>0.257616643887561</v>
      </c>
      <c r="G65" s="23" t="n">
        <v>19</v>
      </c>
      <c r="H65" s="24" t="n">
        <f aca="false">IF(F65&gt;0,E65/F65,"")</f>
        <v>-1.0369880742564</v>
      </c>
      <c r="I65" s="24" t="n">
        <f aca="false">IF(H65="","",TDIST(ABS(H65),G65-1,2))</f>
        <v>0.313472337054988</v>
      </c>
    </row>
    <row r="66" customFormat="false" ht="15" hidden="false" customHeight="false" outlineLevel="0" collapsed="false">
      <c r="A66" s="7" t="s">
        <v>111</v>
      </c>
      <c r="B66" s="7" t="s">
        <v>47</v>
      </c>
      <c r="C66" s="7" t="s">
        <v>113</v>
      </c>
      <c r="D66" s="7" t="s">
        <v>117</v>
      </c>
      <c r="E66" s="22" t="n">
        <v>-0.54740361958307</v>
      </c>
      <c r="F66" s="22" t="n">
        <v>0.258909963933972</v>
      </c>
      <c r="G66" s="23" t="n">
        <v>19</v>
      </c>
      <c r="H66" s="24" t="n">
        <f aca="false">IF(F66&gt;0,E66/F66,"")</f>
        <v>-2.11426246895106</v>
      </c>
      <c r="I66" s="24" t="n">
        <f aca="false">IF(H66="","",TDIST(ABS(H66),G66-1,2))</f>
        <v>0.0487084721793637</v>
      </c>
    </row>
    <row r="67" customFormat="false" ht="15" hidden="false" customHeight="false" outlineLevel="0" collapsed="false">
      <c r="A67" s="7" t="s">
        <v>111</v>
      </c>
      <c r="B67" s="7" t="s">
        <v>47</v>
      </c>
      <c r="C67" s="7" t="s">
        <v>116</v>
      </c>
      <c r="D67" s="7" t="s">
        <v>136</v>
      </c>
      <c r="E67" s="22" t="n">
        <v>-0.664191405617991</v>
      </c>
      <c r="F67" s="22" t="n">
        <v>0.2377609853077</v>
      </c>
      <c r="G67" s="23" t="n">
        <v>19</v>
      </c>
      <c r="H67" s="24" t="n">
        <f aca="false">IF(F67&gt;0,E67/F67,"")</f>
        <v>-2.79352562725303</v>
      </c>
      <c r="I67" s="24" t="n">
        <f aca="false">IF(H67="","",TDIST(ABS(H67),G67-1,2))</f>
        <v>0.0120020401270847</v>
      </c>
    </row>
    <row r="68" customFormat="false" ht="15" hidden="false" customHeight="false" outlineLevel="0" collapsed="false">
      <c r="A68" s="7" t="s">
        <v>111</v>
      </c>
      <c r="B68" s="7" t="s">
        <v>47</v>
      </c>
      <c r="C68" s="7" t="s">
        <v>116</v>
      </c>
      <c r="D68" s="7" t="s">
        <v>137</v>
      </c>
      <c r="E68" s="22" t="n">
        <v>-0.138400805209853</v>
      </c>
      <c r="F68" s="22" t="n">
        <v>0.215996782095873</v>
      </c>
      <c r="G68" s="23" t="n">
        <v>19</v>
      </c>
      <c r="H68" s="24" t="n">
        <f aca="false">IF(F68&gt;0,E68/F68,"")</f>
        <v>-0.640754014327962</v>
      </c>
      <c r="I68" s="24" t="n">
        <f aca="false">IF(H68="","",TDIST(ABS(H68),G68-1,2))</f>
        <v>0.529756377401449</v>
      </c>
    </row>
    <row r="69" customFormat="false" ht="15" hidden="false" customHeight="false" outlineLevel="0" collapsed="false">
      <c r="A69" s="7" t="s">
        <v>111</v>
      </c>
      <c r="B69" s="7" t="s">
        <v>47</v>
      </c>
      <c r="C69" s="7" t="s">
        <v>116</v>
      </c>
      <c r="D69" s="7" t="s">
        <v>117</v>
      </c>
      <c r="E69" s="22" t="n">
        <v>-0.525790600408138</v>
      </c>
      <c r="F69" s="22" t="n">
        <v>0.321053428422276</v>
      </c>
      <c r="G69" s="23" t="n">
        <v>19</v>
      </c>
      <c r="H69" s="24" t="n">
        <f aca="false">IF(F69&gt;0,E69/F69,"")</f>
        <v>-1.63770436276598</v>
      </c>
      <c r="I69" s="24" t="n">
        <f aca="false">IF(H69="","",TDIST(ABS(H69),G69-1,2))</f>
        <v>0.118845774156281</v>
      </c>
    </row>
    <row r="70" customFormat="false" ht="15" hidden="false" customHeight="false" outlineLevel="0" collapsed="false">
      <c r="A70" s="7" t="s">
        <v>111</v>
      </c>
      <c r="B70" s="7" t="s">
        <v>48</v>
      </c>
      <c r="C70" s="7" t="s">
        <v>113</v>
      </c>
      <c r="D70" s="7" t="s">
        <v>136</v>
      </c>
      <c r="E70" s="22" t="n">
        <v>-0.869807023831866</v>
      </c>
      <c r="F70" s="22" t="n">
        <v>0.203776370129867</v>
      </c>
      <c r="G70" s="23" t="n">
        <v>19</v>
      </c>
      <c r="H70" s="24" t="n">
        <f aca="false">IF(F70&gt;0,E70/F70,"")</f>
        <v>-4.26843908976068</v>
      </c>
      <c r="I70" s="24" t="n">
        <f aca="false">IF(H70="","",TDIST(ABS(H70),G70-1,2))</f>
        <v>0.000462353118518294</v>
      </c>
    </row>
    <row r="71" customFormat="false" ht="15" hidden="false" customHeight="false" outlineLevel="0" collapsed="false">
      <c r="A71" s="7" t="s">
        <v>111</v>
      </c>
      <c r="B71" s="7" t="s">
        <v>48</v>
      </c>
      <c r="C71" s="7" t="s">
        <v>113</v>
      </c>
      <c r="D71" s="7" t="s">
        <v>137</v>
      </c>
      <c r="E71" s="22" t="n">
        <v>-0.394004973820241</v>
      </c>
      <c r="F71" s="22" t="n">
        <v>0.261448156801782</v>
      </c>
      <c r="G71" s="23" t="n">
        <v>19</v>
      </c>
      <c r="H71" s="24" t="n">
        <f aca="false">IF(F71&gt;0,E71/F71,"")</f>
        <v>-1.50700995042378</v>
      </c>
      <c r="I71" s="24" t="n">
        <f aca="false">IF(H71="","",TDIST(ABS(H71),G71-1,2))</f>
        <v>0.149157642872486</v>
      </c>
    </row>
    <row r="72" customFormat="false" ht="15" hidden="false" customHeight="false" outlineLevel="0" collapsed="false">
      <c r="A72" s="7" t="s">
        <v>111</v>
      </c>
      <c r="B72" s="7" t="s">
        <v>48</v>
      </c>
      <c r="C72" s="7" t="s">
        <v>113</v>
      </c>
      <c r="D72" s="7" t="s">
        <v>117</v>
      </c>
      <c r="E72" s="22" t="n">
        <v>-0.475802050011624</v>
      </c>
      <c r="F72" s="22" t="n">
        <v>0.275407408636257</v>
      </c>
      <c r="G72" s="23" t="n">
        <v>19</v>
      </c>
      <c r="H72" s="24" t="n">
        <f aca="false">IF(F72&gt;0,E72/F72,"")</f>
        <v>-1.72762981347403</v>
      </c>
      <c r="I72" s="24" t="n">
        <f aca="false">IF(H72="","",TDIST(ABS(H72),G72-1,2))</f>
        <v>0.101172747488938</v>
      </c>
    </row>
    <row r="73" customFormat="false" ht="15" hidden="false" customHeight="false" outlineLevel="0" collapsed="false">
      <c r="A73" s="7" t="s">
        <v>111</v>
      </c>
      <c r="B73" s="7" t="s">
        <v>48</v>
      </c>
      <c r="C73" s="7" t="s">
        <v>116</v>
      </c>
      <c r="D73" s="7" t="s">
        <v>136</v>
      </c>
      <c r="E73" s="22" t="n">
        <v>-0.715803537773838</v>
      </c>
      <c r="F73" s="22" t="n">
        <v>0.247492803404145</v>
      </c>
      <c r="G73" s="23" t="n">
        <v>19</v>
      </c>
      <c r="H73" s="24" t="n">
        <f aca="false">IF(F73&gt;0,E73/F73,"")</f>
        <v>-2.89221960367454</v>
      </c>
      <c r="I73" s="24" t="n">
        <f aca="false">IF(H73="","",TDIST(ABS(H73),G73-1,2))</f>
        <v>0.00970710227040527</v>
      </c>
    </row>
    <row r="74" customFormat="false" ht="15" hidden="false" customHeight="false" outlineLevel="0" collapsed="false">
      <c r="A74" s="7" t="s">
        <v>111</v>
      </c>
      <c r="B74" s="7" t="s">
        <v>48</v>
      </c>
      <c r="C74" s="7" t="s">
        <v>116</v>
      </c>
      <c r="D74" s="7" t="s">
        <v>137</v>
      </c>
      <c r="E74" s="22" t="n">
        <v>-0.197253696398184</v>
      </c>
      <c r="F74" s="22" t="n">
        <v>0.192104561764994</v>
      </c>
      <c r="G74" s="23" t="n">
        <v>19</v>
      </c>
      <c r="H74" s="24" t="n">
        <f aca="false">IF(F74&gt;0,E74/F74,"")</f>
        <v>-1.02680381239197</v>
      </c>
      <c r="I74" s="24" t="n">
        <f aca="false">IF(H74="","",TDIST(ABS(H74),G74-1,2))</f>
        <v>0.318114512561588</v>
      </c>
    </row>
    <row r="75" customFormat="false" ht="15" hidden="false" customHeight="false" outlineLevel="0" collapsed="false">
      <c r="A75" s="7" t="s">
        <v>111</v>
      </c>
      <c r="B75" s="7" t="s">
        <v>48</v>
      </c>
      <c r="C75" s="7" t="s">
        <v>116</v>
      </c>
      <c r="D75" s="7" t="s">
        <v>117</v>
      </c>
      <c r="E75" s="22" t="n">
        <v>-0.518549841375654</v>
      </c>
      <c r="F75" s="22" t="n">
        <v>0.32044694601455</v>
      </c>
      <c r="G75" s="23" t="n">
        <v>19</v>
      </c>
      <c r="H75" s="24" t="n">
        <f aca="false">IF(F75&gt;0,E75/F75,"")</f>
        <v>-1.61820809286823</v>
      </c>
      <c r="I75" s="24" t="n">
        <f aca="false">IF(H75="","",TDIST(ABS(H75),G75-1,2))</f>
        <v>0.123006542734035</v>
      </c>
    </row>
    <row r="76" customFormat="false" ht="15" hidden="false" customHeight="false" outlineLevel="0" collapsed="false">
      <c r="A76" s="7" t="s">
        <v>121</v>
      </c>
      <c r="B76" s="7" t="s">
        <v>44</v>
      </c>
      <c r="C76" s="7" t="s">
        <v>113</v>
      </c>
      <c r="D76" s="7" t="s">
        <v>136</v>
      </c>
      <c r="E76" s="22" t="n">
        <v>-0.253907471598457</v>
      </c>
      <c r="F76" s="22" t="n">
        <v>0.219047025200785</v>
      </c>
      <c r="G76" s="23" t="n">
        <v>19</v>
      </c>
      <c r="H76" s="24" t="n">
        <f aca="false">IF(F76&gt;0,E76/F76,"")</f>
        <v>-1.1591459476143</v>
      </c>
      <c r="I76" s="24" t="n">
        <f aca="false">IF(H76="","",TDIST(ABS(H76),G76-1,2))</f>
        <v>0.261543441922252</v>
      </c>
    </row>
    <row r="77" customFormat="false" ht="15" hidden="false" customHeight="false" outlineLevel="0" collapsed="false">
      <c r="A77" s="7" t="s">
        <v>121</v>
      </c>
      <c r="B77" s="7" t="s">
        <v>44</v>
      </c>
      <c r="C77" s="7" t="s">
        <v>113</v>
      </c>
      <c r="D77" s="7" t="s">
        <v>137</v>
      </c>
      <c r="E77" s="22" t="n">
        <v>-0.491948529311925</v>
      </c>
      <c r="F77" s="22" t="n">
        <v>0.336184423301976</v>
      </c>
      <c r="G77" s="23" t="n">
        <v>19</v>
      </c>
      <c r="H77" s="24" t="n">
        <f aca="false">IF(F77&gt;0,E77/F77,"")</f>
        <v>-1.46332933715384</v>
      </c>
      <c r="I77" s="24" t="n">
        <f aca="false">IF(H77="","",TDIST(ABS(H77),G77-1,2))</f>
        <v>0.160621290125301</v>
      </c>
    </row>
    <row r="78" customFormat="false" ht="15" hidden="false" customHeight="false" outlineLevel="0" collapsed="false">
      <c r="A78" s="7" t="s">
        <v>121</v>
      </c>
      <c r="B78" s="7" t="s">
        <v>44</v>
      </c>
      <c r="C78" s="7" t="s">
        <v>113</v>
      </c>
      <c r="D78" s="7" t="s">
        <v>117</v>
      </c>
      <c r="E78" s="22" t="n">
        <v>0.238041057713468</v>
      </c>
      <c r="F78" s="22" t="n">
        <v>0.392780287702535</v>
      </c>
      <c r="G78" s="23" t="n">
        <v>19</v>
      </c>
      <c r="H78" s="24" t="n">
        <f aca="false">IF(F78&gt;0,E78/F78,"")</f>
        <v>0.606041253001332</v>
      </c>
      <c r="I78" s="24" t="n">
        <f aca="false">IF(H78="","",TDIST(ABS(H78),G78-1,2))</f>
        <v>0.552054015775866</v>
      </c>
    </row>
    <row r="79" customFormat="false" ht="15" hidden="false" customHeight="false" outlineLevel="0" collapsed="false">
      <c r="A79" s="7" t="s">
        <v>121</v>
      </c>
      <c r="B79" s="7" t="s">
        <v>44</v>
      </c>
      <c r="C79" s="7" t="s">
        <v>116</v>
      </c>
      <c r="D79" s="7" t="s">
        <v>136</v>
      </c>
      <c r="E79" s="22" t="n">
        <v>-0.0228599996321811</v>
      </c>
      <c r="F79" s="22" t="n">
        <v>0.188245604396794</v>
      </c>
      <c r="G79" s="23" t="n">
        <v>19</v>
      </c>
      <c r="H79" s="24" t="n">
        <f aca="false">IF(F79&gt;0,E79/F79,"")</f>
        <v>-0.121437096528403</v>
      </c>
      <c r="I79" s="24" t="n">
        <f aca="false">IF(H79="","",TDIST(ABS(H79),G79-1,2))</f>
        <v>0.904690238571898</v>
      </c>
    </row>
    <row r="80" customFormat="false" ht="15" hidden="false" customHeight="false" outlineLevel="0" collapsed="false">
      <c r="A80" s="7" t="s">
        <v>121</v>
      </c>
      <c r="B80" s="7" t="s">
        <v>44</v>
      </c>
      <c r="C80" s="7" t="s">
        <v>116</v>
      </c>
      <c r="D80" s="7" t="s">
        <v>137</v>
      </c>
      <c r="E80" s="22" t="n">
        <v>-0.946642196879963</v>
      </c>
      <c r="F80" s="22" t="n">
        <v>0.454474858272155</v>
      </c>
      <c r="G80" s="23" t="n">
        <v>19</v>
      </c>
      <c r="H80" s="24" t="n">
        <f aca="false">IF(F80&gt;0,E80/F80,"")</f>
        <v>-2.08293633773044</v>
      </c>
      <c r="I80" s="24" t="n">
        <f aca="false">IF(H80="","",TDIST(ABS(H80),G80-1,2))</f>
        <v>0.0517905180288919</v>
      </c>
    </row>
    <row r="81" customFormat="false" ht="15" hidden="false" customHeight="false" outlineLevel="0" collapsed="false">
      <c r="A81" s="7" t="s">
        <v>121</v>
      </c>
      <c r="B81" s="7" t="s">
        <v>44</v>
      </c>
      <c r="C81" s="7" t="s">
        <v>116</v>
      </c>
      <c r="D81" s="7" t="s">
        <v>117</v>
      </c>
      <c r="E81" s="22" t="n">
        <v>0.923782197247782</v>
      </c>
      <c r="F81" s="22" t="n">
        <v>0.463559022830577</v>
      </c>
      <c r="G81" s="23" t="n">
        <v>19</v>
      </c>
      <c r="H81" s="24" t="n">
        <f aca="false">IF(F81&gt;0,E81/F81,"")</f>
        <v>1.99280383241598</v>
      </c>
      <c r="I81" s="24" t="n">
        <f aca="false">IF(H81="","",TDIST(ABS(H81),G81-1,2))</f>
        <v>0.0616682751193709</v>
      </c>
    </row>
    <row r="82" customFormat="false" ht="15" hidden="false" customHeight="false" outlineLevel="0" collapsed="false">
      <c r="A82" s="7" t="s">
        <v>121</v>
      </c>
      <c r="B82" s="7" t="s">
        <v>45</v>
      </c>
      <c r="C82" s="7" t="s">
        <v>113</v>
      </c>
      <c r="D82" s="7" t="s">
        <v>136</v>
      </c>
      <c r="E82" s="22" t="n">
        <v>-0.270543880466222</v>
      </c>
      <c r="F82" s="22" t="n">
        <v>0.202926941244882</v>
      </c>
      <c r="G82" s="23" t="n">
        <v>19</v>
      </c>
      <c r="H82" s="24" t="n">
        <f aca="false">IF(F82&gt;0,E82/F82,"")</f>
        <v>-1.33320829066134</v>
      </c>
      <c r="I82" s="24" t="n">
        <f aca="false">IF(H82="","",TDIST(ABS(H82),G82-1,2))</f>
        <v>0.199092164498593</v>
      </c>
    </row>
    <row r="83" customFormat="false" ht="15" hidden="false" customHeight="false" outlineLevel="0" collapsed="false">
      <c r="A83" s="7" t="s">
        <v>121</v>
      </c>
      <c r="B83" s="7" t="s">
        <v>45</v>
      </c>
      <c r="C83" s="7" t="s">
        <v>113</v>
      </c>
      <c r="D83" s="7" t="s">
        <v>137</v>
      </c>
      <c r="E83" s="22" t="n">
        <v>-0.485751308037636</v>
      </c>
      <c r="F83" s="22" t="n">
        <v>0.301029070748932</v>
      </c>
      <c r="G83" s="23" t="n">
        <v>19</v>
      </c>
      <c r="H83" s="24" t="n">
        <f aca="false">IF(F83&gt;0,E83/F83,"")</f>
        <v>-1.61363587519681</v>
      </c>
      <c r="I83" s="24" t="n">
        <f aca="false">IF(H83="","",TDIST(ABS(H83),G83-1,2))</f>
        <v>0.123999991905932</v>
      </c>
    </row>
    <row r="84" customFormat="false" ht="15" hidden="false" customHeight="false" outlineLevel="0" collapsed="false">
      <c r="A84" s="7" t="s">
        <v>121</v>
      </c>
      <c r="B84" s="7" t="s">
        <v>45</v>
      </c>
      <c r="C84" s="7" t="s">
        <v>113</v>
      </c>
      <c r="D84" s="7" t="s">
        <v>117</v>
      </c>
      <c r="E84" s="22" t="n">
        <v>0.215207427571414</v>
      </c>
      <c r="F84" s="22" t="n">
        <v>0.379482759742354</v>
      </c>
      <c r="G84" s="23" t="n">
        <v>19</v>
      </c>
      <c r="H84" s="24" t="n">
        <f aca="false">IF(F84&gt;0,E84/F84,"")</f>
        <v>0.567107258620989</v>
      </c>
      <c r="I84" s="24" t="n">
        <f aca="false">IF(H84="","",TDIST(ABS(H84),G84-1,2))</f>
        <v>0.577645933410178</v>
      </c>
    </row>
    <row r="85" customFormat="false" ht="15" hidden="false" customHeight="false" outlineLevel="0" collapsed="false">
      <c r="A85" s="7" t="s">
        <v>121</v>
      </c>
      <c r="B85" s="7" t="s">
        <v>45</v>
      </c>
      <c r="C85" s="7" t="s">
        <v>116</v>
      </c>
      <c r="D85" s="7" t="s">
        <v>136</v>
      </c>
      <c r="E85" s="22" t="n">
        <v>0.0170622239963265</v>
      </c>
      <c r="F85" s="22" t="n">
        <v>0.1648306116524</v>
      </c>
      <c r="G85" s="23" t="n">
        <v>19</v>
      </c>
      <c r="H85" s="24" t="n">
        <f aca="false">IF(F85&gt;0,E85/F85,"")</f>
        <v>0.103513684899185</v>
      </c>
      <c r="I85" s="24" t="n">
        <f aca="false">IF(H85="","",TDIST(ABS(H85),G85-1,2))</f>
        <v>0.918699887708226</v>
      </c>
    </row>
    <row r="86" customFormat="false" ht="15" hidden="false" customHeight="false" outlineLevel="0" collapsed="false">
      <c r="A86" s="7" t="s">
        <v>121</v>
      </c>
      <c r="B86" s="7" t="s">
        <v>45</v>
      </c>
      <c r="C86" s="7" t="s">
        <v>116</v>
      </c>
      <c r="D86" s="7" t="s">
        <v>137</v>
      </c>
      <c r="E86" s="22" t="n">
        <v>-0.745532561282594</v>
      </c>
      <c r="F86" s="22" t="n">
        <v>0.406586639346394</v>
      </c>
      <c r="G86" s="23" t="n">
        <v>19</v>
      </c>
      <c r="H86" s="24" t="n">
        <f aca="false">IF(F86&gt;0,E86/F86,"")</f>
        <v>-1.83363762882388</v>
      </c>
      <c r="I86" s="24" t="n">
        <f aca="false">IF(H86="","",TDIST(ABS(H86),G86-1,2))</f>
        <v>0.0832974584973074</v>
      </c>
    </row>
    <row r="87" customFormat="false" ht="15" hidden="false" customHeight="false" outlineLevel="0" collapsed="false">
      <c r="A87" s="7" t="s">
        <v>121</v>
      </c>
      <c r="B87" s="7" t="s">
        <v>45</v>
      </c>
      <c r="C87" s="7" t="s">
        <v>116</v>
      </c>
      <c r="D87" s="7" t="s">
        <v>117</v>
      </c>
      <c r="E87" s="22" t="n">
        <v>0.76259478527892</v>
      </c>
      <c r="F87" s="22" t="n">
        <v>0.449377419771629</v>
      </c>
      <c r="G87" s="23" t="n">
        <v>19</v>
      </c>
      <c r="H87" s="24" t="n">
        <f aca="false">IF(F87&gt;0,E87/F87,"")</f>
        <v>1.6970029016288</v>
      </c>
      <c r="I87" s="24" t="n">
        <f aca="false">IF(H87="","",TDIST(ABS(H87),G87-1,2))</f>
        <v>0.106919545378246</v>
      </c>
    </row>
    <row r="88" customFormat="false" ht="15" hidden="false" customHeight="false" outlineLevel="0" collapsed="false">
      <c r="A88" s="7" t="s">
        <v>121</v>
      </c>
      <c r="B88" s="7" t="s">
        <v>46</v>
      </c>
      <c r="C88" s="7" t="s">
        <v>113</v>
      </c>
      <c r="D88" s="7" t="s">
        <v>136</v>
      </c>
      <c r="E88" s="22" t="n">
        <v>-0.283125998869687</v>
      </c>
      <c r="F88" s="22" t="n">
        <v>0.216641747163926</v>
      </c>
      <c r="G88" s="23" t="n">
        <v>19</v>
      </c>
      <c r="H88" s="24" t="n">
        <f aca="false">IF(F88&gt;0,E88/F88,"")</f>
        <v>-1.30688568835929</v>
      </c>
      <c r="I88" s="24" t="n">
        <f aca="false">IF(H88="","",TDIST(ABS(H88),G88-1,2))</f>
        <v>0.207702375287383</v>
      </c>
    </row>
    <row r="89" customFormat="false" ht="15" hidden="false" customHeight="false" outlineLevel="0" collapsed="false">
      <c r="A89" s="7" t="s">
        <v>121</v>
      </c>
      <c r="B89" s="7" t="s">
        <v>46</v>
      </c>
      <c r="C89" s="7" t="s">
        <v>113</v>
      </c>
      <c r="D89" s="7" t="s">
        <v>137</v>
      </c>
      <c r="E89" s="22" t="n">
        <v>-0.493651508335736</v>
      </c>
      <c r="F89" s="22" t="n">
        <v>0.256485811991435</v>
      </c>
      <c r="G89" s="23" t="n">
        <v>19</v>
      </c>
      <c r="H89" s="24" t="n">
        <f aca="false">IF(F89&gt;0,E89/F89,"")</f>
        <v>-1.92467374512014</v>
      </c>
      <c r="I89" s="24" t="n">
        <f aca="false">IF(H89="","",TDIST(ABS(H89),G89-1,2))</f>
        <v>0.070224200134677</v>
      </c>
    </row>
    <row r="90" customFormat="false" ht="15" hidden="false" customHeight="false" outlineLevel="0" collapsed="false">
      <c r="A90" s="7" t="s">
        <v>121</v>
      </c>
      <c r="B90" s="7" t="s">
        <v>46</v>
      </c>
      <c r="C90" s="7" t="s">
        <v>113</v>
      </c>
      <c r="D90" s="7" t="s">
        <v>117</v>
      </c>
      <c r="E90" s="22" t="n">
        <v>0.210525509466049</v>
      </c>
      <c r="F90" s="22" t="n">
        <v>0.23906982735421</v>
      </c>
      <c r="G90" s="23" t="n">
        <v>19</v>
      </c>
      <c r="H90" s="24" t="n">
        <f aca="false">IF(F90&gt;0,E90/F90,"")</f>
        <v>0.880602591284471</v>
      </c>
      <c r="I90" s="24" t="n">
        <f aca="false">IF(H90="","",TDIST(ABS(H90),G90-1,2))</f>
        <v>0.390139542245922</v>
      </c>
    </row>
    <row r="91" customFormat="false" ht="15" hidden="false" customHeight="false" outlineLevel="0" collapsed="false">
      <c r="A91" s="7" t="s">
        <v>121</v>
      </c>
      <c r="B91" s="7" t="s">
        <v>46</v>
      </c>
      <c r="C91" s="7" t="s">
        <v>116</v>
      </c>
      <c r="D91" s="7" t="s">
        <v>136</v>
      </c>
      <c r="E91" s="22" t="n">
        <v>0.0112824449059295</v>
      </c>
      <c r="F91" s="22" t="n">
        <v>0.155362412044698</v>
      </c>
      <c r="G91" s="23" t="n">
        <v>19</v>
      </c>
      <c r="H91" s="24" t="n">
        <f aca="false">IF(F91&gt;0,E91/F91,"")</f>
        <v>0.0726201708472672</v>
      </c>
      <c r="I91" s="24" t="n">
        <f aca="false">IF(H91="","",TDIST(ABS(H91),G91-1,2))</f>
        <v>0.942909242273308</v>
      </c>
    </row>
    <row r="92" customFormat="false" ht="15" hidden="false" customHeight="false" outlineLevel="0" collapsed="false">
      <c r="A92" s="7" t="s">
        <v>121</v>
      </c>
      <c r="B92" s="7" t="s">
        <v>46</v>
      </c>
      <c r="C92" s="7" t="s">
        <v>116</v>
      </c>
      <c r="D92" s="7" t="s">
        <v>137</v>
      </c>
      <c r="E92" s="22" t="n">
        <v>-0.688853456071051</v>
      </c>
      <c r="F92" s="22" t="n">
        <v>0.259947748919451</v>
      </c>
      <c r="G92" s="23" t="n">
        <v>19</v>
      </c>
      <c r="H92" s="24" t="n">
        <f aca="false">IF(F92&gt;0,E92/F92,"")</f>
        <v>-2.64996892234872</v>
      </c>
      <c r="I92" s="24" t="n">
        <f aca="false">IF(H92="","",TDIST(ABS(H92),G92-1,2))</f>
        <v>0.0162899518214119</v>
      </c>
    </row>
    <row r="93" customFormat="false" ht="15" hidden="false" customHeight="false" outlineLevel="0" collapsed="false">
      <c r="A93" s="7" t="s">
        <v>121</v>
      </c>
      <c r="B93" s="7" t="s">
        <v>46</v>
      </c>
      <c r="C93" s="7" t="s">
        <v>116</v>
      </c>
      <c r="D93" s="7" t="s">
        <v>117</v>
      </c>
      <c r="E93" s="22" t="n">
        <v>0.700135900976981</v>
      </c>
      <c r="F93" s="22" t="n">
        <v>0.287474181888205</v>
      </c>
      <c r="G93" s="23" t="n">
        <v>19</v>
      </c>
      <c r="H93" s="24" t="n">
        <f aca="false">IF(F93&gt;0,E93/F93,"")</f>
        <v>2.43547401849553</v>
      </c>
      <c r="I93" s="24" t="n">
        <f aca="false">IF(H93="","",TDIST(ABS(H93),G93-1,2))</f>
        <v>0.0254965319406543</v>
      </c>
    </row>
    <row r="94" customFormat="false" ht="15" hidden="false" customHeight="false" outlineLevel="0" collapsed="false">
      <c r="A94" s="7" t="s">
        <v>121</v>
      </c>
      <c r="B94" s="7" t="s">
        <v>47</v>
      </c>
      <c r="C94" s="7" t="s">
        <v>113</v>
      </c>
      <c r="D94" s="7" t="s">
        <v>136</v>
      </c>
      <c r="E94" s="22" t="n">
        <v>-0.327899175385171</v>
      </c>
      <c r="F94" s="22" t="n">
        <v>0.263403638655819</v>
      </c>
      <c r="G94" s="23" t="n">
        <v>19</v>
      </c>
      <c r="H94" s="24" t="n">
        <f aca="false">IF(F94&gt;0,E94/F94,"")</f>
        <v>-1.24485438795941</v>
      </c>
      <c r="I94" s="24" t="n">
        <f aca="false">IF(H94="","",TDIST(ABS(H94),G94-1,2))</f>
        <v>0.229149604233063</v>
      </c>
    </row>
    <row r="95" customFormat="false" ht="15" hidden="false" customHeight="false" outlineLevel="0" collapsed="false">
      <c r="A95" s="7" t="s">
        <v>121</v>
      </c>
      <c r="B95" s="7" t="s">
        <v>47</v>
      </c>
      <c r="C95" s="7" t="s">
        <v>113</v>
      </c>
      <c r="D95" s="7" t="s">
        <v>137</v>
      </c>
      <c r="E95" s="22" t="n">
        <v>-0.174818356743848</v>
      </c>
      <c r="F95" s="22" t="n">
        <v>0.2752363204292</v>
      </c>
      <c r="G95" s="23" t="n">
        <v>19</v>
      </c>
      <c r="H95" s="24" t="n">
        <f aca="false">IF(F95&gt;0,E95/F95,"")</f>
        <v>-0.635157294906569</v>
      </c>
      <c r="I95" s="24" t="n">
        <f aca="false">IF(H95="","",TDIST(ABS(H95),G95-1,2))</f>
        <v>0.533317586781402</v>
      </c>
    </row>
    <row r="96" customFormat="false" ht="15" hidden="false" customHeight="false" outlineLevel="0" collapsed="false">
      <c r="A96" s="7" t="s">
        <v>121</v>
      </c>
      <c r="B96" s="7" t="s">
        <v>47</v>
      </c>
      <c r="C96" s="7" t="s">
        <v>113</v>
      </c>
      <c r="D96" s="7" t="s">
        <v>117</v>
      </c>
      <c r="E96" s="22" t="n">
        <v>-0.153080818641323</v>
      </c>
      <c r="F96" s="22" t="n">
        <v>0.376245627560327</v>
      </c>
      <c r="G96" s="23" t="n">
        <v>19</v>
      </c>
      <c r="H96" s="24" t="n">
        <f aca="false">IF(F96&gt;0,E96/F96,"")</f>
        <v>-0.406864046856673</v>
      </c>
      <c r="I96" s="24" t="n">
        <f aca="false">IF(H96="","",TDIST(ABS(H96),G96-1,2))</f>
        <v>0.688905039394569</v>
      </c>
    </row>
    <row r="97" customFormat="false" ht="15" hidden="false" customHeight="false" outlineLevel="0" collapsed="false">
      <c r="A97" s="7" t="s">
        <v>121</v>
      </c>
      <c r="B97" s="7" t="s">
        <v>47</v>
      </c>
      <c r="C97" s="7" t="s">
        <v>116</v>
      </c>
      <c r="D97" s="7" t="s">
        <v>136</v>
      </c>
      <c r="E97" s="22" t="n">
        <v>-0.124305787328997</v>
      </c>
      <c r="F97" s="22" t="n">
        <v>0.303687895560364</v>
      </c>
      <c r="G97" s="23" t="n">
        <v>19</v>
      </c>
      <c r="H97" s="24" t="n">
        <f aca="false">IF(F97&gt;0,E97/F97,"")</f>
        <v>-0.409320849287156</v>
      </c>
      <c r="I97" s="24" t="n">
        <f aca="false">IF(H97="","",TDIST(ABS(H97),G97-1,2))</f>
        <v>0.687133771439957</v>
      </c>
    </row>
    <row r="98" customFormat="false" ht="15" hidden="false" customHeight="false" outlineLevel="0" collapsed="false">
      <c r="A98" s="7" t="s">
        <v>121</v>
      </c>
      <c r="B98" s="7" t="s">
        <v>47</v>
      </c>
      <c r="C98" s="7" t="s">
        <v>116</v>
      </c>
      <c r="D98" s="7" t="s">
        <v>137</v>
      </c>
      <c r="E98" s="22" t="n">
        <v>-0.414653975711279</v>
      </c>
      <c r="F98" s="22" t="n">
        <v>0.280521192107867</v>
      </c>
      <c r="G98" s="23" t="n">
        <v>19</v>
      </c>
      <c r="H98" s="24" t="n">
        <f aca="false">IF(F98&gt;0,E98/F98,"")</f>
        <v>-1.47815561667739</v>
      </c>
      <c r="I98" s="24" t="n">
        <f aca="false">IF(H98="","",TDIST(ABS(H98),G98-1,2))</f>
        <v>0.156651697273147</v>
      </c>
    </row>
    <row r="99" customFormat="false" ht="15" hidden="false" customHeight="false" outlineLevel="0" collapsed="false">
      <c r="A99" s="7" t="s">
        <v>121</v>
      </c>
      <c r="B99" s="7" t="s">
        <v>47</v>
      </c>
      <c r="C99" s="7" t="s">
        <v>116</v>
      </c>
      <c r="D99" s="7" t="s">
        <v>117</v>
      </c>
      <c r="E99" s="22" t="n">
        <v>0.290348188382282</v>
      </c>
      <c r="F99" s="22" t="n">
        <v>0.397894583130564</v>
      </c>
      <c r="G99" s="23" t="n">
        <v>19</v>
      </c>
      <c r="H99" s="24" t="n">
        <f aca="false">IF(F99&gt;0,E99/F99,"")</f>
        <v>0.729711337354418</v>
      </c>
      <c r="I99" s="24" t="n">
        <f aca="false">IF(H99="","",TDIST(ABS(H99),G99-1,2))</f>
        <v>0.474956509537236</v>
      </c>
    </row>
    <row r="100" customFormat="false" ht="15" hidden="false" customHeight="false" outlineLevel="0" collapsed="false">
      <c r="A100" s="7" t="s">
        <v>121</v>
      </c>
      <c r="B100" s="7" t="s">
        <v>48</v>
      </c>
      <c r="C100" s="7" t="s">
        <v>113</v>
      </c>
      <c r="D100" s="7" t="s">
        <v>136</v>
      </c>
      <c r="E100" s="22" t="n">
        <v>-0.412980162108784</v>
      </c>
      <c r="F100" s="22" t="n">
        <v>0.232612609963355</v>
      </c>
      <c r="G100" s="23" t="n">
        <v>19</v>
      </c>
      <c r="H100" s="24" t="n">
        <f aca="false">IF(F100&gt;0,E100/F100,"")</f>
        <v>-1.77539885810078</v>
      </c>
      <c r="I100" s="24" t="n">
        <f aca="false">IF(H100="","",TDIST(ABS(H100),G100-1,2))</f>
        <v>0.0927424965135411</v>
      </c>
    </row>
    <row r="101" customFormat="false" ht="15" hidden="false" customHeight="false" outlineLevel="0" collapsed="false">
      <c r="A101" s="7" t="s">
        <v>121</v>
      </c>
      <c r="B101" s="7" t="s">
        <v>48</v>
      </c>
      <c r="C101" s="7" t="s">
        <v>113</v>
      </c>
      <c r="D101" s="7" t="s">
        <v>137</v>
      </c>
      <c r="E101" s="22" t="n">
        <v>-0.243121032965641</v>
      </c>
      <c r="F101" s="22" t="n">
        <v>0.240865261521707</v>
      </c>
      <c r="G101" s="23" t="n">
        <v>19</v>
      </c>
      <c r="H101" s="24" t="n">
        <f aca="false">IF(F101&gt;0,E101/F101,"")</f>
        <v>-1.00936528343557</v>
      </c>
      <c r="I101" s="24" t="n">
        <f aca="false">IF(H101="","",TDIST(ABS(H101),G101-1,2))</f>
        <v>0.326176350675424</v>
      </c>
    </row>
    <row r="102" customFormat="false" ht="15" hidden="false" customHeight="false" outlineLevel="0" collapsed="false">
      <c r="A102" s="7" t="s">
        <v>121</v>
      </c>
      <c r="B102" s="7" t="s">
        <v>48</v>
      </c>
      <c r="C102" s="7" t="s">
        <v>113</v>
      </c>
      <c r="D102" s="7" t="s">
        <v>117</v>
      </c>
      <c r="E102" s="22" t="n">
        <v>-0.169859129143142</v>
      </c>
      <c r="F102" s="22" t="n">
        <v>0.32403999277146</v>
      </c>
      <c r="G102" s="23" t="n">
        <v>19</v>
      </c>
      <c r="H102" s="24" t="n">
        <f aca="false">IF(F102&gt;0,E102/F102,"")</f>
        <v>-0.524191868078892</v>
      </c>
      <c r="I102" s="24" t="n">
        <f aca="false">IF(H102="","",TDIST(ABS(H102),G102-1,2))</f>
        <v>0.606540491263341</v>
      </c>
    </row>
    <row r="103" customFormat="false" ht="15" hidden="false" customHeight="false" outlineLevel="0" collapsed="false">
      <c r="A103" s="7" t="s">
        <v>121</v>
      </c>
      <c r="B103" s="7" t="s">
        <v>48</v>
      </c>
      <c r="C103" s="7" t="s">
        <v>116</v>
      </c>
      <c r="D103" s="7" t="s">
        <v>136</v>
      </c>
      <c r="E103" s="22" t="n">
        <v>-0.131496384790369</v>
      </c>
      <c r="F103" s="22" t="n">
        <v>0.302245259104764</v>
      </c>
      <c r="G103" s="23" t="n">
        <v>19</v>
      </c>
      <c r="H103" s="24" t="n">
        <f aca="false">IF(F103&gt;0,E103/F103,"")</f>
        <v>-0.435065169193571</v>
      </c>
      <c r="I103" s="24" t="n">
        <f aca="false">IF(H103="","",TDIST(ABS(H103),G103-1,2))</f>
        <v>0.668686694225963</v>
      </c>
    </row>
    <row r="104" customFormat="false" ht="15" hidden="false" customHeight="false" outlineLevel="0" collapsed="false">
      <c r="A104" s="7" t="s">
        <v>121</v>
      </c>
      <c r="B104" s="7" t="s">
        <v>48</v>
      </c>
      <c r="C104" s="7" t="s">
        <v>116</v>
      </c>
      <c r="D104" s="7" t="s">
        <v>137</v>
      </c>
      <c r="E104" s="22" t="n">
        <v>-0.384047253485189</v>
      </c>
      <c r="F104" s="22" t="n">
        <v>0.238234910048543</v>
      </c>
      <c r="G104" s="23" t="n">
        <v>19</v>
      </c>
      <c r="H104" s="24" t="n">
        <f aca="false">IF(F104&gt;0,E104/F104,"")</f>
        <v>-1.61205279867226</v>
      </c>
      <c r="I104" s="24" t="n">
        <f aca="false">IF(H104="","",TDIST(ABS(H104),G104-1,2))</f>
        <v>0.124345540991619</v>
      </c>
    </row>
    <row r="105" customFormat="false" ht="15" hidden="false" customHeight="false" outlineLevel="0" collapsed="false">
      <c r="A105" s="7" t="s">
        <v>121</v>
      </c>
      <c r="B105" s="7" t="s">
        <v>48</v>
      </c>
      <c r="C105" s="7" t="s">
        <v>116</v>
      </c>
      <c r="D105" s="7" t="s">
        <v>117</v>
      </c>
      <c r="E105" s="22" t="n">
        <v>0.25255086869482</v>
      </c>
      <c r="F105" s="22" t="n">
        <v>0.387502824922131</v>
      </c>
      <c r="G105" s="23" t="n">
        <v>19</v>
      </c>
      <c r="H105" s="24" t="n">
        <f aca="false">IF(F105&gt;0,E105/F105,"")</f>
        <v>0.651739426017269</v>
      </c>
      <c r="I105" s="24" t="n">
        <f aca="false">IF(H105="","",TDIST(ABS(H105),G105-1,2))</f>
        <v>0.522804636256141</v>
      </c>
    </row>
    <row r="106" customFormat="false" ht="15" hidden="false" customHeight="false" outlineLevel="0" collapsed="false">
      <c r="A106" s="7" t="s">
        <v>118</v>
      </c>
      <c r="B106" s="7" t="s">
        <v>44</v>
      </c>
      <c r="C106" s="7" t="s">
        <v>113</v>
      </c>
      <c r="D106" s="7" t="s">
        <v>136</v>
      </c>
      <c r="E106" s="22" t="n">
        <v>-0.680756660222042</v>
      </c>
      <c r="F106" s="22" t="n">
        <v>0.293769126451373</v>
      </c>
      <c r="G106" s="23" t="n">
        <v>19</v>
      </c>
      <c r="H106" s="24" t="n">
        <f aca="false">IF(F106&gt;0,E106/F106,"")</f>
        <v>-2.31731859792532</v>
      </c>
      <c r="I106" s="24" t="n">
        <f aca="false">IF(H106="","",TDIST(ABS(H106),G106-1,2))</f>
        <v>0.0324684181023569</v>
      </c>
    </row>
    <row r="107" customFormat="false" ht="15" hidden="false" customHeight="false" outlineLevel="0" collapsed="false">
      <c r="A107" s="7" t="s">
        <v>118</v>
      </c>
      <c r="B107" s="7" t="s">
        <v>44</v>
      </c>
      <c r="C107" s="7" t="s">
        <v>113</v>
      </c>
      <c r="D107" s="7" t="s">
        <v>137</v>
      </c>
      <c r="E107" s="22" t="n">
        <v>-0.46722161123582</v>
      </c>
      <c r="F107" s="22" t="n">
        <v>0.230137284741247</v>
      </c>
      <c r="G107" s="23" t="n">
        <v>19</v>
      </c>
      <c r="H107" s="24" t="n">
        <f aca="false">IF(F107&gt;0,E107/F107,"")</f>
        <v>-2.03018651133012</v>
      </c>
      <c r="I107" s="24" t="n">
        <f aca="false">IF(H107="","",TDIST(ABS(H107),G107-1,2))</f>
        <v>0.0573820156558536</v>
      </c>
    </row>
    <row r="108" customFormat="false" ht="15" hidden="false" customHeight="false" outlineLevel="0" collapsed="false">
      <c r="A108" s="7" t="s">
        <v>118</v>
      </c>
      <c r="B108" s="7" t="s">
        <v>44</v>
      </c>
      <c r="C108" s="7" t="s">
        <v>113</v>
      </c>
      <c r="D108" s="7" t="s">
        <v>117</v>
      </c>
      <c r="E108" s="22" t="n">
        <v>-0.213535048986223</v>
      </c>
      <c r="F108" s="22" t="n">
        <v>0.401473312350207</v>
      </c>
      <c r="G108" s="23" t="n">
        <v>19</v>
      </c>
      <c r="H108" s="24" t="n">
        <f aca="false">IF(F108&gt;0,E108/F108,"")</f>
        <v>-0.531878564321493</v>
      </c>
      <c r="I108" s="24" t="n">
        <f aca="false">IF(H108="","",TDIST(ABS(H108),G108-1,2))</f>
        <v>0.601313746468471</v>
      </c>
    </row>
    <row r="109" customFormat="false" ht="15" hidden="false" customHeight="false" outlineLevel="0" collapsed="false">
      <c r="A109" s="7" t="s">
        <v>118</v>
      </c>
      <c r="B109" s="7" t="s">
        <v>44</v>
      </c>
      <c r="C109" s="7" t="s">
        <v>116</v>
      </c>
      <c r="D109" s="7" t="s">
        <v>136</v>
      </c>
      <c r="E109" s="22" t="n">
        <v>-0.482254784843609</v>
      </c>
      <c r="F109" s="22" t="n">
        <v>0.222935595452754</v>
      </c>
      <c r="G109" s="23" t="n">
        <v>19</v>
      </c>
      <c r="H109" s="24" t="n">
        <f aca="false">IF(F109&gt;0,E109/F109,"")</f>
        <v>-2.16320226415261</v>
      </c>
      <c r="I109" s="24" t="n">
        <f aca="false">IF(H109="","",TDIST(ABS(H109),G109-1,2))</f>
        <v>0.0442265137863351</v>
      </c>
    </row>
    <row r="110" customFormat="false" ht="15" hidden="false" customHeight="false" outlineLevel="0" collapsed="false">
      <c r="A110" s="7" t="s">
        <v>118</v>
      </c>
      <c r="B110" s="7" t="s">
        <v>44</v>
      </c>
      <c r="C110" s="7" t="s">
        <v>116</v>
      </c>
      <c r="D110" s="7" t="s">
        <v>137</v>
      </c>
      <c r="E110" s="22" t="n">
        <v>-0.472730222836808</v>
      </c>
      <c r="F110" s="22" t="n">
        <v>0.289193646815462</v>
      </c>
      <c r="G110" s="23" t="n">
        <v>19</v>
      </c>
      <c r="H110" s="24" t="n">
        <f aca="false">IF(F110&gt;0,E110/F110,"")</f>
        <v>-1.63464940548457</v>
      </c>
      <c r="I110" s="24" t="n">
        <f aca="false">IF(H110="","",TDIST(ABS(H110),G110-1,2))</f>
        <v>0.119489734396856</v>
      </c>
    </row>
    <row r="111" customFormat="false" ht="15" hidden="false" customHeight="false" outlineLevel="0" collapsed="false">
      <c r="A111" s="7" t="s">
        <v>118</v>
      </c>
      <c r="B111" s="7" t="s">
        <v>44</v>
      </c>
      <c r="C111" s="7" t="s">
        <v>116</v>
      </c>
      <c r="D111" s="7" t="s">
        <v>117</v>
      </c>
      <c r="E111" s="22" t="n">
        <v>-0.00952456200680107</v>
      </c>
      <c r="F111" s="22" t="n">
        <v>0.36077544555333</v>
      </c>
      <c r="G111" s="23" t="n">
        <v>19</v>
      </c>
      <c r="H111" s="24" t="n">
        <f aca="false">IF(F111&gt;0,E111/F111,"")</f>
        <v>-0.02640025013951</v>
      </c>
      <c r="I111" s="24" t="n">
        <f aca="false">IF(H111="","",TDIST(ABS(H111),G111-1,2))</f>
        <v>0.979228585188274</v>
      </c>
    </row>
    <row r="112" customFormat="false" ht="15" hidden="false" customHeight="false" outlineLevel="0" collapsed="false">
      <c r="A112" s="7" t="s">
        <v>118</v>
      </c>
      <c r="B112" s="7" t="s">
        <v>45</v>
      </c>
      <c r="C112" s="7" t="s">
        <v>113</v>
      </c>
      <c r="D112" s="7" t="s">
        <v>136</v>
      </c>
      <c r="E112" s="22" t="n">
        <v>-0.747425971379135</v>
      </c>
      <c r="F112" s="22" t="n">
        <v>0.263040699116099</v>
      </c>
      <c r="G112" s="23" t="n">
        <v>19</v>
      </c>
      <c r="H112" s="24" t="n">
        <f aca="false">IF(F112&gt;0,E112/F112,"")</f>
        <v>-2.84148412732602</v>
      </c>
      <c r="I112" s="24" t="n">
        <f aca="false">IF(H112="","",TDIST(ABS(H112),G112-1,2))</f>
        <v>0.0108282744493703</v>
      </c>
    </row>
    <row r="113" customFormat="false" ht="15" hidden="false" customHeight="false" outlineLevel="0" collapsed="false">
      <c r="A113" s="7" t="s">
        <v>118</v>
      </c>
      <c r="B113" s="7" t="s">
        <v>45</v>
      </c>
      <c r="C113" s="7" t="s">
        <v>113</v>
      </c>
      <c r="D113" s="7" t="s">
        <v>137</v>
      </c>
      <c r="E113" s="22" t="n">
        <v>-0.390183097358483</v>
      </c>
      <c r="F113" s="22" t="n">
        <v>0.208630868716638</v>
      </c>
      <c r="G113" s="23" t="n">
        <v>19</v>
      </c>
      <c r="H113" s="24" t="n">
        <f aca="false">IF(F113&gt;0,E113/F113,"")</f>
        <v>-1.87020789281393</v>
      </c>
      <c r="I113" s="24" t="n">
        <f aca="false">IF(H113="","",TDIST(ABS(H113),G113-1,2))</f>
        <v>0.0778078450008871</v>
      </c>
    </row>
    <row r="114" customFormat="false" ht="15" hidden="false" customHeight="false" outlineLevel="0" collapsed="false">
      <c r="A114" s="7" t="s">
        <v>118</v>
      </c>
      <c r="B114" s="7" t="s">
        <v>45</v>
      </c>
      <c r="C114" s="7" t="s">
        <v>113</v>
      </c>
      <c r="D114" s="7" t="s">
        <v>117</v>
      </c>
      <c r="E114" s="22" t="n">
        <v>-0.357242874020651</v>
      </c>
      <c r="F114" s="22" t="n">
        <v>0.381634578909927</v>
      </c>
      <c r="G114" s="23" t="n">
        <v>19</v>
      </c>
      <c r="H114" s="24" t="n">
        <f aca="false">IF(F114&gt;0,E114/F114,"")</f>
        <v>-0.936086229505338</v>
      </c>
      <c r="I114" s="24" t="n">
        <f aca="false">IF(H114="","",TDIST(ABS(H114),G114-1,2))</f>
        <v>0.361618949380955</v>
      </c>
    </row>
    <row r="115" customFormat="false" ht="15" hidden="false" customHeight="false" outlineLevel="0" collapsed="false">
      <c r="A115" s="7" t="s">
        <v>118</v>
      </c>
      <c r="B115" s="7" t="s">
        <v>45</v>
      </c>
      <c r="C115" s="7" t="s">
        <v>116</v>
      </c>
      <c r="D115" s="7" t="s">
        <v>136</v>
      </c>
      <c r="E115" s="22" t="n">
        <v>-0.394001173881542</v>
      </c>
      <c r="F115" s="22" t="n">
        <v>0.185495590437414</v>
      </c>
      <c r="G115" s="23" t="n">
        <v>19</v>
      </c>
      <c r="H115" s="24" t="n">
        <f aca="false">IF(F115&gt;0,E115/F115,"")</f>
        <v>-2.12404603771149</v>
      </c>
      <c r="I115" s="24" t="n">
        <f aca="false">IF(H115="","",TDIST(ABS(H115),G115-1,2))</f>
        <v>0.0477806755988056</v>
      </c>
    </row>
    <row r="116" customFormat="false" ht="15" hidden="false" customHeight="false" outlineLevel="0" collapsed="false">
      <c r="A116" s="7" t="s">
        <v>118</v>
      </c>
      <c r="B116" s="7" t="s">
        <v>45</v>
      </c>
      <c r="C116" s="7" t="s">
        <v>116</v>
      </c>
      <c r="D116" s="7" t="s">
        <v>137</v>
      </c>
      <c r="E116" s="22" t="n">
        <v>-0.377960440628305</v>
      </c>
      <c r="F116" s="22" t="n">
        <v>0.265504502512211</v>
      </c>
      <c r="G116" s="23" t="n">
        <v>19</v>
      </c>
      <c r="H116" s="24" t="n">
        <f aca="false">IF(F116&gt;0,E116/F116,"")</f>
        <v>-1.42355567251038</v>
      </c>
      <c r="I116" s="24" t="n">
        <f aca="false">IF(H116="","",TDIST(ABS(H116),G116-1,2))</f>
        <v>0.171678559869742</v>
      </c>
    </row>
    <row r="117" customFormat="false" ht="15" hidden="false" customHeight="false" outlineLevel="0" collapsed="false">
      <c r="A117" s="7" t="s">
        <v>118</v>
      </c>
      <c r="B117" s="7" t="s">
        <v>45</v>
      </c>
      <c r="C117" s="7" t="s">
        <v>116</v>
      </c>
      <c r="D117" s="7" t="s">
        <v>117</v>
      </c>
      <c r="E117" s="22" t="n">
        <v>-0.0160407332532373</v>
      </c>
      <c r="F117" s="22" t="n">
        <v>0.343091111693757</v>
      </c>
      <c r="G117" s="23" t="n">
        <v>19</v>
      </c>
      <c r="H117" s="24" t="n">
        <f aca="false">IF(F117&gt;0,E117/F117,"")</f>
        <v>-0.0467535669287616</v>
      </c>
      <c r="I117" s="24" t="n">
        <f aca="false">IF(H117="","",TDIST(ABS(H117),G117-1,2))</f>
        <v>0.963224460198323</v>
      </c>
    </row>
    <row r="118" customFormat="false" ht="15" hidden="false" customHeight="false" outlineLevel="0" collapsed="false">
      <c r="A118" s="7" t="s">
        <v>118</v>
      </c>
      <c r="B118" s="7" t="s">
        <v>46</v>
      </c>
      <c r="C118" s="7" t="s">
        <v>113</v>
      </c>
      <c r="D118" s="7" t="s">
        <v>136</v>
      </c>
      <c r="E118" s="22" t="n">
        <v>-0.857676613124488</v>
      </c>
      <c r="F118" s="22" t="n">
        <v>0.399616760084227</v>
      </c>
      <c r="G118" s="23" t="n">
        <v>19</v>
      </c>
      <c r="H118" s="24" t="n">
        <f aca="false">IF(F118&gt;0,E118/F118,"")</f>
        <v>-2.1462478524267</v>
      </c>
      <c r="I118" s="24" t="n">
        <f aca="false">IF(H118="","",TDIST(ABS(H118),G118-1,2))</f>
        <v>0.0457346955882065</v>
      </c>
    </row>
    <row r="119" customFormat="false" ht="15" hidden="false" customHeight="false" outlineLevel="0" collapsed="false">
      <c r="A119" s="7" t="s">
        <v>118</v>
      </c>
      <c r="B119" s="7" t="s">
        <v>46</v>
      </c>
      <c r="C119" s="7" t="s">
        <v>113</v>
      </c>
      <c r="D119" s="7" t="s">
        <v>137</v>
      </c>
      <c r="E119" s="22" t="n">
        <v>-0.50928334172028</v>
      </c>
      <c r="F119" s="22" t="n">
        <v>0.232034401999948</v>
      </c>
      <c r="G119" s="23" t="n">
        <v>19</v>
      </c>
      <c r="H119" s="24" t="n">
        <f aca="false">IF(F119&gt;0,E119/F119,"")</f>
        <v>-2.19486135387973</v>
      </c>
      <c r="I119" s="24" t="n">
        <f aca="false">IF(H119="","",TDIST(ABS(H119),G119-1,2))</f>
        <v>0.0415315272966336</v>
      </c>
    </row>
    <row r="120" customFormat="false" ht="15" hidden="false" customHeight="false" outlineLevel="0" collapsed="false">
      <c r="A120" s="7" t="s">
        <v>118</v>
      </c>
      <c r="B120" s="7" t="s">
        <v>46</v>
      </c>
      <c r="C120" s="7" t="s">
        <v>113</v>
      </c>
      <c r="D120" s="7" t="s">
        <v>117</v>
      </c>
      <c r="E120" s="22" t="n">
        <v>-0.348393271404208</v>
      </c>
      <c r="F120" s="22" t="n">
        <v>0.46418185260408</v>
      </c>
      <c r="G120" s="23" t="n">
        <v>19</v>
      </c>
      <c r="H120" s="24" t="n">
        <f aca="false">IF(F120&gt;0,E120/F120,"")</f>
        <v>-0.750553408000995</v>
      </c>
      <c r="I120" s="24" t="n">
        <f aca="false">IF(H120="","",TDIST(ABS(H120),G120-1,2))</f>
        <v>0.462620890342678</v>
      </c>
    </row>
    <row r="121" customFormat="false" ht="15" hidden="false" customHeight="false" outlineLevel="0" collapsed="false">
      <c r="A121" s="7" t="s">
        <v>118</v>
      </c>
      <c r="B121" s="7" t="s">
        <v>46</v>
      </c>
      <c r="C121" s="7" t="s">
        <v>116</v>
      </c>
      <c r="D121" s="7" t="s">
        <v>136</v>
      </c>
      <c r="E121" s="22" t="n">
        <v>-0.552788553364797</v>
      </c>
      <c r="F121" s="22" t="n">
        <v>0.229622037367761</v>
      </c>
      <c r="G121" s="23" t="n">
        <v>19</v>
      </c>
      <c r="H121" s="24" t="n">
        <f aca="false">IF(F121&gt;0,E121/F121,"")</f>
        <v>-2.40738458599884</v>
      </c>
      <c r="I121" s="24" t="n">
        <f aca="false">IF(H121="","",TDIST(ABS(H121),G121-1,2))</f>
        <v>0.027014096375397</v>
      </c>
    </row>
    <row r="122" customFormat="false" ht="15" hidden="false" customHeight="false" outlineLevel="0" collapsed="false">
      <c r="A122" s="7" t="s">
        <v>118</v>
      </c>
      <c r="B122" s="7" t="s">
        <v>46</v>
      </c>
      <c r="C122" s="7" t="s">
        <v>116</v>
      </c>
      <c r="D122" s="7" t="s">
        <v>137</v>
      </c>
      <c r="E122" s="22" t="n">
        <v>-0.504348680661007</v>
      </c>
      <c r="F122" s="22" t="n">
        <v>0.307443658320081</v>
      </c>
      <c r="G122" s="23" t="n">
        <v>19</v>
      </c>
      <c r="H122" s="24" t="n">
        <f aca="false">IF(F122&gt;0,E122/F122,"")</f>
        <v>-1.6404588841313</v>
      </c>
      <c r="I122" s="24" t="n">
        <f aca="false">IF(H122="","",TDIST(ABS(H122),G122-1,2))</f>
        <v>0.11826767529244</v>
      </c>
    </row>
    <row r="123" customFormat="false" ht="15" hidden="false" customHeight="false" outlineLevel="0" collapsed="false">
      <c r="A123" s="7" t="s">
        <v>118</v>
      </c>
      <c r="B123" s="7" t="s">
        <v>46</v>
      </c>
      <c r="C123" s="7" t="s">
        <v>116</v>
      </c>
      <c r="D123" s="7" t="s">
        <v>117</v>
      </c>
      <c r="E123" s="22" t="n">
        <v>-0.04843987270379</v>
      </c>
      <c r="F123" s="22" t="n">
        <v>0.369415631904001</v>
      </c>
      <c r="G123" s="23" t="n">
        <v>19</v>
      </c>
      <c r="H123" s="24" t="n">
        <f aca="false">IF(F123&gt;0,E123/F123,"")</f>
        <v>-0.131125671250365</v>
      </c>
      <c r="I123" s="24" t="n">
        <f aca="false">IF(H123="","",TDIST(ABS(H123),G123-1,2))</f>
        <v>0.89713034270119</v>
      </c>
    </row>
    <row r="124" customFormat="false" ht="15" hidden="false" customHeight="false" outlineLevel="0" collapsed="false">
      <c r="A124" s="7" t="s">
        <v>118</v>
      </c>
      <c r="B124" s="7" t="s">
        <v>47</v>
      </c>
      <c r="C124" s="7" t="s">
        <v>113</v>
      </c>
      <c r="D124" s="7" t="s">
        <v>136</v>
      </c>
      <c r="E124" s="22" t="n">
        <v>-1.01545765922578</v>
      </c>
      <c r="F124" s="22" t="n">
        <v>0.379972347348889</v>
      </c>
      <c r="G124" s="23" t="n">
        <v>19</v>
      </c>
      <c r="H124" s="24" t="n">
        <f aca="false">IF(F124&gt;0,E124/F124,"")</f>
        <v>-2.6724514726157</v>
      </c>
      <c r="I124" s="24" t="n">
        <f aca="false">IF(H124="","",TDIST(ABS(H124),G124-1,2))</f>
        <v>0.015533236156505</v>
      </c>
    </row>
    <row r="125" customFormat="false" ht="15" hidden="false" customHeight="false" outlineLevel="0" collapsed="false">
      <c r="A125" s="7" t="s">
        <v>118</v>
      </c>
      <c r="B125" s="7" t="s">
        <v>47</v>
      </c>
      <c r="C125" s="7" t="s">
        <v>113</v>
      </c>
      <c r="D125" s="7" t="s">
        <v>137</v>
      </c>
      <c r="E125" s="22" t="n">
        <v>-0.417866616995289</v>
      </c>
      <c r="F125" s="22" t="n">
        <v>0.188478230155425</v>
      </c>
      <c r="G125" s="23" t="n">
        <v>19</v>
      </c>
      <c r="H125" s="24" t="n">
        <f aca="false">IF(F125&gt;0,E125/F125,"")</f>
        <v>-2.2170550766033</v>
      </c>
      <c r="I125" s="24" t="n">
        <f aca="false">IF(H125="","",TDIST(ABS(H125),G125-1,2))</f>
        <v>0.0397330554909423</v>
      </c>
    </row>
    <row r="126" customFormat="false" ht="15" hidden="false" customHeight="false" outlineLevel="0" collapsed="false">
      <c r="A126" s="7" t="s">
        <v>118</v>
      </c>
      <c r="B126" s="7" t="s">
        <v>47</v>
      </c>
      <c r="C126" s="7" t="s">
        <v>113</v>
      </c>
      <c r="D126" s="7" t="s">
        <v>117</v>
      </c>
      <c r="E126" s="22" t="n">
        <v>-0.597591042230492</v>
      </c>
      <c r="F126" s="22" t="n">
        <v>0.432561110490729</v>
      </c>
      <c r="G126" s="23" t="n">
        <v>19</v>
      </c>
      <c r="H126" s="24" t="n">
        <f aca="false">IF(F126&gt;0,E126/F126,"")</f>
        <v>-1.38151818953984</v>
      </c>
      <c r="I126" s="24" t="n">
        <f aca="false">IF(H126="","",TDIST(ABS(H126),G126-1,2))</f>
        <v>0.184028784032717</v>
      </c>
    </row>
    <row r="127" customFormat="false" ht="15" hidden="false" customHeight="false" outlineLevel="0" collapsed="false">
      <c r="A127" s="7" t="s">
        <v>118</v>
      </c>
      <c r="B127" s="7" t="s">
        <v>47</v>
      </c>
      <c r="C127" s="7" t="s">
        <v>116</v>
      </c>
      <c r="D127" s="7" t="s">
        <v>136</v>
      </c>
      <c r="E127" s="22" t="n">
        <v>-0.849599066752266</v>
      </c>
      <c r="F127" s="22" t="n">
        <v>0.195122361297422</v>
      </c>
      <c r="G127" s="23" t="n">
        <v>19</v>
      </c>
      <c r="H127" s="24" t="n">
        <f aca="false">IF(F127&gt;0,E127/F127,"")</f>
        <v>-4.35418606613332</v>
      </c>
      <c r="I127" s="24" t="n">
        <f aca="false">IF(H127="","",TDIST(ABS(H127),G127-1,2))</f>
        <v>0.000382326368664945</v>
      </c>
    </row>
    <row r="128" customFormat="false" ht="15" hidden="false" customHeight="false" outlineLevel="0" collapsed="false">
      <c r="A128" s="7" t="s">
        <v>118</v>
      </c>
      <c r="B128" s="7" t="s">
        <v>47</v>
      </c>
      <c r="C128" s="7" t="s">
        <v>116</v>
      </c>
      <c r="D128" s="7" t="s">
        <v>137</v>
      </c>
      <c r="E128" s="22" t="n">
        <v>-0.398899933866792</v>
      </c>
      <c r="F128" s="22" t="n">
        <v>0.273931646492239</v>
      </c>
      <c r="G128" s="23" t="n">
        <v>19</v>
      </c>
      <c r="H128" s="24" t="n">
        <f aca="false">IF(F128&gt;0,E128/F128,"")</f>
        <v>-1.45620244675926</v>
      </c>
      <c r="I128" s="24" t="n">
        <f aca="false">IF(H128="","",TDIST(ABS(H128),G128-1,2))</f>
        <v>0.162558593039247</v>
      </c>
    </row>
    <row r="129" customFormat="false" ht="15" hidden="false" customHeight="false" outlineLevel="0" collapsed="false">
      <c r="A129" s="7" t="s">
        <v>118</v>
      </c>
      <c r="B129" s="7" t="s">
        <v>47</v>
      </c>
      <c r="C129" s="7" t="s">
        <v>116</v>
      </c>
      <c r="D129" s="7" t="s">
        <v>117</v>
      </c>
      <c r="E129" s="22" t="n">
        <v>-0.450699132885474</v>
      </c>
      <c r="F129" s="22" t="n">
        <v>0.353585269121088</v>
      </c>
      <c r="G129" s="23" t="n">
        <v>19</v>
      </c>
      <c r="H129" s="24" t="n">
        <f aca="false">IF(F129&gt;0,E129/F129,"")</f>
        <v>-1.27465472191696</v>
      </c>
      <c r="I129" s="24" t="n">
        <f aca="false">IF(H129="","",TDIST(ABS(H129),G129-1,2))</f>
        <v>0.218641103338967</v>
      </c>
    </row>
    <row r="130" customFormat="false" ht="15" hidden="false" customHeight="false" outlineLevel="0" collapsed="false">
      <c r="A130" s="7" t="s">
        <v>118</v>
      </c>
      <c r="B130" s="7" t="s">
        <v>48</v>
      </c>
      <c r="C130" s="7" t="s">
        <v>113</v>
      </c>
      <c r="D130" s="7" t="s">
        <v>136</v>
      </c>
      <c r="E130" s="22" t="n">
        <v>-1.21623541621477</v>
      </c>
      <c r="F130" s="22" t="n">
        <v>0.345098310309709</v>
      </c>
      <c r="G130" s="23" t="n">
        <v>19</v>
      </c>
      <c r="H130" s="24" t="n">
        <f aca="false">IF(F130&gt;0,E130/F130,"")</f>
        <v>-3.52431576707303</v>
      </c>
      <c r="I130" s="24" t="n">
        <f aca="false">IF(H130="","",TDIST(ABS(H130),G130-1,2))</f>
        <v>0.00242231594466562</v>
      </c>
    </row>
    <row r="131" customFormat="false" ht="15" hidden="false" customHeight="false" outlineLevel="0" collapsed="false">
      <c r="A131" s="7" t="s">
        <v>118</v>
      </c>
      <c r="B131" s="7" t="s">
        <v>48</v>
      </c>
      <c r="C131" s="7" t="s">
        <v>113</v>
      </c>
      <c r="D131" s="7" t="s">
        <v>137</v>
      </c>
      <c r="E131" s="22" t="n">
        <v>-0.370279375474436</v>
      </c>
      <c r="F131" s="22" t="n">
        <v>0.195301911852744</v>
      </c>
      <c r="G131" s="23" t="n">
        <v>19</v>
      </c>
      <c r="H131" s="24" t="n">
        <f aca="false">IF(F131&gt;0,E131/F131,"")</f>
        <v>-1.89593318345815</v>
      </c>
      <c r="I131" s="24" t="n">
        <f aca="false">IF(H131="","",TDIST(ABS(H131),G131-1,2))</f>
        <v>0.0741399933124598</v>
      </c>
    </row>
    <row r="132" customFormat="false" ht="15" hidden="false" customHeight="false" outlineLevel="0" collapsed="false">
      <c r="A132" s="7" t="s">
        <v>118</v>
      </c>
      <c r="B132" s="7" t="s">
        <v>48</v>
      </c>
      <c r="C132" s="7" t="s">
        <v>113</v>
      </c>
      <c r="D132" s="7" t="s">
        <v>117</v>
      </c>
      <c r="E132" s="22" t="n">
        <v>-0.845956040740333</v>
      </c>
      <c r="F132" s="22" t="n">
        <v>0.402656247846542</v>
      </c>
      <c r="G132" s="23" t="n">
        <v>19</v>
      </c>
      <c r="H132" s="24" t="n">
        <f aca="false">IF(F132&gt;0,E132/F132,"")</f>
        <v>-2.10093856798353</v>
      </c>
      <c r="I132" s="24" t="n">
        <f aca="false">IF(H132="","",TDIST(ABS(H132),G132-1,2))</f>
        <v>0.0499983808147557</v>
      </c>
    </row>
    <row r="133" customFormat="false" ht="15" hidden="false" customHeight="false" outlineLevel="0" collapsed="false">
      <c r="A133" s="7" t="s">
        <v>118</v>
      </c>
      <c r="B133" s="7" t="s">
        <v>48</v>
      </c>
      <c r="C133" s="7" t="s">
        <v>116</v>
      </c>
      <c r="D133" s="7" t="s">
        <v>136</v>
      </c>
      <c r="E133" s="22" t="n">
        <v>-0.775965601701733</v>
      </c>
      <c r="F133" s="22" t="n">
        <v>0.155717079978674</v>
      </c>
      <c r="G133" s="23" t="n">
        <v>19</v>
      </c>
      <c r="H133" s="24" t="n">
        <f aca="false">IF(F133&gt;0,E133/F133,"")</f>
        <v>-4.98317590984884</v>
      </c>
      <c r="I133" s="24" t="n">
        <f aca="false">IF(H133="","",TDIST(ABS(H133),G133-1,2))</f>
        <v>9.62855519484881E-005</v>
      </c>
    </row>
    <row r="134" customFormat="false" ht="15" hidden="false" customHeight="false" outlineLevel="0" collapsed="false">
      <c r="A134" s="7" t="s">
        <v>118</v>
      </c>
      <c r="B134" s="7" t="s">
        <v>48</v>
      </c>
      <c r="C134" s="7" t="s">
        <v>116</v>
      </c>
      <c r="D134" s="7" t="s">
        <v>137</v>
      </c>
      <c r="E134" s="22" t="n">
        <v>-0.355510979945612</v>
      </c>
      <c r="F134" s="22" t="n">
        <v>0.266783682470616</v>
      </c>
      <c r="G134" s="23" t="n">
        <v>19</v>
      </c>
      <c r="H134" s="24" t="n">
        <f aca="false">IF(F134&gt;0,E134/F134,"")</f>
        <v>-1.33258142572033</v>
      </c>
      <c r="I134" s="24" t="n">
        <f aca="false">IF(H134="","",TDIST(ABS(H134),G134-1,2))</f>
        <v>0.199293876516552</v>
      </c>
    </row>
    <row r="135" customFormat="false" ht="15" hidden="false" customHeight="false" outlineLevel="0" collapsed="false">
      <c r="A135" s="7" t="s">
        <v>118</v>
      </c>
      <c r="B135" s="7" t="s">
        <v>48</v>
      </c>
      <c r="C135" s="7" t="s">
        <v>116</v>
      </c>
      <c r="D135" s="7" t="s">
        <v>117</v>
      </c>
      <c r="E135" s="22" t="n">
        <v>-0.420454621756121</v>
      </c>
      <c r="F135" s="22" t="n">
        <v>0.338890755573151</v>
      </c>
      <c r="G135" s="23" t="n">
        <v>19</v>
      </c>
      <c r="H135" s="24" t="n">
        <f aca="false">IF(F135&gt;0,E135/F135,"")</f>
        <v>-1.24067893514836</v>
      </c>
      <c r="I135" s="24" t="n">
        <f aca="false">IF(H135="","",TDIST(ABS(H135),G135-1,2))</f>
        <v>0.230652666776248</v>
      </c>
    </row>
    <row r="136" customFormat="false" ht="15" hidden="false" customHeight="false" outlineLevel="0" collapsed="false">
      <c r="A136" s="7" t="s">
        <v>124</v>
      </c>
      <c r="B136" s="7" t="s">
        <v>44</v>
      </c>
      <c r="C136" s="7" t="s">
        <v>113</v>
      </c>
      <c r="D136" s="7" t="s">
        <v>136</v>
      </c>
      <c r="E136" s="22" t="n">
        <v>-0.133888114995184</v>
      </c>
      <c r="F136" s="22" t="n">
        <v>0.209545482901237</v>
      </c>
      <c r="G136" s="23" t="n">
        <v>19</v>
      </c>
      <c r="H136" s="24" t="n">
        <f aca="false">IF(F136&gt;0,E136/F136,"")</f>
        <v>-0.638945364707708</v>
      </c>
      <c r="I136" s="24" t="n">
        <f aca="false">IF(H136="","",TDIST(ABS(H136),G136-1,2))</f>
        <v>0.530905790809299</v>
      </c>
    </row>
    <row r="137" customFormat="false" ht="15" hidden="false" customHeight="false" outlineLevel="0" collapsed="false">
      <c r="A137" s="7" t="s">
        <v>124</v>
      </c>
      <c r="B137" s="7" t="s">
        <v>44</v>
      </c>
      <c r="C137" s="7" t="s">
        <v>113</v>
      </c>
      <c r="D137" s="7" t="s">
        <v>137</v>
      </c>
      <c r="E137" s="22" t="n">
        <v>-0.985666744209302</v>
      </c>
      <c r="F137" s="22" t="n">
        <v>0.340145594098413</v>
      </c>
      <c r="G137" s="23" t="n">
        <v>19</v>
      </c>
      <c r="H137" s="24" t="n">
        <f aca="false">IF(F137&gt;0,E137/F137,"")</f>
        <v>-2.89777895498515</v>
      </c>
      <c r="I137" s="24" t="n">
        <f aca="false">IF(H137="","",TDIST(ABS(H137),G137-1,2))</f>
        <v>0.00959128953545229</v>
      </c>
    </row>
    <row r="138" customFormat="false" ht="15" hidden="false" customHeight="false" outlineLevel="0" collapsed="false">
      <c r="A138" s="7" t="s">
        <v>124</v>
      </c>
      <c r="B138" s="7" t="s">
        <v>44</v>
      </c>
      <c r="C138" s="7" t="s">
        <v>113</v>
      </c>
      <c r="D138" s="7" t="s">
        <v>117</v>
      </c>
      <c r="E138" s="22" t="n">
        <v>0.851778629214118</v>
      </c>
      <c r="F138" s="22" t="n">
        <v>0.48796220418012</v>
      </c>
      <c r="G138" s="23" t="n">
        <v>19</v>
      </c>
      <c r="H138" s="24" t="n">
        <f aca="false">IF(F138&gt;0,E138/F138,"")</f>
        <v>1.74558320689056</v>
      </c>
      <c r="I138" s="24" t="n">
        <f aca="false">IF(H138="","",TDIST(ABS(H138),G138-1,2))</f>
        <v>0.0979295714828382</v>
      </c>
    </row>
    <row r="139" customFormat="false" ht="15" hidden="false" customHeight="false" outlineLevel="0" collapsed="false">
      <c r="A139" s="7" t="s">
        <v>124</v>
      </c>
      <c r="B139" s="7" t="s">
        <v>44</v>
      </c>
      <c r="C139" s="7" t="s">
        <v>116</v>
      </c>
      <c r="D139" s="7" t="s">
        <v>136</v>
      </c>
      <c r="E139" s="22" t="n">
        <v>-0.237051305650892</v>
      </c>
      <c r="F139" s="22" t="n">
        <v>0.116255433243915</v>
      </c>
      <c r="G139" s="23" t="n">
        <v>19</v>
      </c>
      <c r="H139" s="24" t="n">
        <f aca="false">IF(F139&gt;0,E139/F139,"")</f>
        <v>-2.0390557158179</v>
      </c>
      <c r="I139" s="24" t="n">
        <f aca="false">IF(H139="","",TDIST(ABS(H139),G139-1,2))</f>
        <v>0.0564053182618632</v>
      </c>
    </row>
    <row r="140" customFormat="false" ht="15" hidden="false" customHeight="false" outlineLevel="0" collapsed="false">
      <c r="A140" s="7" t="s">
        <v>124</v>
      </c>
      <c r="B140" s="7" t="s">
        <v>44</v>
      </c>
      <c r="C140" s="7" t="s">
        <v>116</v>
      </c>
      <c r="D140" s="7" t="s">
        <v>137</v>
      </c>
      <c r="E140" s="22" t="n">
        <v>-0.688058399936832</v>
      </c>
      <c r="F140" s="22" t="n">
        <v>0.361257802786692</v>
      </c>
      <c r="G140" s="23" t="n">
        <v>19</v>
      </c>
      <c r="H140" s="24" t="n">
        <f aca="false">IF(F140&gt;0,E140/F140,"")</f>
        <v>-1.9046187919797</v>
      </c>
      <c r="I140" s="24" t="n">
        <f aca="false">IF(H140="","",TDIST(ABS(H140),G140-1,2))</f>
        <v>0.0729366686386981</v>
      </c>
    </row>
    <row r="141" customFormat="false" ht="15" hidden="false" customHeight="false" outlineLevel="0" collapsed="false">
      <c r="A141" s="7" t="s">
        <v>124</v>
      </c>
      <c r="B141" s="7" t="s">
        <v>44</v>
      </c>
      <c r="C141" s="7" t="s">
        <v>116</v>
      </c>
      <c r="D141" s="7" t="s">
        <v>117</v>
      </c>
      <c r="E141" s="22" t="n">
        <v>0.45100709428594</v>
      </c>
      <c r="F141" s="22" t="n">
        <v>0.418025207696086</v>
      </c>
      <c r="G141" s="23" t="n">
        <v>19</v>
      </c>
      <c r="H141" s="24" t="n">
        <f aca="false">IF(F141&gt;0,E141/F141,"")</f>
        <v>1.07889927684417</v>
      </c>
      <c r="I141" s="24" t="n">
        <f aca="false">IF(H141="","",TDIST(ABS(H141),G141-1,2))</f>
        <v>0.294878651942014</v>
      </c>
    </row>
    <row r="142" customFormat="false" ht="15" hidden="false" customHeight="false" outlineLevel="0" collapsed="false">
      <c r="A142" s="7" t="s">
        <v>124</v>
      </c>
      <c r="B142" s="7" t="s">
        <v>45</v>
      </c>
      <c r="C142" s="7" t="s">
        <v>113</v>
      </c>
      <c r="D142" s="7" t="s">
        <v>136</v>
      </c>
      <c r="E142" s="22" t="n">
        <v>-0.18642078822989</v>
      </c>
      <c r="F142" s="22" t="n">
        <v>0.249809514620805</v>
      </c>
      <c r="G142" s="23" t="n">
        <v>19</v>
      </c>
      <c r="H142" s="24" t="n">
        <f aca="false">IF(F142&gt;0,E142/F142,"")</f>
        <v>-0.746251753112226</v>
      </c>
      <c r="I142" s="24" t="n">
        <f aca="false">IF(H142="","",TDIST(ABS(H142),G142-1,2))</f>
        <v>0.465150893907274</v>
      </c>
    </row>
    <row r="143" customFormat="false" ht="15" hidden="false" customHeight="false" outlineLevel="0" collapsed="false">
      <c r="A143" s="7" t="s">
        <v>124</v>
      </c>
      <c r="B143" s="7" t="s">
        <v>45</v>
      </c>
      <c r="C143" s="7" t="s">
        <v>113</v>
      </c>
      <c r="D143" s="7" t="s">
        <v>137</v>
      </c>
      <c r="E143" s="22" t="n">
        <v>-0.907863599619356</v>
      </c>
      <c r="F143" s="22" t="n">
        <v>0.33208635528768</v>
      </c>
      <c r="G143" s="23" t="n">
        <v>19</v>
      </c>
      <c r="H143" s="24" t="n">
        <f aca="false">IF(F143&gt;0,E143/F143,"")</f>
        <v>-2.73381783130744</v>
      </c>
      <c r="I143" s="24" t="n">
        <f aca="false">IF(H143="","",TDIST(ABS(H143),G143-1,2))</f>
        <v>0.013634723935744</v>
      </c>
    </row>
    <row r="144" customFormat="false" ht="15" hidden="false" customHeight="false" outlineLevel="0" collapsed="false">
      <c r="A144" s="7" t="s">
        <v>124</v>
      </c>
      <c r="B144" s="7" t="s">
        <v>45</v>
      </c>
      <c r="C144" s="7" t="s">
        <v>113</v>
      </c>
      <c r="D144" s="7" t="s">
        <v>117</v>
      </c>
      <c r="E144" s="22" t="n">
        <v>0.721442811389466</v>
      </c>
      <c r="F144" s="22" t="n">
        <v>0.537972708908804</v>
      </c>
      <c r="G144" s="23" t="n">
        <v>19</v>
      </c>
      <c r="H144" s="24" t="n">
        <f aca="false">IF(F144&gt;0,E144/F144,"")</f>
        <v>1.34103979522085</v>
      </c>
      <c r="I144" s="24" t="n">
        <f aca="false">IF(H144="","",TDIST(ABS(H144),G144-1,2))</f>
        <v>0.196585773156001</v>
      </c>
    </row>
    <row r="145" customFormat="false" ht="15" hidden="false" customHeight="false" outlineLevel="0" collapsed="false">
      <c r="A145" s="7" t="s">
        <v>124</v>
      </c>
      <c r="B145" s="7" t="s">
        <v>45</v>
      </c>
      <c r="C145" s="7" t="s">
        <v>116</v>
      </c>
      <c r="D145" s="7" t="s">
        <v>136</v>
      </c>
      <c r="E145" s="22" t="n">
        <v>-0.267439795528136</v>
      </c>
      <c r="F145" s="22" t="n">
        <v>0.166415978659258</v>
      </c>
      <c r="G145" s="23" t="n">
        <v>19</v>
      </c>
      <c r="H145" s="24" t="n">
        <f aca="false">IF(F145&gt;0,E145/F145,"")</f>
        <v>-1.60705599115412</v>
      </c>
      <c r="I145" s="24" t="n">
        <f aca="false">IF(H145="","",TDIST(ABS(H145),G145-1,2))</f>
        <v>0.125441576882483</v>
      </c>
    </row>
    <row r="146" customFormat="false" ht="15" hidden="false" customHeight="false" outlineLevel="0" collapsed="false">
      <c r="A146" s="7" t="s">
        <v>124</v>
      </c>
      <c r="B146" s="7" t="s">
        <v>45</v>
      </c>
      <c r="C146" s="7" t="s">
        <v>116</v>
      </c>
      <c r="D146" s="7" t="s">
        <v>137</v>
      </c>
      <c r="E146" s="22" t="n">
        <v>-0.610002745389515</v>
      </c>
      <c r="F146" s="22" t="n">
        <v>0.353732403659271</v>
      </c>
      <c r="G146" s="23" t="n">
        <v>19</v>
      </c>
      <c r="H146" s="24" t="n">
        <f aca="false">IF(F146&gt;0,E146/F146,"")</f>
        <v>-1.7244751656314</v>
      </c>
      <c r="I146" s="24" t="n">
        <f aca="false">IF(H146="","",TDIST(ABS(H146),G146-1,2))</f>
        <v>0.101752103174585</v>
      </c>
    </row>
    <row r="147" customFormat="false" ht="15" hidden="false" customHeight="false" outlineLevel="0" collapsed="false">
      <c r="A147" s="7" t="s">
        <v>124</v>
      </c>
      <c r="B147" s="7" t="s">
        <v>45</v>
      </c>
      <c r="C147" s="7" t="s">
        <v>116</v>
      </c>
      <c r="D147" s="7" t="s">
        <v>117</v>
      </c>
      <c r="E147" s="22" t="n">
        <v>0.34256294986138</v>
      </c>
      <c r="F147" s="22" t="n">
        <v>0.483357683240753</v>
      </c>
      <c r="G147" s="23" t="n">
        <v>19</v>
      </c>
      <c r="H147" s="24" t="n">
        <f aca="false">IF(F147&gt;0,E147/F147,"")</f>
        <v>0.708715226299101</v>
      </c>
      <c r="I147" s="24" t="n">
        <f aca="false">IF(H147="","",TDIST(ABS(H147),G147-1,2))</f>
        <v>0.487579287782232</v>
      </c>
    </row>
    <row r="148" customFormat="false" ht="15" hidden="false" customHeight="false" outlineLevel="0" collapsed="false">
      <c r="A148" s="7" t="s">
        <v>124</v>
      </c>
      <c r="B148" s="7" t="s">
        <v>46</v>
      </c>
      <c r="C148" s="7" t="s">
        <v>113</v>
      </c>
      <c r="D148" s="7" t="s">
        <v>136</v>
      </c>
      <c r="E148" s="22" t="n">
        <v>-0.192969678361655</v>
      </c>
      <c r="F148" s="22" t="n">
        <v>0.22623473634598</v>
      </c>
      <c r="G148" s="23" t="n">
        <v>19</v>
      </c>
      <c r="H148" s="24" t="n">
        <f aca="false">IF(F148&gt;0,E148/F148,"")</f>
        <v>-0.852962199697515</v>
      </c>
      <c r="I148" s="24" t="n">
        <f aca="false">IF(H148="","",TDIST(ABS(H148),G148-1,2))</f>
        <v>0.404887821230485</v>
      </c>
    </row>
    <row r="149" customFormat="false" ht="15" hidden="false" customHeight="false" outlineLevel="0" collapsed="false">
      <c r="A149" s="7" t="s">
        <v>124</v>
      </c>
      <c r="B149" s="7" t="s">
        <v>46</v>
      </c>
      <c r="C149" s="7" t="s">
        <v>113</v>
      </c>
      <c r="D149" s="7" t="s">
        <v>137</v>
      </c>
      <c r="E149" s="22" t="n">
        <v>-0.853752731467937</v>
      </c>
      <c r="F149" s="22" t="n">
        <v>0.368507047153256</v>
      </c>
      <c r="G149" s="23" t="n">
        <v>19</v>
      </c>
      <c r="H149" s="24" t="n">
        <f aca="false">IF(F149&gt;0,E149/F149,"")</f>
        <v>-2.31678807247579</v>
      </c>
      <c r="I149" s="24" t="n">
        <f aca="false">IF(H149="","",TDIST(ABS(H149),G149-1,2))</f>
        <v>0.0325033861738593</v>
      </c>
    </row>
    <row r="150" customFormat="false" ht="15" hidden="false" customHeight="false" outlineLevel="0" collapsed="false">
      <c r="A150" s="7" t="s">
        <v>124</v>
      </c>
      <c r="B150" s="7" t="s">
        <v>46</v>
      </c>
      <c r="C150" s="7" t="s">
        <v>113</v>
      </c>
      <c r="D150" s="7" t="s">
        <v>117</v>
      </c>
      <c r="E150" s="22" t="n">
        <v>0.660783053106283</v>
      </c>
      <c r="F150" s="22" t="n">
        <v>0.516656203438337</v>
      </c>
      <c r="G150" s="23" t="n">
        <v>19</v>
      </c>
      <c r="H150" s="24" t="n">
        <f aca="false">IF(F150&gt;0,E150/F150,"")</f>
        <v>1.278960842256</v>
      </c>
      <c r="I150" s="24" t="n">
        <f aca="false">IF(H150="","",TDIST(ABS(H150),G150-1,2))</f>
        <v>0.217154162821146</v>
      </c>
    </row>
    <row r="151" customFormat="false" ht="15" hidden="false" customHeight="false" outlineLevel="0" collapsed="false">
      <c r="A151" s="7" t="s">
        <v>124</v>
      </c>
      <c r="B151" s="7" t="s">
        <v>46</v>
      </c>
      <c r="C151" s="7" t="s">
        <v>116</v>
      </c>
      <c r="D151" s="7" t="s">
        <v>136</v>
      </c>
      <c r="E151" s="22" t="n">
        <v>-0.247695026493118</v>
      </c>
      <c r="F151" s="22" t="n">
        <v>0.154783707203942</v>
      </c>
      <c r="G151" s="23" t="n">
        <v>19</v>
      </c>
      <c r="H151" s="24" t="n">
        <f aca="false">IF(F151&gt;0,E151/F151,"")</f>
        <v>-1.60026549930579</v>
      </c>
      <c r="I151" s="24" t="n">
        <f aca="false">IF(H151="","",TDIST(ABS(H151),G151-1,2))</f>
        <v>0.126944131486806</v>
      </c>
    </row>
    <row r="152" customFormat="false" ht="15" hidden="false" customHeight="false" outlineLevel="0" collapsed="false">
      <c r="A152" s="7" t="s">
        <v>124</v>
      </c>
      <c r="B152" s="7" t="s">
        <v>46</v>
      </c>
      <c r="C152" s="7" t="s">
        <v>116</v>
      </c>
      <c r="D152" s="7" t="s">
        <v>137</v>
      </c>
      <c r="E152" s="22" t="n">
        <v>-0.439420070733197</v>
      </c>
      <c r="F152" s="22" t="n">
        <v>0.241925128394901</v>
      </c>
      <c r="G152" s="23" t="n">
        <v>19</v>
      </c>
      <c r="H152" s="24" t="n">
        <f aca="false">IF(F152&gt;0,E152/F152,"")</f>
        <v>-1.81634737014966</v>
      </c>
      <c r="I152" s="24" t="n">
        <f aca="false">IF(H152="","",TDIST(ABS(H152),G152-1,2))</f>
        <v>0.0860094219595175</v>
      </c>
    </row>
    <row r="153" customFormat="false" ht="15" hidden="false" customHeight="false" outlineLevel="0" collapsed="false">
      <c r="A153" s="7" t="s">
        <v>124</v>
      </c>
      <c r="B153" s="7" t="s">
        <v>46</v>
      </c>
      <c r="C153" s="7" t="s">
        <v>116</v>
      </c>
      <c r="D153" s="7" t="s">
        <v>117</v>
      </c>
      <c r="E153" s="22" t="n">
        <v>0.191725044240079</v>
      </c>
      <c r="F153" s="22" t="n">
        <v>0.33067357552149</v>
      </c>
      <c r="G153" s="23" t="n">
        <v>19</v>
      </c>
      <c r="H153" s="24" t="n">
        <f aca="false">IF(F153&gt;0,E153/F153,"")</f>
        <v>0.579801527647677</v>
      </c>
      <c r="I153" s="24" t="n">
        <f aca="false">IF(H153="","",TDIST(ABS(H153),G153-1,2))</f>
        <v>0.5692354424368</v>
      </c>
    </row>
    <row r="154" customFormat="false" ht="15" hidden="false" customHeight="false" outlineLevel="0" collapsed="false">
      <c r="A154" s="7" t="s">
        <v>124</v>
      </c>
      <c r="B154" s="7" t="s">
        <v>47</v>
      </c>
      <c r="C154" s="7" t="s">
        <v>113</v>
      </c>
      <c r="D154" s="7" t="s">
        <v>136</v>
      </c>
      <c r="E154" s="22" t="n">
        <v>-0.155459937606402</v>
      </c>
      <c r="F154" s="22" t="n">
        <v>0.212728480543718</v>
      </c>
      <c r="G154" s="23" t="n">
        <v>19</v>
      </c>
      <c r="H154" s="24" t="n">
        <f aca="false">IF(F154&gt;0,E154/F154,"")</f>
        <v>-0.730790429231941</v>
      </c>
      <c r="I154" s="24" t="n">
        <f aca="false">IF(H154="","",TDIST(ABS(H154),G154-1,2))</f>
        <v>0.474313059531103</v>
      </c>
    </row>
    <row r="155" customFormat="false" ht="15" hidden="false" customHeight="false" outlineLevel="0" collapsed="false">
      <c r="A155" s="7" t="s">
        <v>124</v>
      </c>
      <c r="B155" s="7" t="s">
        <v>47</v>
      </c>
      <c r="C155" s="7" t="s">
        <v>113</v>
      </c>
      <c r="D155" s="7" t="s">
        <v>137</v>
      </c>
      <c r="E155" s="22" t="n">
        <v>-0.711220134781522</v>
      </c>
      <c r="F155" s="22" t="n">
        <v>0.317956456283729</v>
      </c>
      <c r="G155" s="23" t="n">
        <v>19</v>
      </c>
      <c r="H155" s="24" t="n">
        <f aca="false">IF(F155&gt;0,E155/F155,"")</f>
        <v>-2.23684759571878</v>
      </c>
      <c r="I155" s="24" t="n">
        <f aca="false">IF(H155="","",TDIST(ABS(H155),G155-1,2))</f>
        <v>0.038189889685839</v>
      </c>
    </row>
    <row r="156" customFormat="false" ht="15" hidden="false" customHeight="false" outlineLevel="0" collapsed="false">
      <c r="A156" s="7" t="s">
        <v>124</v>
      </c>
      <c r="B156" s="7" t="s">
        <v>47</v>
      </c>
      <c r="C156" s="7" t="s">
        <v>113</v>
      </c>
      <c r="D156" s="7" t="s">
        <v>117</v>
      </c>
      <c r="E156" s="22" t="n">
        <v>0.555760197175121</v>
      </c>
      <c r="F156" s="22" t="n">
        <v>0.443358355846639</v>
      </c>
      <c r="G156" s="23" t="n">
        <v>19</v>
      </c>
      <c r="H156" s="24" t="n">
        <f aca="false">IF(F156&gt;0,E156/F156,"")</f>
        <v>1.25352367863653</v>
      </c>
      <c r="I156" s="24" t="n">
        <f aca="false">IF(H156="","",TDIST(ABS(H156),G156-1,2))</f>
        <v>0.226053036089357</v>
      </c>
    </row>
    <row r="157" customFormat="false" ht="15" hidden="false" customHeight="false" outlineLevel="0" collapsed="false">
      <c r="A157" s="7" t="s">
        <v>124</v>
      </c>
      <c r="B157" s="7" t="s">
        <v>47</v>
      </c>
      <c r="C157" s="7" t="s">
        <v>116</v>
      </c>
      <c r="D157" s="7" t="s">
        <v>136</v>
      </c>
      <c r="E157" s="22" t="n">
        <v>-0.226642699892517</v>
      </c>
      <c r="F157" s="22" t="n">
        <v>0.155840394920321</v>
      </c>
      <c r="G157" s="23" t="n">
        <v>19</v>
      </c>
      <c r="H157" s="24" t="n">
        <f aca="false">IF(F157&gt;0,E157/F157,"")</f>
        <v>-1.45432575429751</v>
      </c>
      <c r="I157" s="24" t="n">
        <f aca="false">IF(H157="","",TDIST(ABS(H157),G157-1,2))</f>
        <v>0.163071903314653</v>
      </c>
    </row>
    <row r="158" customFormat="false" ht="15" hidden="false" customHeight="false" outlineLevel="0" collapsed="false">
      <c r="A158" s="7" t="s">
        <v>124</v>
      </c>
      <c r="B158" s="7" t="s">
        <v>47</v>
      </c>
      <c r="C158" s="7" t="s">
        <v>116</v>
      </c>
      <c r="D158" s="7" t="s">
        <v>137</v>
      </c>
      <c r="E158" s="22" t="n">
        <v>-0.399805511661307</v>
      </c>
      <c r="F158" s="22" t="n">
        <v>0.212945170467986</v>
      </c>
      <c r="G158" s="23" t="n">
        <v>19</v>
      </c>
      <c r="H158" s="24" t="n">
        <f aca="false">IF(F158&gt;0,E158/F158,"")</f>
        <v>-1.87750448053206</v>
      </c>
      <c r="I158" s="24" t="n">
        <f aca="false">IF(H158="","",TDIST(ABS(H158),G158-1,2))</f>
        <v>0.0767515587731694</v>
      </c>
    </row>
    <row r="159" customFormat="false" ht="15" hidden="false" customHeight="false" outlineLevel="0" collapsed="false">
      <c r="A159" s="7" t="s">
        <v>124</v>
      </c>
      <c r="B159" s="7" t="s">
        <v>47</v>
      </c>
      <c r="C159" s="7" t="s">
        <v>116</v>
      </c>
      <c r="D159" s="7" t="s">
        <v>117</v>
      </c>
      <c r="E159" s="22" t="n">
        <v>0.173162811768789</v>
      </c>
      <c r="F159" s="22" t="n">
        <v>0.290926276484483</v>
      </c>
      <c r="G159" s="23" t="n">
        <v>19</v>
      </c>
      <c r="H159" s="24" t="n">
        <f aca="false">IF(F159&gt;0,E159/F159,"")</f>
        <v>0.595212003058875</v>
      </c>
      <c r="I159" s="24" t="n">
        <f aca="false">IF(H159="","",TDIST(ABS(H159),G159-1,2))</f>
        <v>0.559111301156345</v>
      </c>
    </row>
    <row r="160" customFormat="false" ht="15" hidden="false" customHeight="false" outlineLevel="0" collapsed="false">
      <c r="A160" s="7" t="s">
        <v>124</v>
      </c>
      <c r="B160" s="7" t="s">
        <v>48</v>
      </c>
      <c r="C160" s="7" t="s">
        <v>113</v>
      </c>
      <c r="D160" s="7" t="s">
        <v>136</v>
      </c>
      <c r="E160" s="22" t="n">
        <v>-0.265950740926509</v>
      </c>
      <c r="F160" s="22" t="n">
        <v>0.253548235390508</v>
      </c>
      <c r="G160" s="23" t="n">
        <v>19</v>
      </c>
      <c r="H160" s="24" t="n">
        <f aca="false">IF(F160&gt;0,E160/F160,"")</f>
        <v>-1.04891576357019</v>
      </c>
      <c r="I160" s="24" t="n">
        <f aca="false">IF(H160="","",TDIST(ABS(H160),G160-1,2))</f>
        <v>0.30809722932861</v>
      </c>
    </row>
    <row r="161" customFormat="false" ht="15" hidden="false" customHeight="false" outlineLevel="0" collapsed="false">
      <c r="A161" s="7" t="s">
        <v>124</v>
      </c>
      <c r="B161" s="7" t="s">
        <v>48</v>
      </c>
      <c r="C161" s="7" t="s">
        <v>113</v>
      </c>
      <c r="D161" s="7" t="s">
        <v>137</v>
      </c>
      <c r="E161" s="22" t="n">
        <v>-0.773990241880587</v>
      </c>
      <c r="F161" s="22" t="n">
        <v>0.336208890102611</v>
      </c>
      <c r="G161" s="23" t="n">
        <v>19</v>
      </c>
      <c r="H161" s="24" t="n">
        <f aca="false">IF(F161&gt;0,E161/F161,"")</f>
        <v>-2.30211117155279</v>
      </c>
      <c r="I161" s="24" t="n">
        <f aca="false">IF(H161="","",TDIST(ABS(H161),G161-1,2))</f>
        <v>0.0334847440234344</v>
      </c>
    </row>
    <row r="162" customFormat="false" ht="15" hidden="false" customHeight="false" outlineLevel="0" collapsed="false">
      <c r="A162" s="7" t="s">
        <v>124</v>
      </c>
      <c r="B162" s="7" t="s">
        <v>48</v>
      </c>
      <c r="C162" s="7" t="s">
        <v>113</v>
      </c>
      <c r="D162" s="7" t="s">
        <v>117</v>
      </c>
      <c r="E162" s="22" t="n">
        <v>0.508039500954078</v>
      </c>
      <c r="F162" s="22" t="n">
        <v>0.527565901064347</v>
      </c>
      <c r="G162" s="23" t="n">
        <v>19</v>
      </c>
      <c r="H162" s="24" t="n">
        <f aca="false">IF(F162&gt;0,E162/F162,"")</f>
        <v>0.962987751727556</v>
      </c>
      <c r="I162" s="24" t="n">
        <f aca="false">IF(H162="","",TDIST(ABS(H162),G162-1,2))</f>
        <v>0.348313299591622</v>
      </c>
    </row>
    <row r="163" customFormat="false" ht="15" hidden="false" customHeight="false" outlineLevel="0" collapsed="false">
      <c r="A163" s="7" t="s">
        <v>124</v>
      </c>
      <c r="B163" s="7" t="s">
        <v>48</v>
      </c>
      <c r="C163" s="7" t="s">
        <v>116</v>
      </c>
      <c r="D163" s="7" t="s">
        <v>136</v>
      </c>
      <c r="E163" s="22" t="n">
        <v>-0.362150844768525</v>
      </c>
      <c r="F163" s="22" t="n">
        <v>0.191394577433145</v>
      </c>
      <c r="G163" s="23" t="n">
        <v>19</v>
      </c>
      <c r="H163" s="24" t="n">
        <f aca="false">IF(F163&gt;0,E163/F163,"")</f>
        <v>-1.8921687835959</v>
      </c>
      <c r="I163" s="24" t="n">
        <f aca="false">IF(H163="","",TDIST(ABS(H163),G163-1,2))</f>
        <v>0.0746669653959406</v>
      </c>
    </row>
    <row r="164" customFormat="false" ht="15" hidden="false" customHeight="false" outlineLevel="0" collapsed="false">
      <c r="A164" s="7" t="s">
        <v>124</v>
      </c>
      <c r="B164" s="7" t="s">
        <v>48</v>
      </c>
      <c r="C164" s="7" t="s">
        <v>116</v>
      </c>
      <c r="D164" s="7" t="s">
        <v>137</v>
      </c>
      <c r="E164" s="22" t="n">
        <v>-0.379554503064981</v>
      </c>
      <c r="F164" s="22" t="n">
        <v>0.22037750320312</v>
      </c>
      <c r="G164" s="23" t="n">
        <v>19</v>
      </c>
      <c r="H164" s="24" t="n">
        <f aca="false">IF(F164&gt;0,E164/F164,"")</f>
        <v>-1.7222924189097</v>
      </c>
      <c r="I164" s="24" t="n">
        <f aca="false">IF(H164="","",TDIST(ABS(H164),G164-1,2))</f>
        <v>0.102154642507048</v>
      </c>
    </row>
    <row r="165" customFormat="false" ht="15" hidden="false" customHeight="false" outlineLevel="0" collapsed="false">
      <c r="A165" s="7" t="s">
        <v>124</v>
      </c>
      <c r="B165" s="7" t="s">
        <v>48</v>
      </c>
      <c r="C165" s="7" t="s">
        <v>116</v>
      </c>
      <c r="D165" s="7" t="s">
        <v>117</v>
      </c>
      <c r="E165" s="22" t="n">
        <v>0.0174036582964555</v>
      </c>
      <c r="F165" s="22" t="n">
        <v>0.336649132204909</v>
      </c>
      <c r="G165" s="23" t="n">
        <v>19</v>
      </c>
      <c r="H165" s="24" t="n">
        <f aca="false">IF(F165&gt;0,E165/F165,"")</f>
        <v>0.0516967270417983</v>
      </c>
      <c r="I165" s="24" t="n">
        <f aca="false">IF(H165="","",TDIST(ABS(H165),G165-1,2))</f>
        <v>0.959339736540716</v>
      </c>
    </row>
    <row r="166" customFormat="false" ht="15" hidden="false" customHeight="false" outlineLevel="0" collapsed="false">
      <c r="A166" s="7" t="s">
        <v>127</v>
      </c>
      <c r="B166" s="7" t="s">
        <v>44</v>
      </c>
      <c r="C166" s="7" t="s">
        <v>113</v>
      </c>
      <c r="D166" s="7" t="s">
        <v>136</v>
      </c>
      <c r="E166" s="22" t="n">
        <v>0.184433367188141</v>
      </c>
      <c r="F166" s="22" t="n">
        <v>0.240811559481922</v>
      </c>
      <c r="G166" s="23" t="n">
        <v>84</v>
      </c>
      <c r="H166" s="24" t="n">
        <f aca="false">IF(F166&gt;0,E166/F166,"")</f>
        <v>0.765882533151348</v>
      </c>
      <c r="I166" s="24" t="n">
        <f aca="false">IF(H166="","",TDIST(ABS(H166),G166-1,2))</f>
        <v>0.445918810555083</v>
      </c>
    </row>
    <row r="167" customFormat="false" ht="15" hidden="false" customHeight="false" outlineLevel="0" collapsed="false">
      <c r="A167" s="7" t="s">
        <v>127</v>
      </c>
      <c r="B167" s="7" t="s">
        <v>44</v>
      </c>
      <c r="C167" s="7" t="s">
        <v>113</v>
      </c>
      <c r="D167" s="7" t="s">
        <v>137</v>
      </c>
      <c r="E167" s="22" t="n">
        <v>-0.779958050501983</v>
      </c>
      <c r="F167" s="22" t="n">
        <v>0.24020121385437</v>
      </c>
      <c r="G167" s="23" t="n">
        <v>84</v>
      </c>
      <c r="H167" s="24" t="n">
        <f aca="false">IF(F167&gt;0,E167/F167,"")</f>
        <v>-3.24710286840957</v>
      </c>
      <c r="I167" s="24" t="n">
        <f aca="false">IF(H167="","",TDIST(ABS(H167),G167-1,2))</f>
        <v>0.00168290254376805</v>
      </c>
    </row>
    <row r="168" customFormat="false" ht="15" hidden="false" customHeight="false" outlineLevel="0" collapsed="false">
      <c r="A168" s="7" t="s">
        <v>127</v>
      </c>
      <c r="B168" s="7" t="s">
        <v>44</v>
      </c>
      <c r="C168" s="7" t="s">
        <v>113</v>
      </c>
      <c r="D168" s="7" t="s">
        <v>117</v>
      </c>
      <c r="E168" s="22" t="n">
        <v>0.964391417690124</v>
      </c>
      <c r="F168" s="22" t="n">
        <v>0.38716889053579</v>
      </c>
      <c r="G168" s="23" t="n">
        <v>84</v>
      </c>
      <c r="H168" s="24" t="n">
        <f aca="false">IF(F168&gt;0,E168/F168,"")</f>
        <v>2.49088044330095</v>
      </c>
      <c r="I168" s="24" t="n">
        <f aca="false">IF(H168="","",TDIST(ABS(H168),G168-1,2))</f>
        <v>0.0147355840531528</v>
      </c>
    </row>
    <row r="169" customFormat="false" ht="15" hidden="false" customHeight="false" outlineLevel="0" collapsed="false">
      <c r="A169" s="7" t="s">
        <v>127</v>
      </c>
      <c r="B169" s="7" t="s">
        <v>44</v>
      </c>
      <c r="C169" s="7" t="s">
        <v>116</v>
      </c>
      <c r="D169" s="7" t="s">
        <v>136</v>
      </c>
      <c r="E169" s="22" t="n">
        <v>-0.186884476118109</v>
      </c>
      <c r="F169" s="22" t="n">
        <v>0.187074277517654</v>
      </c>
      <c r="G169" s="23" t="n">
        <v>63</v>
      </c>
      <c r="H169" s="24" t="n">
        <f aca="false">IF(F169&gt;0,E169/F169,"")</f>
        <v>-0.998985422250116</v>
      </c>
      <c r="I169" s="24" t="n">
        <f aca="false">IF(H169="","",TDIST(ABS(H169),G169-1,2))</f>
        <v>0.32168479261001</v>
      </c>
    </row>
    <row r="170" customFormat="false" ht="15" hidden="false" customHeight="false" outlineLevel="0" collapsed="false">
      <c r="A170" s="7" t="s">
        <v>127</v>
      </c>
      <c r="B170" s="7" t="s">
        <v>44</v>
      </c>
      <c r="C170" s="7" t="s">
        <v>116</v>
      </c>
      <c r="D170" s="7" t="s">
        <v>137</v>
      </c>
      <c r="E170" s="22" t="n">
        <v>-0.505615852694201</v>
      </c>
      <c r="F170" s="22" t="n">
        <v>0.232444986644971</v>
      </c>
      <c r="G170" s="23" t="n">
        <v>63</v>
      </c>
      <c r="H170" s="24" t="n">
        <f aca="false">IF(F170&gt;0,E170/F170,"")</f>
        <v>-2.17520652947642</v>
      </c>
      <c r="I170" s="24" t="n">
        <f aca="false">IF(H170="","",TDIST(ABS(H170),G170-1,2))</f>
        <v>0.0334367937125053</v>
      </c>
    </row>
    <row r="171" customFormat="false" ht="15" hidden="false" customHeight="false" outlineLevel="0" collapsed="false">
      <c r="A171" s="7" t="s">
        <v>127</v>
      </c>
      <c r="B171" s="7" t="s">
        <v>44</v>
      </c>
      <c r="C171" s="7" t="s">
        <v>116</v>
      </c>
      <c r="D171" s="7" t="s">
        <v>117</v>
      </c>
      <c r="E171" s="22" t="n">
        <v>0.318731376576092</v>
      </c>
      <c r="F171" s="22" t="n">
        <v>0.3414228571876</v>
      </c>
      <c r="G171" s="23" t="n">
        <v>63</v>
      </c>
      <c r="H171" s="24" t="n">
        <f aca="false">IF(F171&gt;0,E171/F171,"")</f>
        <v>0.933538484217416</v>
      </c>
      <c r="I171" s="24" t="n">
        <f aca="false">IF(H171="","",TDIST(ABS(H171),G171-1,2))</f>
        <v>0.354163526056266</v>
      </c>
    </row>
    <row r="172" customFormat="false" ht="15" hidden="false" customHeight="false" outlineLevel="0" collapsed="false">
      <c r="A172" s="7" t="s">
        <v>127</v>
      </c>
      <c r="B172" s="7" t="s">
        <v>45</v>
      </c>
      <c r="C172" s="7" t="s">
        <v>113</v>
      </c>
      <c r="D172" s="7" t="s">
        <v>136</v>
      </c>
      <c r="E172" s="22" t="n">
        <v>0.178410615932053</v>
      </c>
      <c r="F172" s="22" t="n">
        <v>0.236612465192721</v>
      </c>
      <c r="G172" s="23" t="n">
        <v>88</v>
      </c>
      <c r="H172" s="24" t="n">
        <f aca="false">IF(F172&gt;0,E172/F172,"")</f>
        <v>0.75402035893053</v>
      </c>
      <c r="I172" s="24" t="n">
        <f aca="false">IF(H172="","",TDIST(ABS(H172),G172-1,2))</f>
        <v>0.452872984378315</v>
      </c>
    </row>
    <row r="173" customFormat="false" ht="15" hidden="false" customHeight="false" outlineLevel="0" collapsed="false">
      <c r="A173" s="7" t="s">
        <v>127</v>
      </c>
      <c r="B173" s="7" t="s">
        <v>45</v>
      </c>
      <c r="C173" s="7" t="s">
        <v>113</v>
      </c>
      <c r="D173" s="7" t="s">
        <v>137</v>
      </c>
      <c r="E173" s="22" t="n">
        <v>-0.725611048069332</v>
      </c>
      <c r="F173" s="22" t="n">
        <v>0.228567765480642</v>
      </c>
      <c r="G173" s="23" t="n">
        <v>88</v>
      </c>
      <c r="H173" s="24" t="n">
        <f aca="false">IF(F173&gt;0,E173/F173,"")</f>
        <v>-3.17459921150074</v>
      </c>
      <c r="I173" s="24" t="n">
        <f aca="false">IF(H173="","",TDIST(ABS(H173),G173-1,2))</f>
        <v>0.00207530849761796</v>
      </c>
    </row>
    <row r="174" customFormat="false" ht="15" hidden="false" customHeight="false" outlineLevel="0" collapsed="false">
      <c r="A174" s="7" t="s">
        <v>127</v>
      </c>
      <c r="B174" s="7" t="s">
        <v>45</v>
      </c>
      <c r="C174" s="7" t="s">
        <v>113</v>
      </c>
      <c r="D174" s="7" t="s">
        <v>117</v>
      </c>
      <c r="E174" s="22" t="n">
        <v>0.904021664001385</v>
      </c>
      <c r="F174" s="22" t="n">
        <v>0.390607914547478</v>
      </c>
      <c r="G174" s="23" t="n">
        <v>88</v>
      </c>
      <c r="H174" s="24" t="n">
        <f aca="false">IF(F174&gt;0,E174/F174,"")</f>
        <v>2.31439668868128</v>
      </c>
      <c r="I174" s="24" t="n">
        <f aca="false">IF(H174="","",TDIST(ABS(H174),G174-1,2))</f>
        <v>0.0230017784984357</v>
      </c>
    </row>
    <row r="175" customFormat="false" ht="15" hidden="false" customHeight="false" outlineLevel="0" collapsed="false">
      <c r="A175" s="7" t="s">
        <v>127</v>
      </c>
      <c r="B175" s="7" t="s">
        <v>45</v>
      </c>
      <c r="C175" s="7" t="s">
        <v>116</v>
      </c>
      <c r="D175" s="7" t="s">
        <v>136</v>
      </c>
      <c r="E175" s="22" t="n">
        <v>-0.210891229246454</v>
      </c>
      <c r="F175" s="22" t="n">
        <v>0.199619331797241</v>
      </c>
      <c r="G175" s="23" t="n">
        <v>69</v>
      </c>
      <c r="H175" s="24" t="n">
        <f aca="false">IF(F175&gt;0,E175/F175,"")</f>
        <v>-1.05646696313292</v>
      </c>
      <c r="I175" s="24" t="n">
        <f aca="false">IF(H175="","",TDIST(ABS(H175),G175-1,2))</f>
        <v>0.294493858881459</v>
      </c>
    </row>
    <row r="176" customFormat="false" ht="15" hidden="false" customHeight="false" outlineLevel="0" collapsed="false">
      <c r="A176" s="7" t="s">
        <v>127</v>
      </c>
      <c r="B176" s="7" t="s">
        <v>45</v>
      </c>
      <c r="C176" s="7" t="s">
        <v>116</v>
      </c>
      <c r="D176" s="7" t="s">
        <v>137</v>
      </c>
      <c r="E176" s="22" t="n">
        <v>-0.411553973161066</v>
      </c>
      <c r="F176" s="22" t="n">
        <v>0.209073929322083</v>
      </c>
      <c r="G176" s="23" t="n">
        <v>69</v>
      </c>
      <c r="H176" s="24" t="n">
        <f aca="false">IF(F176&gt;0,E176/F176,"")</f>
        <v>-1.96846146478195</v>
      </c>
      <c r="I176" s="24" t="n">
        <f aca="false">IF(H176="","",TDIST(ABS(H176),G176-1,2))</f>
        <v>0.0530931571928429</v>
      </c>
    </row>
    <row r="177" customFormat="false" ht="15" hidden="false" customHeight="false" outlineLevel="0" collapsed="false">
      <c r="A177" s="7" t="s">
        <v>127</v>
      </c>
      <c r="B177" s="7" t="s">
        <v>45</v>
      </c>
      <c r="C177" s="7" t="s">
        <v>116</v>
      </c>
      <c r="D177" s="7" t="s">
        <v>117</v>
      </c>
      <c r="E177" s="22" t="n">
        <v>0.200662743914612</v>
      </c>
      <c r="F177" s="22" t="n">
        <v>0.328452838361019</v>
      </c>
      <c r="G177" s="23" t="n">
        <v>69</v>
      </c>
      <c r="H177" s="24" t="n">
        <f aca="false">IF(F177&gt;0,E177/F177,"")</f>
        <v>0.610933200991412</v>
      </c>
      <c r="I177" s="24" t="n">
        <f aca="false">IF(H177="","",TDIST(ABS(H177),G177-1,2))</f>
        <v>0.543280609576774</v>
      </c>
    </row>
    <row r="178" customFormat="false" ht="15" hidden="false" customHeight="false" outlineLevel="0" collapsed="false">
      <c r="A178" s="7" t="s">
        <v>127</v>
      </c>
      <c r="B178" s="7" t="s">
        <v>46</v>
      </c>
      <c r="C178" s="7" t="s">
        <v>113</v>
      </c>
      <c r="D178" s="7" t="s">
        <v>136</v>
      </c>
      <c r="E178" s="22" t="n">
        <v>-0.0195509451536567</v>
      </c>
      <c r="F178" s="22" t="n">
        <v>0.159115018875983</v>
      </c>
      <c r="G178" s="23" t="n">
        <v>82</v>
      </c>
      <c r="H178" s="24" t="n">
        <f aca="false">IF(F178&gt;0,E178/F178,"")</f>
        <v>-0.122873034184756</v>
      </c>
      <c r="I178" s="24" t="n">
        <f aca="false">IF(H178="","",TDIST(ABS(H178),G178-1,2))</f>
        <v>0.90251200329305</v>
      </c>
    </row>
    <row r="179" customFormat="false" ht="15" hidden="false" customHeight="false" outlineLevel="0" collapsed="false">
      <c r="A179" s="7" t="s">
        <v>127</v>
      </c>
      <c r="B179" s="7" t="s">
        <v>46</v>
      </c>
      <c r="C179" s="7" t="s">
        <v>113</v>
      </c>
      <c r="D179" s="7" t="s">
        <v>137</v>
      </c>
      <c r="E179" s="22" t="n">
        <v>-0.658757152683401</v>
      </c>
      <c r="F179" s="22" t="n">
        <v>0.222383407620412</v>
      </c>
      <c r="G179" s="23" t="n">
        <v>82</v>
      </c>
      <c r="H179" s="24" t="n">
        <f aca="false">IF(F179&gt;0,E179/F179,"")</f>
        <v>-2.96225855936086</v>
      </c>
      <c r="I179" s="24" t="n">
        <f aca="false">IF(H179="","",TDIST(ABS(H179),G179-1,2))</f>
        <v>0.00400709250449341</v>
      </c>
    </row>
    <row r="180" customFormat="false" ht="15" hidden="false" customHeight="false" outlineLevel="0" collapsed="false">
      <c r="A180" s="7" t="s">
        <v>127</v>
      </c>
      <c r="B180" s="7" t="s">
        <v>46</v>
      </c>
      <c r="C180" s="7" t="s">
        <v>113</v>
      </c>
      <c r="D180" s="7" t="s">
        <v>117</v>
      </c>
      <c r="E180" s="22" t="n">
        <v>0.639206207529744</v>
      </c>
      <c r="F180" s="22" t="n">
        <v>0.284448175094785</v>
      </c>
      <c r="G180" s="23" t="n">
        <v>82</v>
      </c>
      <c r="H180" s="24" t="n">
        <f aca="false">IF(F180&gt;0,E180/F180,"")</f>
        <v>2.24717985030751</v>
      </c>
      <c r="I180" s="24" t="n">
        <f aca="false">IF(H180="","",TDIST(ABS(H180),G180-1,2))</f>
        <v>0.0273486582062053</v>
      </c>
    </row>
    <row r="181" customFormat="false" ht="15" hidden="false" customHeight="false" outlineLevel="0" collapsed="false">
      <c r="A181" s="7" t="s">
        <v>127</v>
      </c>
      <c r="B181" s="7" t="s">
        <v>46</v>
      </c>
      <c r="C181" s="7" t="s">
        <v>116</v>
      </c>
      <c r="D181" s="7" t="s">
        <v>136</v>
      </c>
      <c r="E181" s="22" t="n">
        <v>-0.284636451089941</v>
      </c>
      <c r="F181" s="22" t="n">
        <v>0.231266126106261</v>
      </c>
      <c r="G181" s="23" t="n">
        <v>61</v>
      </c>
      <c r="H181" s="24" t="n">
        <f aca="false">IF(F181&gt;0,E181/F181,"")</f>
        <v>-1.23077450157641</v>
      </c>
      <c r="I181" s="24" t="n">
        <f aca="false">IF(H181="","",TDIST(ABS(H181),G181-1,2))</f>
        <v>0.22321034232933</v>
      </c>
    </row>
    <row r="182" customFormat="false" ht="15" hidden="false" customHeight="false" outlineLevel="0" collapsed="false">
      <c r="A182" s="7" t="s">
        <v>127</v>
      </c>
      <c r="B182" s="7" t="s">
        <v>46</v>
      </c>
      <c r="C182" s="7" t="s">
        <v>116</v>
      </c>
      <c r="D182" s="7" t="s">
        <v>137</v>
      </c>
      <c r="E182" s="22" t="n">
        <v>-0.295454492574569</v>
      </c>
      <c r="F182" s="22" t="n">
        <v>0.173394070852416</v>
      </c>
      <c r="G182" s="23" t="n">
        <v>61</v>
      </c>
      <c r="H182" s="24" t="n">
        <f aca="false">IF(F182&gt;0,E182/F182,"")</f>
        <v>-1.70394807113125</v>
      </c>
      <c r="I182" s="24" t="n">
        <f aca="false">IF(H182="","",TDIST(ABS(H182),G182-1,2))</f>
        <v>0.0935651279168666</v>
      </c>
    </row>
    <row r="183" customFormat="false" ht="15" hidden="false" customHeight="false" outlineLevel="0" collapsed="false">
      <c r="A183" s="7" t="s">
        <v>127</v>
      </c>
      <c r="B183" s="7" t="s">
        <v>46</v>
      </c>
      <c r="C183" s="7" t="s">
        <v>116</v>
      </c>
      <c r="D183" s="7" t="s">
        <v>117</v>
      </c>
      <c r="E183" s="22" t="n">
        <v>0.0108180414846285</v>
      </c>
      <c r="F183" s="22" t="n">
        <v>0.318143393117651</v>
      </c>
      <c r="G183" s="23" t="n">
        <v>61</v>
      </c>
      <c r="H183" s="24" t="n">
        <f aca="false">IF(F183&gt;0,E183/F183,"")</f>
        <v>0.034003665386909</v>
      </c>
      <c r="I183" s="24" t="n">
        <f aca="false">IF(H183="","",TDIST(ABS(H183),G183-1,2))</f>
        <v>0.972987098254493</v>
      </c>
    </row>
    <row r="184" customFormat="false" ht="15" hidden="false" customHeight="false" outlineLevel="0" collapsed="false">
      <c r="A184" s="7" t="s">
        <v>127</v>
      </c>
      <c r="B184" s="7" t="s">
        <v>47</v>
      </c>
      <c r="C184" s="7" t="s">
        <v>113</v>
      </c>
      <c r="D184" s="7" t="s">
        <v>136</v>
      </c>
      <c r="E184" s="22" t="n">
        <v>-0.0469477618480026</v>
      </c>
      <c r="F184" s="22" t="n">
        <v>0.309495070849381</v>
      </c>
      <c r="G184" s="23" t="n">
        <v>82</v>
      </c>
      <c r="H184" s="24" t="n">
        <f aca="false">IF(F184&gt;0,E184/F184,"")</f>
        <v>-0.151691468685297</v>
      </c>
      <c r="I184" s="24" t="n">
        <f aca="false">IF(H184="","",TDIST(ABS(H184),G184-1,2))</f>
        <v>0.879807465616603</v>
      </c>
    </row>
    <row r="185" customFormat="false" ht="15" hidden="false" customHeight="false" outlineLevel="0" collapsed="false">
      <c r="A185" s="7" t="s">
        <v>127</v>
      </c>
      <c r="B185" s="7" t="s">
        <v>47</v>
      </c>
      <c r="C185" s="7" t="s">
        <v>113</v>
      </c>
      <c r="D185" s="7" t="s">
        <v>137</v>
      </c>
      <c r="E185" s="22" t="n">
        <v>-0.527904010442395</v>
      </c>
      <c r="F185" s="22" t="n">
        <v>0.209169871421282</v>
      </c>
      <c r="G185" s="23" t="n">
        <v>82</v>
      </c>
      <c r="H185" s="24" t="n">
        <f aca="false">IF(F185&gt;0,E185/F185,"")</f>
        <v>-2.52380520605265</v>
      </c>
      <c r="I185" s="24" t="n">
        <f aca="false">IF(H185="","",TDIST(ABS(H185),G185-1,2))</f>
        <v>0.0135637218494759</v>
      </c>
    </row>
    <row r="186" customFormat="false" ht="15" hidden="false" customHeight="false" outlineLevel="0" collapsed="false">
      <c r="A186" s="7" t="s">
        <v>127</v>
      </c>
      <c r="B186" s="7" t="s">
        <v>47</v>
      </c>
      <c r="C186" s="7" t="s">
        <v>113</v>
      </c>
      <c r="D186" s="7" t="s">
        <v>117</v>
      </c>
      <c r="E186" s="22" t="n">
        <v>0.480956248594393</v>
      </c>
      <c r="F186" s="22" t="n">
        <v>0.386918276247473</v>
      </c>
      <c r="G186" s="23" t="n">
        <v>82</v>
      </c>
      <c r="H186" s="24" t="n">
        <f aca="false">IF(F186&gt;0,E186/F186,"")</f>
        <v>1.24304350070756</v>
      </c>
      <c r="I186" s="24" t="n">
        <f aca="false">IF(H186="","",TDIST(ABS(H186),G186-1,2))</f>
        <v>0.217437949886509</v>
      </c>
    </row>
    <row r="187" customFormat="false" ht="15" hidden="false" customHeight="false" outlineLevel="0" collapsed="false">
      <c r="A187" s="7" t="s">
        <v>127</v>
      </c>
      <c r="B187" s="7" t="s">
        <v>47</v>
      </c>
      <c r="C187" s="7" t="s">
        <v>116</v>
      </c>
      <c r="D187" s="7" t="s">
        <v>136</v>
      </c>
      <c r="E187" s="22" t="n">
        <v>-0.305980365410868</v>
      </c>
      <c r="F187" s="22" t="n">
        <v>0.359589670461591</v>
      </c>
      <c r="G187" s="23" t="n">
        <v>61</v>
      </c>
      <c r="H187" s="24" t="n">
        <f aca="false">IF(F187&gt;0,E187/F187,"")</f>
        <v>-0.85091533641134</v>
      </c>
      <c r="I187" s="24" t="n">
        <f aca="false">IF(H187="","",TDIST(ABS(H187),G187-1,2))</f>
        <v>0.398199584311692</v>
      </c>
    </row>
    <row r="188" customFormat="false" ht="15" hidden="false" customHeight="false" outlineLevel="0" collapsed="false">
      <c r="A188" s="7" t="s">
        <v>127</v>
      </c>
      <c r="B188" s="7" t="s">
        <v>47</v>
      </c>
      <c r="C188" s="7" t="s">
        <v>116</v>
      </c>
      <c r="D188" s="7" t="s">
        <v>137</v>
      </c>
      <c r="E188" s="22" t="n">
        <v>-0.272934533730555</v>
      </c>
      <c r="F188" s="22" t="n">
        <v>0.164189303524097</v>
      </c>
      <c r="G188" s="23" t="n">
        <v>61</v>
      </c>
      <c r="H188" s="24" t="n">
        <f aca="false">IF(F188&gt;0,E188/F188,"")</f>
        <v>-1.66231616720694</v>
      </c>
      <c r="I188" s="24" t="n">
        <f aca="false">IF(H188="","",TDIST(ABS(H188),G188-1,2))</f>
        <v>0.101665635316132</v>
      </c>
    </row>
    <row r="189" customFormat="false" ht="15" hidden="false" customHeight="false" outlineLevel="0" collapsed="false">
      <c r="A189" s="7" t="s">
        <v>127</v>
      </c>
      <c r="B189" s="7" t="s">
        <v>47</v>
      </c>
      <c r="C189" s="7" t="s">
        <v>116</v>
      </c>
      <c r="D189" s="7" t="s">
        <v>117</v>
      </c>
      <c r="E189" s="22" t="n">
        <v>-0.0330458316803129</v>
      </c>
      <c r="F189" s="22" t="n">
        <v>0.369500107283605</v>
      </c>
      <c r="G189" s="23" t="n">
        <v>61</v>
      </c>
      <c r="H189" s="24" t="n">
        <f aca="false">IF(F189&gt;0,E189/F189,"")</f>
        <v>-0.0894338892706979</v>
      </c>
      <c r="I189" s="24" t="n">
        <f aca="false">IF(H189="","",TDIST(ABS(H189),G189-1,2))</f>
        <v>0.929034960156083</v>
      </c>
    </row>
    <row r="190" customFormat="false" ht="15" hidden="false" customHeight="false" outlineLevel="0" collapsed="false">
      <c r="A190" s="7" t="s">
        <v>127</v>
      </c>
      <c r="B190" s="7" t="s">
        <v>48</v>
      </c>
      <c r="C190" s="7" t="s">
        <v>113</v>
      </c>
      <c r="D190" s="7" t="s">
        <v>136</v>
      </c>
      <c r="E190" s="22" t="n">
        <v>-0.0269083744893069</v>
      </c>
      <c r="F190" s="22" t="n">
        <v>0.295442744208572</v>
      </c>
      <c r="G190" s="23" t="n">
        <v>87</v>
      </c>
      <c r="H190" s="24" t="n">
        <f aca="false">IF(F190&gt;0,E190/F190,"")</f>
        <v>-0.0910781361762282</v>
      </c>
      <c r="I190" s="24" t="n">
        <f aca="false">IF(H190="","",TDIST(ABS(H190),G190-1,2))</f>
        <v>0.927642311012261</v>
      </c>
    </row>
    <row r="191" customFormat="false" ht="15" hidden="false" customHeight="false" outlineLevel="0" collapsed="false">
      <c r="A191" s="7" t="s">
        <v>127</v>
      </c>
      <c r="B191" s="7" t="s">
        <v>48</v>
      </c>
      <c r="C191" s="7" t="s">
        <v>113</v>
      </c>
      <c r="D191" s="7" t="s">
        <v>137</v>
      </c>
      <c r="E191" s="22" t="n">
        <v>-0.612276382332121</v>
      </c>
      <c r="F191" s="22" t="n">
        <v>0.212717765897274</v>
      </c>
      <c r="G191" s="23" t="n">
        <v>87</v>
      </c>
      <c r="H191" s="24" t="n">
        <f aca="false">IF(F191&gt;0,E191/F191,"")</f>
        <v>-2.87835094426388</v>
      </c>
      <c r="I191" s="24" t="n">
        <f aca="false">IF(H191="","",TDIST(ABS(H191),G191-1,2))</f>
        <v>0.00504218330372112</v>
      </c>
    </row>
    <row r="192" customFormat="false" ht="15" hidden="false" customHeight="false" outlineLevel="0" collapsed="false">
      <c r="A192" s="7" t="s">
        <v>127</v>
      </c>
      <c r="B192" s="7" t="s">
        <v>48</v>
      </c>
      <c r="C192" s="7" t="s">
        <v>113</v>
      </c>
      <c r="D192" s="7" t="s">
        <v>117</v>
      </c>
      <c r="E192" s="22" t="n">
        <v>0.585368007842814</v>
      </c>
      <c r="F192" s="22" t="n">
        <v>0.387170987263852</v>
      </c>
      <c r="G192" s="23" t="n">
        <v>87</v>
      </c>
      <c r="H192" s="24" t="n">
        <f aca="false">IF(F192&gt;0,E192/F192,"")</f>
        <v>1.51191082777051</v>
      </c>
      <c r="I192" s="24" t="n">
        <f aca="false">IF(H192="","",TDIST(ABS(H192),G192-1,2))</f>
        <v>0.134222642269026</v>
      </c>
    </row>
    <row r="193" customFormat="false" ht="15" hidden="false" customHeight="false" outlineLevel="0" collapsed="false">
      <c r="A193" s="7" t="s">
        <v>127</v>
      </c>
      <c r="B193" s="7" t="s">
        <v>48</v>
      </c>
      <c r="C193" s="7" t="s">
        <v>116</v>
      </c>
      <c r="D193" s="7" t="s">
        <v>136</v>
      </c>
      <c r="E193" s="22" t="n">
        <v>-0.435119108306896</v>
      </c>
      <c r="F193" s="22" t="n">
        <v>0.343105530928632</v>
      </c>
      <c r="G193" s="23" t="n">
        <v>68</v>
      </c>
      <c r="H193" s="24" t="n">
        <f aca="false">IF(F193&gt;0,E193/F193,"")</f>
        <v>-1.26817864791986</v>
      </c>
      <c r="I193" s="24" t="n">
        <f aca="false">IF(H193="","",TDIST(ABS(H193),G193-1,2))</f>
        <v>0.209123242778081</v>
      </c>
    </row>
    <row r="194" customFormat="false" ht="15" hidden="false" customHeight="false" outlineLevel="0" collapsed="false">
      <c r="A194" s="7" t="s">
        <v>127</v>
      </c>
      <c r="B194" s="7" t="s">
        <v>48</v>
      </c>
      <c r="C194" s="7" t="s">
        <v>116</v>
      </c>
      <c r="D194" s="7" t="s">
        <v>137</v>
      </c>
      <c r="E194" s="22" t="n">
        <v>-0.274456500875975</v>
      </c>
      <c r="F194" s="22" t="n">
        <v>0.184147645449379</v>
      </c>
      <c r="G194" s="23" t="n">
        <v>68</v>
      </c>
      <c r="H194" s="24" t="n">
        <f aca="false">IF(F194&gt;0,E194/F194,"")</f>
        <v>-1.49041547724498</v>
      </c>
      <c r="I194" s="24" t="n">
        <f aca="false">IF(H194="","",TDIST(ABS(H194),G194-1,2))</f>
        <v>0.140808037401151</v>
      </c>
    </row>
    <row r="195" customFormat="false" ht="15" hidden="false" customHeight="false" outlineLevel="0" collapsed="false">
      <c r="A195" s="7" t="s">
        <v>127</v>
      </c>
      <c r="B195" s="7" t="s">
        <v>48</v>
      </c>
      <c r="C195" s="7" t="s">
        <v>116</v>
      </c>
      <c r="D195" s="7" t="s">
        <v>117</v>
      </c>
      <c r="E195" s="22" t="n">
        <v>-0.160662607430921</v>
      </c>
      <c r="F195" s="22" t="n">
        <v>0.384990728367013</v>
      </c>
      <c r="G195" s="23" t="n">
        <v>68</v>
      </c>
      <c r="H195" s="24" t="n">
        <f aca="false">IF(F195&gt;0,E195/F195,"")</f>
        <v>-0.417315523707264</v>
      </c>
      <c r="I195" s="24" t="n">
        <f aca="false">IF(H195="","",TDIST(ABS(H195),G195-1,2))</f>
        <v>0.677781856640004</v>
      </c>
    </row>
    <row r="196" customFormat="false" ht="15" hidden="false" customHeight="false" outlineLevel="0" collapsed="false">
      <c r="A196" s="7" t="s">
        <v>130</v>
      </c>
      <c r="B196" s="7" t="s">
        <v>44</v>
      </c>
      <c r="C196" s="7" t="s">
        <v>113</v>
      </c>
      <c r="D196" s="7" t="s">
        <v>136</v>
      </c>
      <c r="E196" s="22" t="n">
        <v>-1.24424501286855</v>
      </c>
      <c r="F196" s="22" t="n">
        <v>0.575845802190939</v>
      </c>
      <c r="G196" s="23" t="n">
        <v>19</v>
      </c>
      <c r="H196" s="24" t="n">
        <f aca="false">IF(F196&gt;0,E196/F196,"")</f>
        <v>-2.16072602793063</v>
      </c>
      <c r="I196" s="24" t="n">
        <f aca="false">IF(H196="","",TDIST(ABS(H196),G196-1,2))</f>
        <v>0.044443913478344</v>
      </c>
    </row>
    <row r="197" customFormat="false" ht="15" hidden="false" customHeight="false" outlineLevel="0" collapsed="false">
      <c r="A197" s="7" t="s">
        <v>130</v>
      </c>
      <c r="B197" s="7" t="s">
        <v>44</v>
      </c>
      <c r="C197" s="7" t="s">
        <v>113</v>
      </c>
      <c r="D197" s="7" t="s">
        <v>137</v>
      </c>
      <c r="E197" s="22" t="n">
        <v>-0.451627436310656</v>
      </c>
      <c r="F197" s="22" t="n">
        <v>0.245154923525425</v>
      </c>
      <c r="G197" s="23" t="n">
        <v>19</v>
      </c>
      <c r="H197" s="24" t="n">
        <f aca="false">IF(F197&gt;0,E197/F197,"")</f>
        <v>-1.84221238478948</v>
      </c>
      <c r="I197" s="24" t="n">
        <f aca="false">IF(H197="","",TDIST(ABS(H197),G197-1,2))</f>
        <v>0.0819805866448274</v>
      </c>
    </row>
    <row r="198" customFormat="false" ht="15" hidden="false" customHeight="false" outlineLevel="0" collapsed="false">
      <c r="A198" s="7" t="s">
        <v>130</v>
      </c>
      <c r="B198" s="7" t="s">
        <v>44</v>
      </c>
      <c r="C198" s="7" t="s">
        <v>113</v>
      </c>
      <c r="D198" s="7" t="s">
        <v>117</v>
      </c>
      <c r="E198" s="22" t="n">
        <v>-0.792617576557897</v>
      </c>
      <c r="F198" s="22" t="n">
        <v>0.764899285188773</v>
      </c>
      <c r="G198" s="23" t="n">
        <v>19</v>
      </c>
      <c r="H198" s="24" t="n">
        <f aca="false">IF(F198&gt;0,E198/F198,"")</f>
        <v>-1.03623783144507</v>
      </c>
      <c r="I198" s="24" t="n">
        <f aca="false">IF(H198="","",TDIST(ABS(H198),G198-1,2))</f>
        <v>0.313812653172669</v>
      </c>
    </row>
    <row r="199" customFormat="false" ht="15" hidden="false" customHeight="false" outlineLevel="0" collapsed="false">
      <c r="A199" s="7" t="s">
        <v>130</v>
      </c>
      <c r="B199" s="7" t="s">
        <v>44</v>
      </c>
      <c r="C199" s="7" t="s">
        <v>116</v>
      </c>
      <c r="D199" s="7" t="s">
        <v>136</v>
      </c>
      <c r="E199" s="22" t="n">
        <v>-1.16652046690695</v>
      </c>
      <c r="F199" s="22" t="n">
        <v>0.238618019501184</v>
      </c>
      <c r="G199" s="23" t="n">
        <v>19</v>
      </c>
      <c r="H199" s="24" t="n">
        <f aca="false">IF(F199&gt;0,E199/F199,"")</f>
        <v>-4.88865203619361</v>
      </c>
      <c r="I199" s="24" t="n">
        <f aca="false">IF(H199="","",TDIST(ABS(H199),G199-1,2))</f>
        <v>0.000118210915410033</v>
      </c>
    </row>
    <row r="200" customFormat="false" ht="15" hidden="false" customHeight="false" outlineLevel="0" collapsed="false">
      <c r="A200" s="7" t="s">
        <v>130</v>
      </c>
      <c r="B200" s="7" t="s">
        <v>44</v>
      </c>
      <c r="C200" s="7" t="s">
        <v>116</v>
      </c>
      <c r="D200" s="7" t="s">
        <v>137</v>
      </c>
      <c r="E200" s="22" t="n">
        <v>-0.288152912803416</v>
      </c>
      <c r="F200" s="22" t="n">
        <v>0.23427774416816</v>
      </c>
      <c r="G200" s="23" t="n">
        <v>19</v>
      </c>
      <c r="H200" s="24" t="n">
        <f aca="false">IF(F200&gt;0,E200/F200,"")</f>
        <v>-1.22996281113491</v>
      </c>
      <c r="I200" s="24" t="n">
        <f aca="false">IF(H200="","",TDIST(ABS(H200),G200-1,2))</f>
        <v>0.234544992463091</v>
      </c>
    </row>
    <row r="201" customFormat="false" ht="15" hidden="false" customHeight="false" outlineLevel="0" collapsed="false">
      <c r="A201" s="7" t="s">
        <v>130</v>
      </c>
      <c r="B201" s="7" t="s">
        <v>44</v>
      </c>
      <c r="C201" s="7" t="s">
        <v>116</v>
      </c>
      <c r="D201" s="7" t="s">
        <v>117</v>
      </c>
      <c r="E201" s="22" t="n">
        <v>-0.878367554103534</v>
      </c>
      <c r="F201" s="22" t="n">
        <v>0.416785784235664</v>
      </c>
      <c r="G201" s="23" t="n">
        <v>19</v>
      </c>
      <c r="H201" s="24" t="n">
        <f aca="false">IF(F201&gt;0,E201/F201,"")</f>
        <v>-2.10747963900534</v>
      </c>
      <c r="I201" s="24" t="n">
        <f aca="false">IF(H201="","",TDIST(ABS(H201),G201-1,2))</f>
        <v>0.0493612967483004</v>
      </c>
    </row>
    <row r="202" customFormat="false" ht="15" hidden="false" customHeight="false" outlineLevel="0" collapsed="false">
      <c r="A202" s="7" t="s">
        <v>130</v>
      </c>
      <c r="B202" s="7" t="s">
        <v>45</v>
      </c>
      <c r="C202" s="7" t="s">
        <v>113</v>
      </c>
      <c r="D202" s="7" t="s">
        <v>136</v>
      </c>
      <c r="E202" s="22" t="n">
        <v>-1.24891571815351</v>
      </c>
      <c r="F202" s="22" t="n">
        <v>0.572232662061344</v>
      </c>
      <c r="G202" s="23" t="n">
        <v>19</v>
      </c>
      <c r="H202" s="24" t="n">
        <f aca="false">IF(F202&gt;0,E202/F202,"")</f>
        <v>-2.18253133900914</v>
      </c>
      <c r="I202" s="24" t="n">
        <f aca="false">IF(H202="","",TDIST(ABS(H202),G202-1,2))</f>
        <v>0.0425626955038719</v>
      </c>
    </row>
    <row r="203" customFormat="false" ht="15" hidden="false" customHeight="false" outlineLevel="0" collapsed="false">
      <c r="A203" s="7" t="s">
        <v>130</v>
      </c>
      <c r="B203" s="7" t="s">
        <v>45</v>
      </c>
      <c r="C203" s="7" t="s">
        <v>113</v>
      </c>
      <c r="D203" s="7" t="s">
        <v>137</v>
      </c>
      <c r="E203" s="22" t="n">
        <v>-0.418310506905445</v>
      </c>
      <c r="F203" s="22" t="n">
        <v>0.227282219723911</v>
      </c>
      <c r="G203" s="23" t="n">
        <v>19</v>
      </c>
      <c r="H203" s="24" t="n">
        <f aca="false">IF(F203&gt;0,E203/F203,"")</f>
        <v>-1.84048935906022</v>
      </c>
      <c r="I203" s="24" t="n">
        <f aca="false">IF(H203="","",TDIST(ABS(H203),G203-1,2))</f>
        <v>0.0822437218617649</v>
      </c>
    </row>
    <row r="204" customFormat="false" ht="15" hidden="false" customHeight="false" outlineLevel="0" collapsed="false">
      <c r="A204" s="7" t="s">
        <v>130</v>
      </c>
      <c r="B204" s="7" t="s">
        <v>45</v>
      </c>
      <c r="C204" s="7" t="s">
        <v>113</v>
      </c>
      <c r="D204" s="7" t="s">
        <v>117</v>
      </c>
      <c r="E204" s="22" t="n">
        <v>-0.830605211248064</v>
      </c>
      <c r="F204" s="22" t="n">
        <v>0.753956036722803</v>
      </c>
      <c r="G204" s="23" t="n">
        <v>19</v>
      </c>
      <c r="H204" s="24" t="n">
        <f aca="false">IF(F204&gt;0,E204/F204,"")</f>
        <v>-1.10166265775711</v>
      </c>
      <c r="I204" s="24" t="n">
        <f aca="false">IF(H204="","",TDIST(ABS(H204),G204-1,2))</f>
        <v>0.285121924288093</v>
      </c>
    </row>
    <row r="205" customFormat="false" ht="15" hidden="false" customHeight="false" outlineLevel="0" collapsed="false">
      <c r="A205" s="7" t="s">
        <v>130</v>
      </c>
      <c r="B205" s="7" t="s">
        <v>45</v>
      </c>
      <c r="C205" s="7" t="s">
        <v>116</v>
      </c>
      <c r="D205" s="7" t="s">
        <v>136</v>
      </c>
      <c r="E205" s="22" t="n">
        <v>-1.03127852693609</v>
      </c>
      <c r="F205" s="22" t="n">
        <v>0.269957522919277</v>
      </c>
      <c r="G205" s="23" t="n">
        <v>19</v>
      </c>
      <c r="H205" s="24" t="n">
        <f aca="false">IF(F205&gt;0,E205/F205,"")</f>
        <v>-3.82015109556499</v>
      </c>
      <c r="I205" s="24" t="n">
        <f aca="false">IF(H205="","",TDIST(ABS(H205),G205-1,2))</f>
        <v>0.00125380297289214</v>
      </c>
    </row>
    <row r="206" customFormat="false" ht="15" hidden="false" customHeight="false" outlineLevel="0" collapsed="false">
      <c r="A206" s="7" t="s">
        <v>130</v>
      </c>
      <c r="B206" s="7" t="s">
        <v>45</v>
      </c>
      <c r="C206" s="7" t="s">
        <v>116</v>
      </c>
      <c r="D206" s="7" t="s">
        <v>137</v>
      </c>
      <c r="E206" s="22" t="n">
        <v>-0.216252691949298</v>
      </c>
      <c r="F206" s="22" t="n">
        <v>0.198989515363251</v>
      </c>
      <c r="G206" s="23" t="n">
        <v>19</v>
      </c>
      <c r="H206" s="24" t="n">
        <f aca="false">IF(F206&gt;0,E206/F206,"")</f>
        <v>-1.08675420187106</v>
      </c>
      <c r="I206" s="24" t="n">
        <f aca="false">IF(H206="","",TDIST(ABS(H206),G206-1,2))</f>
        <v>0.291484811717321</v>
      </c>
    </row>
    <row r="207" customFormat="false" ht="15" hidden="false" customHeight="false" outlineLevel="0" collapsed="false">
      <c r="A207" s="7" t="s">
        <v>130</v>
      </c>
      <c r="B207" s="7" t="s">
        <v>45</v>
      </c>
      <c r="C207" s="7" t="s">
        <v>116</v>
      </c>
      <c r="D207" s="7" t="s">
        <v>117</v>
      </c>
      <c r="E207" s="22" t="n">
        <v>-0.815025834986787</v>
      </c>
      <c r="F207" s="22" t="n">
        <v>0.410565661801569</v>
      </c>
      <c r="G207" s="23" t="n">
        <v>19</v>
      </c>
      <c r="H207" s="24" t="n">
        <f aca="false">IF(F207&gt;0,E207/F207,"")</f>
        <v>-1.98512908120577</v>
      </c>
      <c r="I207" s="24" t="n">
        <f aca="false">IF(H207="","",TDIST(ABS(H207),G207-1,2))</f>
        <v>0.0625830488479623</v>
      </c>
    </row>
    <row r="208" customFormat="false" ht="15" hidden="false" customHeight="false" outlineLevel="0" collapsed="false">
      <c r="A208" s="7" t="s">
        <v>130</v>
      </c>
      <c r="B208" s="7" t="s">
        <v>46</v>
      </c>
      <c r="C208" s="7" t="s">
        <v>113</v>
      </c>
      <c r="D208" s="7" t="s">
        <v>136</v>
      </c>
      <c r="E208" s="22" t="n">
        <v>-1.55685429584683</v>
      </c>
      <c r="F208" s="22" t="n">
        <v>0.740995563567392</v>
      </c>
      <c r="G208" s="23" t="n">
        <v>19</v>
      </c>
      <c r="H208" s="24" t="n">
        <f aca="false">IF(F208&gt;0,E208/F208,"")</f>
        <v>-2.1010305221689</v>
      </c>
      <c r="I208" s="24" t="n">
        <f aca="false">IF(H208="","",TDIST(ABS(H208),G208-1,2))</f>
        <v>0.0499893731430685</v>
      </c>
    </row>
    <row r="209" customFormat="false" ht="15" hidden="false" customHeight="false" outlineLevel="0" collapsed="false">
      <c r="A209" s="7" t="s">
        <v>130</v>
      </c>
      <c r="B209" s="7" t="s">
        <v>46</v>
      </c>
      <c r="C209" s="7" t="s">
        <v>113</v>
      </c>
      <c r="D209" s="7" t="s">
        <v>137</v>
      </c>
      <c r="E209" s="22" t="n">
        <v>-0.379640708719326</v>
      </c>
      <c r="F209" s="22" t="n">
        <v>0.352708850281981</v>
      </c>
      <c r="G209" s="23" t="n">
        <v>19</v>
      </c>
      <c r="H209" s="24" t="n">
        <f aca="false">IF(F209&gt;0,E209/F209,"")</f>
        <v>-1.07635719493802</v>
      </c>
      <c r="I209" s="24" t="n">
        <f aca="false">IF(H209="","",TDIST(ABS(H209),G209-1,2))</f>
        <v>0.295983127675533</v>
      </c>
    </row>
    <row r="210" customFormat="false" ht="15" hidden="false" customHeight="false" outlineLevel="0" collapsed="false">
      <c r="A210" s="7" t="s">
        <v>130</v>
      </c>
      <c r="B210" s="7" t="s">
        <v>46</v>
      </c>
      <c r="C210" s="7" t="s">
        <v>113</v>
      </c>
      <c r="D210" s="7" t="s">
        <v>117</v>
      </c>
      <c r="E210" s="22" t="n">
        <v>-1.17721358712751</v>
      </c>
      <c r="F210" s="22" t="n">
        <v>1.07109841093274</v>
      </c>
      <c r="G210" s="23" t="n">
        <v>19</v>
      </c>
      <c r="H210" s="24" t="n">
        <f aca="false">IF(F210&gt;0,E210/F210,"")</f>
        <v>-1.09907135993449</v>
      </c>
      <c r="I210" s="24" t="n">
        <f aca="false">IF(H210="","",TDIST(ABS(H210),G210-1,2))</f>
        <v>0.286220510259395</v>
      </c>
    </row>
    <row r="211" customFormat="false" ht="15" hidden="false" customHeight="false" outlineLevel="0" collapsed="false">
      <c r="A211" s="7" t="s">
        <v>130</v>
      </c>
      <c r="B211" s="7" t="s">
        <v>46</v>
      </c>
      <c r="C211" s="7" t="s">
        <v>116</v>
      </c>
      <c r="D211" s="7" t="s">
        <v>136</v>
      </c>
      <c r="E211" s="22" t="n">
        <v>-1.30370061039077</v>
      </c>
      <c r="F211" s="22" t="n">
        <v>0.158060924985962</v>
      </c>
      <c r="G211" s="23" t="n">
        <v>19</v>
      </c>
      <c r="H211" s="24" t="n">
        <f aca="false">IF(F211&gt;0,E211/F211,"")</f>
        <v>-8.24808921310917</v>
      </c>
      <c r="I211" s="24" t="n">
        <f aca="false">IF(H211="","",TDIST(ABS(H211),G211-1,2))</f>
        <v>1.5820619529713E-007</v>
      </c>
    </row>
    <row r="212" customFormat="false" ht="15" hidden="false" customHeight="false" outlineLevel="0" collapsed="false">
      <c r="A212" s="7" t="s">
        <v>130</v>
      </c>
      <c r="B212" s="7" t="s">
        <v>46</v>
      </c>
      <c r="C212" s="7" t="s">
        <v>116</v>
      </c>
      <c r="D212" s="7" t="s">
        <v>137</v>
      </c>
      <c r="E212" s="22" t="n">
        <v>-0.0921139865878082</v>
      </c>
      <c r="F212" s="22" t="n">
        <v>0.142015417523749</v>
      </c>
      <c r="G212" s="23" t="n">
        <v>19</v>
      </c>
      <c r="H212" s="24" t="n">
        <f aca="false">IF(F212&gt;0,E212/F212,"")</f>
        <v>-0.648619623094121</v>
      </c>
      <c r="I212" s="24" t="n">
        <f aca="false">IF(H212="","",TDIST(ABS(H212),G212-1,2))</f>
        <v>0.524773716917881</v>
      </c>
    </row>
    <row r="213" customFormat="false" ht="15" hidden="false" customHeight="false" outlineLevel="0" collapsed="false">
      <c r="A213" s="7" t="s">
        <v>130</v>
      </c>
      <c r="B213" s="7" t="s">
        <v>46</v>
      </c>
      <c r="C213" s="7" t="s">
        <v>116</v>
      </c>
      <c r="D213" s="7" t="s">
        <v>117</v>
      </c>
      <c r="E213" s="22" t="n">
        <v>-1.21158662380296</v>
      </c>
      <c r="F213" s="22" t="n">
        <v>0.256766892868749</v>
      </c>
      <c r="G213" s="23" t="n">
        <v>19</v>
      </c>
      <c r="H213" s="24" t="n">
        <f aca="false">IF(F213&gt;0,E213/F213,"")</f>
        <v>-4.7186247816703</v>
      </c>
      <c r="I213" s="24" t="n">
        <f aca="false">IF(H213="","",TDIST(ABS(H213),G213-1,2))</f>
        <v>0.000171317359804292</v>
      </c>
    </row>
    <row r="214" customFormat="false" ht="15" hidden="false" customHeight="false" outlineLevel="0" collapsed="false">
      <c r="A214" s="7" t="s">
        <v>130</v>
      </c>
      <c r="B214" s="7" t="s">
        <v>47</v>
      </c>
      <c r="C214" s="7" t="s">
        <v>113</v>
      </c>
      <c r="D214" s="7" t="s">
        <v>136</v>
      </c>
      <c r="E214" s="22" t="n">
        <v>-1.43231910387693</v>
      </c>
      <c r="F214" s="22" t="n">
        <v>0.7529520889148</v>
      </c>
      <c r="G214" s="23" t="n">
        <v>19</v>
      </c>
      <c r="H214" s="24" t="n">
        <f aca="false">IF(F214&gt;0,E214/F214,"")</f>
        <v>-1.90227124004832</v>
      </c>
      <c r="I214" s="24" t="n">
        <f aca="false">IF(H214="","",TDIST(ABS(H214),G214-1,2))</f>
        <v>0.0732601835957377</v>
      </c>
    </row>
    <row r="215" customFormat="false" ht="15" hidden="false" customHeight="false" outlineLevel="0" collapsed="false">
      <c r="A215" s="7" t="s">
        <v>130</v>
      </c>
      <c r="B215" s="7" t="s">
        <v>47</v>
      </c>
      <c r="C215" s="7" t="s">
        <v>113</v>
      </c>
      <c r="D215" s="7" t="s">
        <v>137</v>
      </c>
      <c r="E215" s="22" t="n">
        <v>-0.272235660085715</v>
      </c>
      <c r="F215" s="22" t="n">
        <v>0.27520181370373</v>
      </c>
      <c r="G215" s="23" t="n">
        <v>19</v>
      </c>
      <c r="H215" s="24" t="n">
        <f aca="false">IF(F215&gt;0,E215/F215,"")</f>
        <v>-0.989221896548951</v>
      </c>
      <c r="I215" s="24" t="n">
        <f aca="false">IF(H215="","",TDIST(ABS(H215),G215-1,2))</f>
        <v>0.33566666995869</v>
      </c>
    </row>
    <row r="216" customFormat="false" ht="15" hidden="false" customHeight="false" outlineLevel="0" collapsed="false">
      <c r="A216" s="7" t="s">
        <v>130</v>
      </c>
      <c r="B216" s="7" t="s">
        <v>47</v>
      </c>
      <c r="C216" s="7" t="s">
        <v>113</v>
      </c>
      <c r="D216" s="7" t="s">
        <v>117</v>
      </c>
      <c r="E216" s="22" t="n">
        <v>-1.16008344379122</v>
      </c>
      <c r="F216" s="22" t="n">
        <v>0.991254994668875</v>
      </c>
      <c r="G216" s="23" t="n">
        <v>19</v>
      </c>
      <c r="H216" s="24" t="n">
        <f aca="false">IF(F216&gt;0,E216/F216,"")</f>
        <v>-1.17031787988996</v>
      </c>
      <c r="I216" s="24" t="n">
        <f aca="false">IF(H216="","",TDIST(ABS(H216),G216-1,2))</f>
        <v>0.257135324909714</v>
      </c>
    </row>
    <row r="217" customFormat="false" ht="15" hidden="false" customHeight="false" outlineLevel="0" collapsed="false">
      <c r="A217" s="7" t="s">
        <v>130</v>
      </c>
      <c r="B217" s="7" t="s">
        <v>47</v>
      </c>
      <c r="C217" s="7" t="s">
        <v>116</v>
      </c>
      <c r="D217" s="7" t="s">
        <v>136</v>
      </c>
      <c r="E217" s="22" t="n">
        <v>-0.960946269368853</v>
      </c>
      <c r="F217" s="22" t="n">
        <v>0.267419421299443</v>
      </c>
      <c r="G217" s="23" t="n">
        <v>19</v>
      </c>
      <c r="H217" s="24" t="n">
        <f aca="false">IF(F217&gt;0,E217/F217,"")</f>
        <v>-3.59340493932501</v>
      </c>
      <c r="I217" s="24" t="n">
        <f aca="false">IF(H217="","",TDIST(ABS(H217),G217-1,2))</f>
        <v>0.00207745270037224</v>
      </c>
    </row>
    <row r="218" customFormat="false" ht="15" hidden="false" customHeight="false" outlineLevel="0" collapsed="false">
      <c r="A218" s="7" t="s">
        <v>130</v>
      </c>
      <c r="B218" s="7" t="s">
        <v>47</v>
      </c>
      <c r="C218" s="7" t="s">
        <v>116</v>
      </c>
      <c r="D218" s="7" t="s">
        <v>137</v>
      </c>
      <c r="E218" s="22" t="n">
        <v>-0.059631440278053</v>
      </c>
      <c r="F218" s="22" t="n">
        <v>0.142399591944827</v>
      </c>
      <c r="G218" s="23" t="n">
        <v>19</v>
      </c>
      <c r="H218" s="24" t="n">
        <f aca="false">IF(F218&gt;0,E218/F218,"")</f>
        <v>-0.418761314296163</v>
      </c>
      <c r="I218" s="24" t="n">
        <f aca="false">IF(H218="","",TDIST(ABS(H218),G218-1,2))</f>
        <v>0.68034493082516</v>
      </c>
    </row>
    <row r="219" customFormat="false" ht="15" hidden="false" customHeight="false" outlineLevel="0" collapsed="false">
      <c r="A219" s="7" t="s">
        <v>130</v>
      </c>
      <c r="B219" s="7" t="s">
        <v>47</v>
      </c>
      <c r="C219" s="7" t="s">
        <v>116</v>
      </c>
      <c r="D219" s="7" t="s">
        <v>117</v>
      </c>
      <c r="E219" s="22" t="n">
        <v>-0.9013148290908</v>
      </c>
      <c r="F219" s="22" t="n">
        <v>0.358835981764981</v>
      </c>
      <c r="G219" s="23" t="n">
        <v>19</v>
      </c>
      <c r="H219" s="24" t="n">
        <f aca="false">IF(F219&gt;0,E219/F219,"")</f>
        <v>-2.51177383231628</v>
      </c>
      <c r="I219" s="24" t="n">
        <f aca="false">IF(H219="","",TDIST(ABS(H219),G219-1,2))</f>
        <v>0.0217683178473406</v>
      </c>
    </row>
    <row r="220" customFormat="false" ht="15" hidden="false" customHeight="false" outlineLevel="0" collapsed="false">
      <c r="A220" s="7" t="s">
        <v>130</v>
      </c>
      <c r="B220" s="7" t="s">
        <v>48</v>
      </c>
      <c r="C220" s="7" t="s">
        <v>113</v>
      </c>
      <c r="D220" s="7" t="s">
        <v>136</v>
      </c>
      <c r="E220" s="22" t="n">
        <v>-1.40866662191584</v>
      </c>
      <c r="F220" s="22" t="n">
        <v>0.970706502341395</v>
      </c>
      <c r="G220" s="23" t="n">
        <v>19</v>
      </c>
      <c r="H220" s="24" t="n">
        <f aca="false">IF(F220&gt;0,E220/F220,"")</f>
        <v>-1.45117666206836</v>
      </c>
      <c r="I220" s="24" t="n">
        <f aca="false">IF(H220="","",TDIST(ABS(H220),G220-1,2))</f>
        <v>0.16393621677203</v>
      </c>
    </row>
    <row r="221" customFormat="false" ht="15" hidden="false" customHeight="false" outlineLevel="0" collapsed="false">
      <c r="A221" s="7" t="s">
        <v>130</v>
      </c>
      <c r="B221" s="7" t="s">
        <v>48</v>
      </c>
      <c r="C221" s="7" t="s">
        <v>113</v>
      </c>
      <c r="D221" s="7" t="s">
        <v>137</v>
      </c>
      <c r="E221" s="22" t="n">
        <v>-0.381907504291192</v>
      </c>
      <c r="F221" s="22" t="n">
        <v>0.304049945389078</v>
      </c>
      <c r="G221" s="23" t="n">
        <v>19</v>
      </c>
      <c r="H221" s="24" t="n">
        <f aca="false">IF(F221&gt;0,E221/F221,"")</f>
        <v>-1.25606832062569</v>
      </c>
      <c r="I221" s="24" t="n">
        <f aca="false">IF(H221="","",TDIST(ABS(H221),G221-1,2))</f>
        <v>0.225150296113358</v>
      </c>
    </row>
    <row r="222" customFormat="false" ht="15" hidden="false" customHeight="false" outlineLevel="0" collapsed="false">
      <c r="A222" s="7" t="s">
        <v>130</v>
      </c>
      <c r="B222" s="7" t="s">
        <v>48</v>
      </c>
      <c r="C222" s="7" t="s">
        <v>113</v>
      </c>
      <c r="D222" s="7" t="s">
        <v>117</v>
      </c>
      <c r="E222" s="22" t="n">
        <v>-1.02675911762465</v>
      </c>
      <c r="F222" s="22" t="n">
        <v>1.24081225319479</v>
      </c>
      <c r="G222" s="23" t="n">
        <v>19</v>
      </c>
      <c r="H222" s="24" t="n">
        <f aca="false">IF(F222&gt;0,E222/F222,"")</f>
        <v>-0.827489505346998</v>
      </c>
      <c r="I222" s="24" t="n">
        <f aca="false">IF(H222="","",TDIST(ABS(H222),G222-1,2))</f>
        <v>0.418795613138911</v>
      </c>
    </row>
    <row r="223" customFormat="false" ht="15" hidden="false" customHeight="false" outlineLevel="0" collapsed="false">
      <c r="A223" s="7" t="s">
        <v>130</v>
      </c>
      <c r="B223" s="7" t="s">
        <v>48</v>
      </c>
      <c r="C223" s="7" t="s">
        <v>116</v>
      </c>
      <c r="D223" s="7" t="s">
        <v>136</v>
      </c>
      <c r="E223" s="22" t="n">
        <v>-0.90115393672813</v>
      </c>
      <c r="F223" s="22" t="n">
        <v>0.269229055145197</v>
      </c>
      <c r="G223" s="23" t="n">
        <v>19</v>
      </c>
      <c r="H223" s="24" t="n">
        <f aca="false">IF(F223&gt;0,E223/F223,"")</f>
        <v>-3.34716450363105</v>
      </c>
      <c r="I223" s="24" t="n">
        <f aca="false">IF(H223="","",TDIST(ABS(H223),G223-1,2))</f>
        <v>0.00358734813025857</v>
      </c>
    </row>
    <row r="224" customFormat="false" ht="15" hidden="false" customHeight="false" outlineLevel="0" collapsed="false">
      <c r="A224" s="7" t="s">
        <v>130</v>
      </c>
      <c r="B224" s="7" t="s">
        <v>48</v>
      </c>
      <c r="C224" s="7" t="s">
        <v>116</v>
      </c>
      <c r="D224" s="7" t="s">
        <v>137</v>
      </c>
      <c r="E224" s="22" t="n">
        <v>-0.0974871000649995</v>
      </c>
      <c r="F224" s="22" t="n">
        <v>0.144941418199919</v>
      </c>
      <c r="G224" s="23" t="n">
        <v>19</v>
      </c>
      <c r="H224" s="24" t="n">
        <f aca="false">IF(F224&gt;0,E224/F224,"")</f>
        <v>-0.67259656539675</v>
      </c>
      <c r="I224" s="24" t="n">
        <f aca="false">IF(H224="","",TDIST(ABS(H224),G224-1,2))</f>
        <v>0.509746981261508</v>
      </c>
    </row>
    <row r="225" customFormat="false" ht="15" hidden="false" customHeight="false" outlineLevel="0" collapsed="false">
      <c r="A225" s="7" t="s">
        <v>130</v>
      </c>
      <c r="B225" s="7" t="s">
        <v>48</v>
      </c>
      <c r="C225" s="7" t="s">
        <v>116</v>
      </c>
      <c r="D225" s="7" t="s">
        <v>117</v>
      </c>
      <c r="E225" s="22" t="n">
        <v>-0.80366683666313</v>
      </c>
      <c r="F225" s="22" t="n">
        <v>0.335500101690981</v>
      </c>
      <c r="G225" s="23" t="n">
        <v>19</v>
      </c>
      <c r="H225" s="24" t="n">
        <f aca="false">IF(F225&gt;0,E225/F225,"")</f>
        <v>-2.39542948753966</v>
      </c>
      <c r="I225" s="24" t="n">
        <f aca="false">IF(H225="","",TDIST(ABS(H225),G225-1,2))</f>
        <v>0.0276852897007934</v>
      </c>
    </row>
    <row r="226" customFormat="false" ht="15" hidden="false" customHeight="false" outlineLevel="0" collapsed="false">
      <c r="A226" s="7" t="s">
        <v>133</v>
      </c>
      <c r="B226" s="7" t="s">
        <v>44</v>
      </c>
      <c r="C226" s="7" t="s">
        <v>113</v>
      </c>
      <c r="D226" s="7" t="s">
        <v>136</v>
      </c>
      <c r="E226" s="22" t="n">
        <v>-1.46809709511341</v>
      </c>
      <c r="F226" s="22" t="n">
        <v>0.300401866556577</v>
      </c>
      <c r="G226" s="23" t="n">
        <v>19</v>
      </c>
      <c r="H226" s="24" t="n">
        <f aca="false">IF(F226&gt;0,E226/F226,"")</f>
        <v>-4.8871104295782</v>
      </c>
      <c r="I226" s="24" t="n">
        <f aca="false">IF(H226="","",TDIST(ABS(H226),G226-1,2))</f>
        <v>0.000118607914246289</v>
      </c>
    </row>
    <row r="227" customFormat="false" ht="15" hidden="false" customHeight="false" outlineLevel="0" collapsed="false">
      <c r="A227" s="7" t="s">
        <v>133</v>
      </c>
      <c r="B227" s="7" t="s">
        <v>44</v>
      </c>
      <c r="C227" s="7" t="s">
        <v>113</v>
      </c>
      <c r="D227" s="7" t="s">
        <v>137</v>
      </c>
      <c r="E227" s="22" t="n">
        <v>-0.384238991348932</v>
      </c>
      <c r="F227" s="22" t="n">
        <v>0.16491732555204</v>
      </c>
      <c r="G227" s="23" t="n">
        <v>19</v>
      </c>
      <c r="H227" s="24" t="n">
        <f aca="false">IF(F227&gt;0,E227/F227,"")</f>
        <v>-2.32988856727297</v>
      </c>
      <c r="I227" s="24" t="n">
        <f aca="false">IF(H227="","",TDIST(ABS(H227),G227-1,2))</f>
        <v>0.0316500563073013</v>
      </c>
    </row>
    <row r="228" customFormat="false" ht="15" hidden="false" customHeight="false" outlineLevel="0" collapsed="false">
      <c r="A228" s="7" t="s">
        <v>133</v>
      </c>
      <c r="B228" s="7" t="s">
        <v>44</v>
      </c>
      <c r="C228" s="7" t="s">
        <v>113</v>
      </c>
      <c r="D228" s="7" t="s">
        <v>117</v>
      </c>
      <c r="E228" s="22" t="n">
        <v>-1.08385810376448</v>
      </c>
      <c r="F228" s="22" t="n">
        <v>0.281376781756308</v>
      </c>
      <c r="G228" s="23" t="n">
        <v>19</v>
      </c>
      <c r="H228" s="24" t="n">
        <f aca="false">IF(F228&gt;0,E228/F228,"")</f>
        <v>-3.85198130776538</v>
      </c>
      <c r="I228" s="24" t="n">
        <f aca="false">IF(H228="","",TDIST(ABS(H228),G228-1,2))</f>
        <v>0.00116794456720266</v>
      </c>
    </row>
    <row r="229" customFormat="false" ht="15" hidden="false" customHeight="false" outlineLevel="0" collapsed="false">
      <c r="A229" s="7" t="s">
        <v>133</v>
      </c>
      <c r="B229" s="7" t="s">
        <v>44</v>
      </c>
      <c r="C229" s="7" t="s">
        <v>116</v>
      </c>
      <c r="D229" s="7" t="s">
        <v>136</v>
      </c>
      <c r="E229" s="22" t="n">
        <v>-1.45902457697974</v>
      </c>
      <c r="F229" s="22" t="n">
        <v>0.492893849203096</v>
      </c>
      <c r="G229" s="23" t="n">
        <v>19</v>
      </c>
      <c r="H229" s="24" t="n">
        <f aca="false">IF(F229&gt;0,E229/F229,"")</f>
        <v>-2.96011926165983</v>
      </c>
      <c r="I229" s="24" t="n">
        <f aca="false">IF(H229="","",TDIST(ABS(H229),G229-1,2))</f>
        <v>0.00838074075226884</v>
      </c>
    </row>
    <row r="230" customFormat="false" ht="15" hidden="false" customHeight="false" outlineLevel="0" collapsed="false">
      <c r="A230" s="7" t="s">
        <v>133</v>
      </c>
      <c r="B230" s="7" t="s">
        <v>44</v>
      </c>
      <c r="C230" s="7" t="s">
        <v>116</v>
      </c>
      <c r="D230" s="7" t="s">
        <v>137</v>
      </c>
      <c r="E230" s="22" t="n">
        <v>-0.309437428767958</v>
      </c>
      <c r="F230" s="22" t="n">
        <v>0.193515269237135</v>
      </c>
      <c r="G230" s="23" t="n">
        <v>19</v>
      </c>
      <c r="H230" s="24" t="n">
        <f aca="false">IF(F230&gt;0,E230/F230,"")</f>
        <v>-1.59903365759098</v>
      </c>
      <c r="I230" s="24" t="n">
        <f aca="false">IF(H230="","",TDIST(ABS(H230),G230-1,2))</f>
        <v>0.12721832709042</v>
      </c>
    </row>
    <row r="231" customFormat="false" ht="15" hidden="false" customHeight="false" outlineLevel="0" collapsed="false">
      <c r="A231" s="7" t="s">
        <v>133</v>
      </c>
      <c r="B231" s="7" t="s">
        <v>44</v>
      </c>
      <c r="C231" s="7" t="s">
        <v>116</v>
      </c>
      <c r="D231" s="7" t="s">
        <v>117</v>
      </c>
      <c r="E231" s="22" t="n">
        <v>-1.14958714821178</v>
      </c>
      <c r="F231" s="22" t="n">
        <v>0.542764006263604</v>
      </c>
      <c r="G231" s="23" t="n">
        <v>19</v>
      </c>
      <c r="H231" s="24" t="n">
        <f aca="false">IF(F231&gt;0,E231/F231,"")</f>
        <v>-2.11802392005608</v>
      </c>
      <c r="I231" s="24" t="n">
        <f aca="false">IF(H231="","",TDIST(ABS(H231),G231-1,2))</f>
        <v>0.0483498418835488</v>
      </c>
    </row>
    <row r="232" customFormat="false" ht="15" hidden="false" customHeight="false" outlineLevel="0" collapsed="false">
      <c r="A232" s="7" t="s">
        <v>133</v>
      </c>
      <c r="B232" s="7" t="s">
        <v>45</v>
      </c>
      <c r="C232" s="7" t="s">
        <v>113</v>
      </c>
      <c r="D232" s="7" t="s">
        <v>136</v>
      </c>
      <c r="E232" s="22" t="n">
        <v>-1.32441315882092</v>
      </c>
      <c r="F232" s="22" t="n">
        <v>0.211306733560243</v>
      </c>
      <c r="G232" s="23" t="n">
        <v>19</v>
      </c>
      <c r="H232" s="24" t="n">
        <f aca="false">IF(F232&gt;0,E232/F232,"")</f>
        <v>-6.2677281339136</v>
      </c>
      <c r="I232" s="24" t="n">
        <f aca="false">IF(H232="","",TDIST(ABS(H232),G232-1,2))</f>
        <v>6.54370279606112E-006</v>
      </c>
    </row>
    <row r="233" customFormat="false" ht="15" hidden="false" customHeight="false" outlineLevel="0" collapsed="false">
      <c r="A233" s="7" t="s">
        <v>133</v>
      </c>
      <c r="B233" s="7" t="s">
        <v>45</v>
      </c>
      <c r="C233" s="7" t="s">
        <v>113</v>
      </c>
      <c r="D233" s="7" t="s">
        <v>137</v>
      </c>
      <c r="E233" s="22" t="n">
        <v>-0.358991328894381</v>
      </c>
      <c r="F233" s="22" t="n">
        <v>0.155811310957158</v>
      </c>
      <c r="G233" s="23" t="n">
        <v>19</v>
      </c>
      <c r="H233" s="24" t="n">
        <f aca="false">IF(F233&gt;0,E233/F233,"")</f>
        <v>-2.30401327534616</v>
      </c>
      <c r="I233" s="24" t="n">
        <f aca="false">IF(H233="","",TDIST(ABS(H233),G233-1,2))</f>
        <v>0.0333560293407097</v>
      </c>
    </row>
    <row r="234" customFormat="false" ht="15" hidden="false" customHeight="false" outlineLevel="0" collapsed="false">
      <c r="A234" s="7" t="s">
        <v>133</v>
      </c>
      <c r="B234" s="7" t="s">
        <v>45</v>
      </c>
      <c r="C234" s="7" t="s">
        <v>113</v>
      </c>
      <c r="D234" s="7" t="s">
        <v>117</v>
      </c>
      <c r="E234" s="22" t="n">
        <v>-0.96542182992654</v>
      </c>
      <c r="F234" s="22" t="n">
        <v>0.195015281047718</v>
      </c>
      <c r="G234" s="23" t="n">
        <v>19</v>
      </c>
      <c r="H234" s="24" t="n">
        <f aca="false">IF(F234&gt;0,E234/F234,"")</f>
        <v>-4.95049323693929</v>
      </c>
      <c r="I234" s="24" t="n">
        <f aca="false">IF(H234="","",TDIST(ABS(H234),G234-1,2))</f>
        <v>0.000103353641262651</v>
      </c>
    </row>
    <row r="235" customFormat="false" ht="15" hidden="false" customHeight="false" outlineLevel="0" collapsed="false">
      <c r="A235" s="7" t="s">
        <v>133</v>
      </c>
      <c r="B235" s="7" t="s">
        <v>45</v>
      </c>
      <c r="C235" s="7" t="s">
        <v>116</v>
      </c>
      <c r="D235" s="7" t="s">
        <v>136</v>
      </c>
      <c r="E235" s="22" t="n">
        <v>-1.21263369352778</v>
      </c>
      <c r="F235" s="22" t="n">
        <v>0.491708201161871</v>
      </c>
      <c r="G235" s="23" t="n">
        <v>19</v>
      </c>
      <c r="H235" s="24" t="n">
        <f aca="false">IF(F235&gt;0,E235/F235,"")</f>
        <v>-2.46616527985991</v>
      </c>
      <c r="I235" s="24" t="n">
        <f aca="false">IF(H235="","",TDIST(ABS(H235),G235-1,2))</f>
        <v>0.0239299783794331</v>
      </c>
    </row>
    <row r="236" customFormat="false" ht="15" hidden="false" customHeight="false" outlineLevel="0" collapsed="false">
      <c r="A236" s="7" t="s">
        <v>133</v>
      </c>
      <c r="B236" s="7" t="s">
        <v>45</v>
      </c>
      <c r="C236" s="7" t="s">
        <v>116</v>
      </c>
      <c r="D236" s="7" t="s">
        <v>137</v>
      </c>
      <c r="E236" s="22" t="n">
        <v>-0.255563690695982</v>
      </c>
      <c r="F236" s="22" t="n">
        <v>0.168863570525421</v>
      </c>
      <c r="G236" s="23" t="n">
        <v>19</v>
      </c>
      <c r="H236" s="24" t="n">
        <f aca="false">IF(F236&gt;0,E236/F236,"")</f>
        <v>-1.51343294412639</v>
      </c>
      <c r="I236" s="24" t="n">
        <f aca="false">IF(H236="","",TDIST(ABS(H236),G236-1,2))</f>
        <v>0.147530459140045</v>
      </c>
    </row>
    <row r="237" customFormat="false" ht="15" hidden="false" customHeight="false" outlineLevel="0" collapsed="false">
      <c r="A237" s="7" t="s">
        <v>133</v>
      </c>
      <c r="B237" s="7" t="s">
        <v>45</v>
      </c>
      <c r="C237" s="7" t="s">
        <v>116</v>
      </c>
      <c r="D237" s="7" t="s">
        <v>117</v>
      </c>
      <c r="E237" s="22" t="n">
        <v>-0.957070002831797</v>
      </c>
      <c r="F237" s="22" t="n">
        <v>0.538300243866221</v>
      </c>
      <c r="G237" s="23" t="n">
        <v>19</v>
      </c>
      <c r="H237" s="24" t="n">
        <f aca="false">IF(F237&gt;0,E237/F237,"")</f>
        <v>-1.77794829881157</v>
      </c>
      <c r="I237" s="24" t="n">
        <f aca="false">IF(H237="","",TDIST(ABS(H237),G237-1,2))</f>
        <v>0.0923102659663741</v>
      </c>
    </row>
    <row r="238" customFormat="false" ht="15" hidden="false" customHeight="false" outlineLevel="0" collapsed="false">
      <c r="A238" s="7" t="s">
        <v>133</v>
      </c>
      <c r="B238" s="7" t="s">
        <v>46</v>
      </c>
      <c r="C238" s="7" t="s">
        <v>113</v>
      </c>
      <c r="D238" s="7" t="s">
        <v>136</v>
      </c>
      <c r="E238" s="22" t="n">
        <v>-1.51067290423652</v>
      </c>
      <c r="F238" s="22" t="n">
        <v>0.280701866383384</v>
      </c>
      <c r="G238" s="23" t="n">
        <v>19</v>
      </c>
      <c r="H238" s="24" t="n">
        <f aca="false">IF(F238&gt;0,E238/F238,"")</f>
        <v>-5.38177007406582</v>
      </c>
      <c r="I238" s="24" t="n">
        <f aca="false">IF(H238="","",TDIST(ABS(H238),G238-1,2))</f>
        <v>4.09431241890667E-005</v>
      </c>
    </row>
    <row r="239" customFormat="false" ht="15" hidden="false" customHeight="false" outlineLevel="0" collapsed="false">
      <c r="A239" s="7" t="s">
        <v>133</v>
      </c>
      <c r="B239" s="7" t="s">
        <v>46</v>
      </c>
      <c r="C239" s="7" t="s">
        <v>113</v>
      </c>
      <c r="D239" s="7" t="s">
        <v>137</v>
      </c>
      <c r="E239" s="22" t="n">
        <v>-0.352534512059648</v>
      </c>
      <c r="F239" s="22" t="n">
        <v>0.146151762836571</v>
      </c>
      <c r="G239" s="23" t="n">
        <v>19</v>
      </c>
      <c r="H239" s="24" t="n">
        <f aca="false">IF(F239&gt;0,E239/F239,"")</f>
        <v>-2.41211262332742</v>
      </c>
      <c r="I239" s="24" t="n">
        <f aca="false">IF(H239="","",TDIST(ABS(H239),G239-1,2))</f>
        <v>0.0267528758618305</v>
      </c>
    </row>
    <row r="240" customFormat="false" ht="15" hidden="false" customHeight="false" outlineLevel="0" collapsed="false">
      <c r="A240" s="7" t="s">
        <v>133</v>
      </c>
      <c r="B240" s="7" t="s">
        <v>46</v>
      </c>
      <c r="C240" s="7" t="s">
        <v>113</v>
      </c>
      <c r="D240" s="7" t="s">
        <v>117</v>
      </c>
      <c r="E240" s="22" t="n">
        <v>-1.15813839217687</v>
      </c>
      <c r="F240" s="22" t="n">
        <v>0.238789879315687</v>
      </c>
      <c r="G240" s="23" t="n">
        <v>19</v>
      </c>
      <c r="H240" s="24" t="n">
        <f aca="false">IF(F240&gt;0,E240/F240,"")</f>
        <v>-4.85003131412356</v>
      </c>
      <c r="I240" s="24" t="n">
        <f aca="false">IF(H240="","",TDIST(ABS(H240),G240-1,2))</f>
        <v>0.000128577240655896</v>
      </c>
    </row>
    <row r="241" customFormat="false" ht="15" hidden="false" customHeight="false" outlineLevel="0" collapsed="false">
      <c r="A241" s="7" t="s">
        <v>133</v>
      </c>
      <c r="B241" s="7" t="s">
        <v>46</v>
      </c>
      <c r="C241" s="7" t="s">
        <v>116</v>
      </c>
      <c r="D241" s="7" t="s">
        <v>136</v>
      </c>
      <c r="E241" s="22" t="n">
        <v>-1.47756952089037</v>
      </c>
      <c r="F241" s="22" t="n">
        <v>0.492409516442548</v>
      </c>
      <c r="G241" s="23" t="n">
        <v>19</v>
      </c>
      <c r="H241" s="24" t="n">
        <f aca="false">IF(F241&gt;0,E241/F241,"")</f>
        <v>-3.00069245526607</v>
      </c>
      <c r="I241" s="24" t="n">
        <f aca="false">IF(H241="","",TDIST(ABS(H241),G241-1,2))</f>
        <v>0.0076738478592004</v>
      </c>
    </row>
    <row r="242" customFormat="false" ht="15" hidden="false" customHeight="false" outlineLevel="0" collapsed="false">
      <c r="A242" s="7" t="s">
        <v>133</v>
      </c>
      <c r="B242" s="7" t="s">
        <v>46</v>
      </c>
      <c r="C242" s="7" t="s">
        <v>116</v>
      </c>
      <c r="D242" s="7" t="s">
        <v>137</v>
      </c>
      <c r="E242" s="22" t="n">
        <v>-0.20785832850685</v>
      </c>
      <c r="F242" s="22" t="n">
        <v>0.089931903921493</v>
      </c>
      <c r="G242" s="23" t="n">
        <v>19</v>
      </c>
      <c r="H242" s="24" t="n">
        <f aca="false">IF(F242&gt;0,E242/F242,"")</f>
        <v>-2.31128575559017</v>
      </c>
      <c r="I242" s="24" t="n">
        <f aca="false">IF(H242="","",TDIST(ABS(H242),G242-1,2))</f>
        <v>0.0328681231482553</v>
      </c>
    </row>
    <row r="243" customFormat="false" ht="15" hidden="false" customHeight="false" outlineLevel="0" collapsed="false">
      <c r="A243" s="7" t="s">
        <v>133</v>
      </c>
      <c r="B243" s="7" t="s">
        <v>46</v>
      </c>
      <c r="C243" s="7" t="s">
        <v>116</v>
      </c>
      <c r="D243" s="7" t="s">
        <v>117</v>
      </c>
      <c r="E243" s="22" t="n">
        <v>-1.26971119238352</v>
      </c>
      <c r="F243" s="22" t="n">
        <v>0.519754869134012</v>
      </c>
      <c r="G243" s="23" t="n">
        <v>19</v>
      </c>
      <c r="H243" s="24" t="n">
        <f aca="false">IF(F243&gt;0,E243/F243,"")</f>
        <v>-2.44290389140373</v>
      </c>
      <c r="I243" s="24" t="n">
        <f aca="false">IF(H243="","",TDIST(ABS(H243),G243-1,2))</f>
        <v>0.0251086996786128</v>
      </c>
    </row>
    <row r="244" customFormat="false" ht="15" hidden="false" customHeight="false" outlineLevel="0" collapsed="false">
      <c r="A244" s="7" t="s">
        <v>133</v>
      </c>
      <c r="B244" s="7" t="s">
        <v>47</v>
      </c>
      <c r="C244" s="7" t="s">
        <v>113</v>
      </c>
      <c r="D244" s="7" t="s">
        <v>136</v>
      </c>
      <c r="E244" s="22" t="n">
        <v>-1.29524070692737</v>
      </c>
      <c r="F244" s="22" t="n">
        <v>0.238863959202297</v>
      </c>
      <c r="G244" s="23" t="n">
        <v>19</v>
      </c>
      <c r="H244" s="24" t="n">
        <f aca="false">IF(F244&gt;0,E244/F244,"")</f>
        <v>-5.42250371823743</v>
      </c>
      <c r="I244" s="24" t="n">
        <f aca="false">IF(H244="","",TDIST(ABS(H244),G244-1,2))</f>
        <v>3.75536814983268E-005</v>
      </c>
    </row>
    <row r="245" customFormat="false" ht="15" hidden="false" customHeight="false" outlineLevel="0" collapsed="false">
      <c r="A245" s="7" t="s">
        <v>133</v>
      </c>
      <c r="B245" s="7" t="s">
        <v>47</v>
      </c>
      <c r="C245" s="7" t="s">
        <v>113</v>
      </c>
      <c r="D245" s="7" t="s">
        <v>137</v>
      </c>
      <c r="E245" s="22" t="n">
        <v>-0.273595968357802</v>
      </c>
      <c r="F245" s="22" t="n">
        <v>0.155308205768018</v>
      </c>
      <c r="G245" s="23" t="n">
        <v>19</v>
      </c>
      <c r="H245" s="24" t="n">
        <f aca="false">IF(F245&gt;0,E245/F245,"")</f>
        <v>-1.76163240702471</v>
      </c>
      <c r="I245" s="24" t="n">
        <f aca="false">IF(H245="","",TDIST(ABS(H245),G245-1,2))</f>
        <v>0.0951070150441832</v>
      </c>
    </row>
    <row r="246" customFormat="false" ht="15" hidden="false" customHeight="false" outlineLevel="0" collapsed="false">
      <c r="A246" s="7" t="s">
        <v>133</v>
      </c>
      <c r="B246" s="7" t="s">
        <v>47</v>
      </c>
      <c r="C246" s="7" t="s">
        <v>113</v>
      </c>
      <c r="D246" s="7" t="s">
        <v>117</v>
      </c>
      <c r="E246" s="22" t="n">
        <v>-1.02164473856957</v>
      </c>
      <c r="F246" s="22" t="n">
        <v>0.24179479156089</v>
      </c>
      <c r="G246" s="23" t="n">
        <v>19</v>
      </c>
      <c r="H246" s="24" t="n">
        <f aca="false">IF(F246&gt;0,E246/F246,"")</f>
        <v>-4.22525535796039</v>
      </c>
      <c r="I246" s="24" t="n">
        <f aca="false">IF(H246="","",TDIST(ABS(H246),G246-1,2))</f>
        <v>0.000508860834067618</v>
      </c>
    </row>
    <row r="247" customFormat="false" ht="15" hidden="false" customHeight="false" outlineLevel="0" collapsed="false">
      <c r="A247" s="7" t="s">
        <v>133</v>
      </c>
      <c r="B247" s="7" t="s">
        <v>47</v>
      </c>
      <c r="C247" s="7" t="s">
        <v>116</v>
      </c>
      <c r="D247" s="7" t="s">
        <v>136</v>
      </c>
      <c r="E247" s="22" t="n">
        <v>-1.33069616828805</v>
      </c>
      <c r="F247" s="22" t="n">
        <v>0.436979916194337</v>
      </c>
      <c r="G247" s="23" t="n">
        <v>19</v>
      </c>
      <c r="H247" s="24" t="n">
        <f aca="false">IF(F247&gt;0,E247/F247,"")</f>
        <v>-3.04521127624605</v>
      </c>
      <c r="I247" s="24" t="n">
        <f aca="false">IF(H247="","",TDIST(ABS(H247),G247-1,2))</f>
        <v>0.00696480820512557</v>
      </c>
    </row>
    <row r="248" customFormat="false" ht="15" hidden="false" customHeight="false" outlineLevel="0" collapsed="false">
      <c r="A248" s="7" t="s">
        <v>133</v>
      </c>
      <c r="B248" s="7" t="s">
        <v>47</v>
      </c>
      <c r="C248" s="7" t="s">
        <v>116</v>
      </c>
      <c r="D248" s="7" t="s">
        <v>137</v>
      </c>
      <c r="E248" s="22" t="n">
        <v>-0.181377190331508</v>
      </c>
      <c r="F248" s="22" t="n">
        <v>0.0937578528692195</v>
      </c>
      <c r="G248" s="23" t="n">
        <v>19</v>
      </c>
      <c r="H248" s="24" t="n">
        <f aca="false">IF(F248&gt;0,E248/F248,"")</f>
        <v>-1.93452798651976</v>
      </c>
      <c r="I248" s="24" t="n">
        <f aca="false">IF(H248="","",TDIST(ABS(H248),G248-1,2))</f>
        <v>0.0689245666988392</v>
      </c>
    </row>
    <row r="249" customFormat="false" ht="15" hidden="false" customHeight="false" outlineLevel="0" collapsed="false">
      <c r="A249" s="7" t="s">
        <v>133</v>
      </c>
      <c r="B249" s="7" t="s">
        <v>47</v>
      </c>
      <c r="C249" s="7" t="s">
        <v>116</v>
      </c>
      <c r="D249" s="7" t="s">
        <v>117</v>
      </c>
      <c r="E249" s="22" t="n">
        <v>-1.14931897795654</v>
      </c>
      <c r="F249" s="22" t="n">
        <v>0.470770345511976</v>
      </c>
      <c r="G249" s="23" t="n">
        <v>19</v>
      </c>
      <c r="H249" s="24" t="n">
        <f aca="false">IF(F249&gt;0,E249/F249,"")</f>
        <v>-2.44135806112984</v>
      </c>
      <c r="I249" s="24" t="n">
        <f aca="false">IF(H249="","",TDIST(ABS(H249),G249-1,2))</f>
        <v>0.0251889317390057</v>
      </c>
    </row>
    <row r="250" customFormat="false" ht="15" hidden="false" customHeight="false" outlineLevel="0" collapsed="false">
      <c r="A250" s="7" t="s">
        <v>133</v>
      </c>
      <c r="B250" s="7" t="s">
        <v>48</v>
      </c>
      <c r="C250" s="7" t="s">
        <v>113</v>
      </c>
      <c r="D250" s="7" t="s">
        <v>136</v>
      </c>
      <c r="E250" s="22" t="n">
        <v>-1.34073738207631</v>
      </c>
      <c r="F250" s="22" t="n">
        <v>0.190850317472604</v>
      </c>
      <c r="G250" s="23" t="n">
        <v>19</v>
      </c>
      <c r="H250" s="24" t="n">
        <f aca="false">IF(F250&gt;0,E250/F250,"")</f>
        <v>-7.0250728415412</v>
      </c>
      <c r="I250" s="24" t="n">
        <f aca="false">IF(H250="","",TDIST(ABS(H250),G250-1,2))</f>
        <v>1.48080185711467E-006</v>
      </c>
    </row>
    <row r="251" customFormat="false" ht="15" hidden="false" customHeight="false" outlineLevel="0" collapsed="false">
      <c r="A251" s="7" t="s">
        <v>133</v>
      </c>
      <c r="B251" s="7" t="s">
        <v>48</v>
      </c>
      <c r="C251" s="7" t="s">
        <v>113</v>
      </c>
      <c r="D251" s="7" t="s">
        <v>137</v>
      </c>
      <c r="E251" s="22" t="n">
        <v>-0.322149896955388</v>
      </c>
      <c r="F251" s="22" t="n">
        <v>0.150374907095459</v>
      </c>
      <c r="G251" s="23" t="n">
        <v>19</v>
      </c>
      <c r="H251" s="24" t="n">
        <f aca="false">IF(F251&gt;0,E251/F251,"")</f>
        <v>-2.142311527753</v>
      </c>
      <c r="I251" s="24" t="n">
        <f aca="false">IF(H251="","",TDIST(ABS(H251),G251-1,2))</f>
        <v>0.0460915068250548</v>
      </c>
    </row>
    <row r="252" customFormat="false" ht="15" hidden="false" customHeight="false" outlineLevel="0" collapsed="false">
      <c r="A252" s="7" t="s">
        <v>133</v>
      </c>
      <c r="B252" s="7" t="s">
        <v>48</v>
      </c>
      <c r="C252" s="7" t="s">
        <v>113</v>
      </c>
      <c r="D252" s="7" t="s">
        <v>117</v>
      </c>
      <c r="E252" s="22" t="n">
        <v>-1.01858748512092</v>
      </c>
      <c r="F252" s="22" t="n">
        <v>0.183394802812537</v>
      </c>
      <c r="G252" s="23" t="n">
        <v>19</v>
      </c>
      <c r="H252" s="24" t="n">
        <f aca="false">IF(F252&gt;0,E252/F252,"")</f>
        <v>-5.55406952378091</v>
      </c>
      <c r="I252" s="24" t="n">
        <f aca="false">IF(H252="","",TDIST(ABS(H252),G252-1,2))</f>
        <v>2.84453216008054E-005</v>
      </c>
    </row>
    <row r="253" customFormat="false" ht="15" hidden="false" customHeight="false" outlineLevel="0" collapsed="false">
      <c r="A253" s="7" t="s">
        <v>133</v>
      </c>
      <c r="B253" s="7" t="s">
        <v>48</v>
      </c>
      <c r="C253" s="7" t="s">
        <v>116</v>
      </c>
      <c r="D253" s="7" t="s">
        <v>136</v>
      </c>
      <c r="E253" s="22" t="n">
        <v>-1.20113458635165</v>
      </c>
      <c r="F253" s="22" t="n">
        <v>0.470646486802236</v>
      </c>
      <c r="G253" s="23" t="n">
        <v>19</v>
      </c>
      <c r="H253" s="24" t="n">
        <f aca="false">IF(F253&gt;0,E253/F253,"")</f>
        <v>-2.55209508629852</v>
      </c>
      <c r="I253" s="24" t="n">
        <f aca="false">IF(H253="","",TDIST(ABS(H253),G253-1,2))</f>
        <v>0.0200119049844676</v>
      </c>
    </row>
    <row r="254" customFormat="false" ht="15" hidden="false" customHeight="false" outlineLevel="0" collapsed="false">
      <c r="A254" s="7" t="s">
        <v>133</v>
      </c>
      <c r="B254" s="7" t="s">
        <v>48</v>
      </c>
      <c r="C254" s="7" t="s">
        <v>116</v>
      </c>
      <c r="D254" s="7" t="s">
        <v>137</v>
      </c>
      <c r="E254" s="22" t="n">
        <v>-0.190643450075837</v>
      </c>
      <c r="F254" s="22" t="n">
        <v>0.0974327226597392</v>
      </c>
      <c r="G254" s="23" t="n">
        <v>19</v>
      </c>
      <c r="H254" s="24" t="n">
        <f aca="false">IF(F254&gt;0,E254/F254,"")</f>
        <v>-1.95666758427365</v>
      </c>
      <c r="I254" s="24" t="n">
        <f aca="false">IF(H254="","",TDIST(ABS(H254),G254-1,2))</f>
        <v>0.066082547457011</v>
      </c>
    </row>
    <row r="255" customFormat="false" ht="15" hidden="false" customHeight="false" outlineLevel="0" collapsed="false">
      <c r="A255" s="7" t="s">
        <v>133</v>
      </c>
      <c r="B255" s="7" t="s">
        <v>48</v>
      </c>
      <c r="C255" s="7" t="s">
        <v>116</v>
      </c>
      <c r="D255" s="7" t="s">
        <v>117</v>
      </c>
      <c r="E255" s="22" t="n">
        <v>-1.01049113627581</v>
      </c>
      <c r="F255" s="22" t="n">
        <v>0.488141717006459</v>
      </c>
      <c r="G255" s="23" t="n">
        <v>19</v>
      </c>
      <c r="H255" s="24" t="n">
        <f aca="false">IF(F255&gt;0,E255/F255,"")</f>
        <v>-2.0700773998024</v>
      </c>
      <c r="I255" s="24" t="n">
        <f aca="false">IF(H255="","",TDIST(ABS(H255),G255-1,2))</f>
        <v>0.0531061040809327</v>
      </c>
    </row>
    <row r="256" customFormat="false" ht="15" hidden="false" customHeight="false" outlineLevel="0" collapsed="false">
      <c r="A256" s="7" t="s">
        <v>138</v>
      </c>
      <c r="B256" s="7" t="s">
        <v>44</v>
      </c>
      <c r="C256" s="7" t="s">
        <v>113</v>
      </c>
      <c r="D256" s="7" t="s">
        <v>136</v>
      </c>
      <c r="E256" s="22" t="n">
        <v>-0.464844819884039</v>
      </c>
      <c r="F256" s="22" t="n">
        <v>0.192206543177236</v>
      </c>
      <c r="G256" s="23" t="n">
        <v>19</v>
      </c>
      <c r="H256" s="24" t="n">
        <f aca="false">IF(F256&gt;0,E256/F256,"")</f>
        <v>-2.41846511674371</v>
      </c>
      <c r="I256" s="24" t="n">
        <f aca="false">IF(H256="","",TDIST(ABS(H256),G256-1,2))</f>
        <v>0.0264056264179066</v>
      </c>
    </row>
    <row r="257" customFormat="false" ht="15" hidden="false" customHeight="false" outlineLevel="0" collapsed="false">
      <c r="A257" s="7" t="s">
        <v>138</v>
      </c>
      <c r="B257" s="7" t="s">
        <v>44</v>
      </c>
      <c r="C257" s="7" t="s">
        <v>113</v>
      </c>
      <c r="D257" s="7" t="s">
        <v>137</v>
      </c>
      <c r="E257" s="22" t="n">
        <v>-0.248274906957722</v>
      </c>
      <c r="F257" s="22" t="n">
        <v>0.353795313433103</v>
      </c>
      <c r="G257" s="23" t="n">
        <v>19</v>
      </c>
      <c r="H257" s="24" t="n">
        <f aca="false">IF(F257&gt;0,E257/F257,"")</f>
        <v>-0.701747302836071</v>
      </c>
      <c r="I257" s="24" t="n">
        <f aca="false">IF(H257="","",TDIST(ABS(H257),G257-1,2))</f>
        <v>0.491811451152168</v>
      </c>
    </row>
    <row r="258" customFormat="false" ht="15" hidden="false" customHeight="false" outlineLevel="0" collapsed="false">
      <c r="A258" s="7" t="s">
        <v>138</v>
      </c>
      <c r="B258" s="7" t="s">
        <v>44</v>
      </c>
      <c r="C258" s="7" t="s">
        <v>113</v>
      </c>
      <c r="D258" s="7" t="s">
        <v>117</v>
      </c>
      <c r="E258" s="22" t="n">
        <v>-0.216569912926317</v>
      </c>
      <c r="F258" s="22" t="n">
        <v>0.414530449300376</v>
      </c>
      <c r="G258" s="23" t="n">
        <v>19</v>
      </c>
      <c r="H258" s="24" t="n">
        <f aca="false">IF(F258&gt;0,E258/F258,"")</f>
        <v>-0.522446332451169</v>
      </c>
      <c r="I258" s="24" t="n">
        <f aca="false">IF(H258="","",TDIST(ABS(H258),G258-1,2))</f>
        <v>0.607730473077814</v>
      </c>
    </row>
    <row r="259" customFormat="false" ht="15" hidden="false" customHeight="false" outlineLevel="0" collapsed="false">
      <c r="A259" s="7" t="s">
        <v>138</v>
      </c>
      <c r="B259" s="7" t="s">
        <v>44</v>
      </c>
      <c r="C259" s="7" t="s">
        <v>116</v>
      </c>
      <c r="D259" s="7" t="s">
        <v>136</v>
      </c>
      <c r="E259" s="22" t="n">
        <v>-0.357160616612614</v>
      </c>
      <c r="F259" s="22" t="n">
        <v>0.210466604409115</v>
      </c>
      <c r="G259" s="23" t="n">
        <v>19</v>
      </c>
      <c r="H259" s="24" t="n">
        <f aca="false">IF(F259&gt;0,E259/F259,"")</f>
        <v>-1.69699424578708</v>
      </c>
      <c r="I259" s="24" t="n">
        <f aca="false">IF(H259="","",TDIST(ABS(H259),G259-1,2))</f>
        <v>0.106921208440059</v>
      </c>
    </row>
    <row r="260" customFormat="false" ht="15" hidden="false" customHeight="false" outlineLevel="0" collapsed="false">
      <c r="A260" s="7" t="s">
        <v>138</v>
      </c>
      <c r="B260" s="7" t="s">
        <v>44</v>
      </c>
      <c r="C260" s="7" t="s">
        <v>116</v>
      </c>
      <c r="D260" s="7" t="s">
        <v>137</v>
      </c>
      <c r="E260" s="22" t="n">
        <v>-0.57463298459512</v>
      </c>
      <c r="F260" s="22" t="n">
        <v>0.413947261854844</v>
      </c>
      <c r="G260" s="23" t="n">
        <v>19</v>
      </c>
      <c r="H260" s="24" t="n">
        <f aca="false">IF(F260&gt;0,E260/F260,"")</f>
        <v>-1.38817921399036</v>
      </c>
      <c r="I260" s="24" t="n">
        <f aca="false">IF(H260="","",TDIST(ABS(H260),G260-1,2))</f>
        <v>0.182025476250268</v>
      </c>
    </row>
    <row r="261" customFormat="false" ht="15" hidden="false" customHeight="false" outlineLevel="0" collapsed="false">
      <c r="A261" s="7" t="s">
        <v>138</v>
      </c>
      <c r="B261" s="7" t="s">
        <v>44</v>
      </c>
      <c r="C261" s="7" t="s">
        <v>116</v>
      </c>
      <c r="D261" s="7" t="s">
        <v>117</v>
      </c>
      <c r="E261" s="22" t="n">
        <v>0.217472367982506</v>
      </c>
      <c r="F261" s="22" t="n">
        <v>0.419296754478976</v>
      </c>
      <c r="G261" s="23" t="n">
        <v>19</v>
      </c>
      <c r="H261" s="24" t="n">
        <f aca="false">IF(F261&gt;0,E261/F261,"")</f>
        <v>0.518659793235796</v>
      </c>
      <c r="I261" s="24" t="n">
        <f aca="false">IF(H261="","",TDIST(ABS(H261),G261-1,2))</f>
        <v>0.610315742882991</v>
      </c>
    </row>
    <row r="262" customFormat="false" ht="15" hidden="false" customHeight="false" outlineLevel="0" collapsed="false">
      <c r="A262" s="7" t="s">
        <v>139</v>
      </c>
      <c r="B262" s="7" t="s">
        <v>44</v>
      </c>
      <c r="C262" s="7" t="s">
        <v>113</v>
      </c>
      <c r="D262" s="7" t="s">
        <v>136</v>
      </c>
      <c r="E262" s="22" t="n">
        <v>-0.253907471598457</v>
      </c>
      <c r="F262" s="22" t="n">
        <v>0.219047025200785</v>
      </c>
      <c r="G262" s="23" t="n">
        <v>19</v>
      </c>
      <c r="H262" s="24" t="n">
        <f aca="false">IF(F262&gt;0,E262/F262,"")</f>
        <v>-1.1591459476143</v>
      </c>
      <c r="I262" s="24" t="n">
        <f aca="false">IF(H262="","",TDIST(ABS(H262),G262-1,2))</f>
        <v>0.261543441922252</v>
      </c>
    </row>
    <row r="263" customFormat="false" ht="15" hidden="false" customHeight="false" outlineLevel="0" collapsed="false">
      <c r="A263" s="7" t="s">
        <v>139</v>
      </c>
      <c r="B263" s="7" t="s">
        <v>44</v>
      </c>
      <c r="C263" s="7" t="s">
        <v>113</v>
      </c>
      <c r="D263" s="7" t="s">
        <v>137</v>
      </c>
      <c r="E263" s="22" t="n">
        <v>-0.491948529311925</v>
      </c>
      <c r="F263" s="22" t="n">
        <v>0.336184423301976</v>
      </c>
      <c r="G263" s="23" t="n">
        <v>19</v>
      </c>
      <c r="H263" s="24" t="n">
        <f aca="false">IF(F263&gt;0,E263/F263,"")</f>
        <v>-1.46332933715384</v>
      </c>
      <c r="I263" s="24" t="n">
        <f aca="false">IF(H263="","",TDIST(ABS(H263),G263-1,2))</f>
        <v>0.160621290125301</v>
      </c>
    </row>
    <row r="264" customFormat="false" ht="15" hidden="false" customHeight="false" outlineLevel="0" collapsed="false">
      <c r="A264" s="7" t="s">
        <v>139</v>
      </c>
      <c r="B264" s="7" t="s">
        <v>44</v>
      </c>
      <c r="C264" s="7" t="s">
        <v>113</v>
      </c>
      <c r="D264" s="7" t="s">
        <v>117</v>
      </c>
      <c r="E264" s="22" t="n">
        <v>0.238041057713468</v>
      </c>
      <c r="F264" s="22" t="n">
        <v>0.392780287702535</v>
      </c>
      <c r="G264" s="23" t="n">
        <v>19</v>
      </c>
      <c r="H264" s="24" t="n">
        <f aca="false">IF(F264&gt;0,E264/F264,"")</f>
        <v>0.606041253001332</v>
      </c>
      <c r="I264" s="24" t="n">
        <f aca="false">IF(H264="","",TDIST(ABS(H264),G264-1,2))</f>
        <v>0.552054015775866</v>
      </c>
    </row>
    <row r="265" customFormat="false" ht="15" hidden="false" customHeight="false" outlineLevel="0" collapsed="false">
      <c r="A265" s="7" t="s">
        <v>139</v>
      </c>
      <c r="B265" s="7" t="s">
        <v>44</v>
      </c>
      <c r="C265" s="7" t="s">
        <v>116</v>
      </c>
      <c r="D265" s="7" t="s">
        <v>136</v>
      </c>
      <c r="E265" s="22" t="n">
        <v>-0.0228599996321811</v>
      </c>
      <c r="F265" s="22" t="n">
        <v>0.188245604396794</v>
      </c>
      <c r="G265" s="23" t="n">
        <v>19</v>
      </c>
      <c r="H265" s="24" t="n">
        <f aca="false">IF(F265&gt;0,E265/F265,"")</f>
        <v>-0.121437096528403</v>
      </c>
      <c r="I265" s="24" t="n">
        <f aca="false">IF(H265="","",TDIST(ABS(H265),G265-1,2))</f>
        <v>0.904690238571898</v>
      </c>
    </row>
    <row r="266" customFormat="false" ht="15" hidden="false" customHeight="false" outlineLevel="0" collapsed="false">
      <c r="A266" s="7" t="s">
        <v>139</v>
      </c>
      <c r="B266" s="7" t="s">
        <v>44</v>
      </c>
      <c r="C266" s="7" t="s">
        <v>116</v>
      </c>
      <c r="D266" s="7" t="s">
        <v>137</v>
      </c>
      <c r="E266" s="22" t="n">
        <v>-0.946642196879963</v>
      </c>
      <c r="F266" s="22" t="n">
        <v>0.454474858272155</v>
      </c>
      <c r="G266" s="23" t="n">
        <v>19</v>
      </c>
      <c r="H266" s="24" t="n">
        <f aca="false">IF(F266&gt;0,E266/F266,"")</f>
        <v>-2.08293633773044</v>
      </c>
      <c r="I266" s="24" t="n">
        <f aca="false">IF(H266="","",TDIST(ABS(H266),G266-1,2))</f>
        <v>0.0517905180288919</v>
      </c>
    </row>
    <row r="267" customFormat="false" ht="15" hidden="false" customHeight="false" outlineLevel="0" collapsed="false">
      <c r="A267" s="7" t="s">
        <v>139</v>
      </c>
      <c r="B267" s="7" t="s">
        <v>44</v>
      </c>
      <c r="C267" s="7" t="s">
        <v>116</v>
      </c>
      <c r="D267" s="7" t="s">
        <v>117</v>
      </c>
      <c r="E267" s="22" t="n">
        <v>0.923782197247782</v>
      </c>
      <c r="F267" s="22" t="n">
        <v>0.463559022830577</v>
      </c>
      <c r="G267" s="23" t="n">
        <v>19</v>
      </c>
      <c r="H267" s="24" t="n">
        <f aca="false">IF(F267&gt;0,E267/F267,"")</f>
        <v>1.99280383241598</v>
      </c>
      <c r="I267" s="24" t="n">
        <f aca="false">IF(H267="","",TDIST(ABS(H267),G267-1,2))</f>
        <v>0.0616682751193709</v>
      </c>
    </row>
    <row r="268" customFormat="false" ht="15" hidden="false" customHeight="false" outlineLevel="0" collapsed="false">
      <c r="A268" s="7" t="s">
        <v>140</v>
      </c>
      <c r="B268" s="7" t="s">
        <v>44</v>
      </c>
      <c r="C268" s="7" t="s">
        <v>113</v>
      </c>
      <c r="D268" s="7" t="s">
        <v>136</v>
      </c>
      <c r="E268" s="22" t="n">
        <v>-0.329690348632536</v>
      </c>
      <c r="F268" s="22" t="n">
        <v>0.236582440099636</v>
      </c>
      <c r="G268" s="23" t="n">
        <v>19</v>
      </c>
      <c r="H268" s="24" t="n">
        <f aca="false">IF(F268&gt;0,E268/F268,"")</f>
        <v>-1.39355375865465</v>
      </c>
      <c r="I268" s="24" t="n">
        <f aca="false">IF(H268="","",TDIST(ABS(H268),G268-1,2))</f>
        <v>0.180421900440241</v>
      </c>
    </row>
    <row r="269" customFormat="false" ht="15" hidden="false" customHeight="false" outlineLevel="0" collapsed="false">
      <c r="A269" s="7" t="s">
        <v>140</v>
      </c>
      <c r="B269" s="7" t="s">
        <v>44</v>
      </c>
      <c r="C269" s="7" t="s">
        <v>113</v>
      </c>
      <c r="D269" s="7" t="s">
        <v>137</v>
      </c>
      <c r="E269" s="22" t="n">
        <v>-0.422355332156545</v>
      </c>
      <c r="F269" s="22" t="n">
        <v>0.308674250400603</v>
      </c>
      <c r="G269" s="23" t="n">
        <v>19</v>
      </c>
      <c r="H269" s="24" t="n">
        <f aca="false">IF(F269&gt;0,E269/F269,"")</f>
        <v>-1.36828819251494</v>
      </c>
      <c r="I269" s="24" t="n">
        <f aca="false">IF(H269="","",TDIST(ABS(H269),G269-1,2))</f>
        <v>0.188060203428825</v>
      </c>
    </row>
    <row r="270" customFormat="false" ht="15" hidden="false" customHeight="false" outlineLevel="0" collapsed="false">
      <c r="A270" s="7" t="s">
        <v>140</v>
      </c>
      <c r="B270" s="7" t="s">
        <v>44</v>
      </c>
      <c r="C270" s="7" t="s">
        <v>113</v>
      </c>
      <c r="D270" s="7" t="s">
        <v>117</v>
      </c>
      <c r="E270" s="22" t="n">
        <v>0.0926649835240094</v>
      </c>
      <c r="F270" s="22" t="n">
        <v>0.385993977530457</v>
      </c>
      <c r="G270" s="23" t="n">
        <v>19</v>
      </c>
      <c r="H270" s="24" t="n">
        <f aca="false">IF(F270&gt;0,E270/F270,"")</f>
        <v>0.240068469764396</v>
      </c>
      <c r="I270" s="24" t="n">
        <f aca="false">IF(H270="","",TDIST(ABS(H270),G270-1,2))</f>
        <v>0.812989907269758</v>
      </c>
    </row>
    <row r="271" customFormat="false" ht="15" hidden="false" customHeight="false" outlineLevel="0" collapsed="false">
      <c r="A271" s="7" t="s">
        <v>140</v>
      </c>
      <c r="B271" s="7" t="s">
        <v>44</v>
      </c>
      <c r="C271" s="7" t="s">
        <v>116</v>
      </c>
      <c r="D271" s="7" t="s">
        <v>136</v>
      </c>
      <c r="E271" s="22" t="n">
        <v>-0.161668108860433</v>
      </c>
      <c r="F271" s="22" t="n">
        <v>0.203761745324472</v>
      </c>
      <c r="G271" s="23" t="n">
        <v>19</v>
      </c>
      <c r="H271" s="24" t="n">
        <f aca="false">IF(F271&gt;0,E271/F271,"")</f>
        <v>-0.793417373820545</v>
      </c>
      <c r="I271" s="24" t="n">
        <f aca="false">IF(H271="","",TDIST(ABS(H271),G271-1,2))</f>
        <v>0.437869233651982</v>
      </c>
    </row>
    <row r="272" customFormat="false" ht="15" hidden="false" customHeight="false" outlineLevel="0" collapsed="false">
      <c r="A272" s="7" t="s">
        <v>140</v>
      </c>
      <c r="B272" s="7" t="s">
        <v>44</v>
      </c>
      <c r="C272" s="7" t="s">
        <v>116</v>
      </c>
      <c r="D272" s="7" t="s">
        <v>137</v>
      </c>
      <c r="E272" s="22" t="n">
        <v>-0.666510989983225</v>
      </c>
      <c r="F272" s="22" t="n">
        <v>0.370889449832615</v>
      </c>
      <c r="G272" s="23" t="n">
        <v>19</v>
      </c>
      <c r="H272" s="24" t="n">
        <f aca="false">IF(F272&gt;0,E272/F272,"")</f>
        <v>-1.79706106572734</v>
      </c>
      <c r="I272" s="24" t="n">
        <f aca="false">IF(H272="","",TDIST(ABS(H272),G272-1,2))</f>
        <v>0.0891254429150511</v>
      </c>
    </row>
    <row r="273" customFormat="false" ht="15" hidden="false" customHeight="false" outlineLevel="0" collapsed="false">
      <c r="A273" s="7" t="s">
        <v>140</v>
      </c>
      <c r="B273" s="7" t="s">
        <v>44</v>
      </c>
      <c r="C273" s="7" t="s">
        <v>116</v>
      </c>
      <c r="D273" s="7" t="s">
        <v>117</v>
      </c>
      <c r="E273" s="22" t="n">
        <v>0.504842881122792</v>
      </c>
      <c r="F273" s="22" t="n">
        <v>0.359460445719356</v>
      </c>
      <c r="G273" s="23" t="n">
        <v>19</v>
      </c>
      <c r="H273" s="24" t="n">
        <f aca="false">IF(F273&gt;0,E273/F273,"")</f>
        <v>1.40444626699468</v>
      </c>
      <c r="I273" s="24" t="n">
        <f aca="false">IF(H273="","",TDIST(ABS(H273),G273-1,2))</f>
        <v>0.17720688069235</v>
      </c>
    </row>
    <row r="274" customFormat="false" ht="15" hidden="false" customHeight="false" outlineLevel="0" collapsed="false">
      <c r="A274" s="7" t="s">
        <v>141</v>
      </c>
      <c r="B274" s="7" t="s">
        <v>44</v>
      </c>
      <c r="C274" s="7" t="s">
        <v>113</v>
      </c>
      <c r="D274" s="7" t="s">
        <v>136</v>
      </c>
      <c r="E274" s="22" t="n">
        <v>-0.230954598535973</v>
      </c>
      <c r="F274" s="22" t="n">
        <v>0.215143336466944</v>
      </c>
      <c r="G274" s="23" t="n">
        <v>19</v>
      </c>
      <c r="H274" s="24" t="n">
        <f aca="false">IF(F274&gt;0,E274/F274,"")</f>
        <v>-1.07349175823281</v>
      </c>
      <c r="I274" s="24" t="n">
        <f aca="false">IF(H274="","",TDIST(ABS(H274),G274-1,2))</f>
        <v>0.297231691687315</v>
      </c>
    </row>
    <row r="275" customFormat="false" ht="15" hidden="false" customHeight="false" outlineLevel="0" collapsed="false">
      <c r="A275" s="7" t="s">
        <v>141</v>
      </c>
      <c r="B275" s="7" t="s">
        <v>44</v>
      </c>
      <c r="C275" s="7" t="s">
        <v>113</v>
      </c>
      <c r="D275" s="7" t="s">
        <v>137</v>
      </c>
      <c r="E275" s="22" t="n">
        <v>-0.627304390194401</v>
      </c>
      <c r="F275" s="22" t="n">
        <v>0.400551780557554</v>
      </c>
      <c r="G275" s="23" t="n">
        <v>19</v>
      </c>
      <c r="H275" s="24" t="n">
        <f aca="false">IF(F275&gt;0,E275/F275,"")</f>
        <v>-1.56610061580856</v>
      </c>
      <c r="I275" s="24" t="n">
        <f aca="false">IF(H275="","",TDIST(ABS(H275),G275-1,2))</f>
        <v>0.134736102960272</v>
      </c>
    </row>
    <row r="276" customFormat="false" ht="15" hidden="false" customHeight="false" outlineLevel="0" collapsed="false">
      <c r="A276" s="7" t="s">
        <v>141</v>
      </c>
      <c r="B276" s="7" t="s">
        <v>44</v>
      </c>
      <c r="C276" s="7" t="s">
        <v>113</v>
      </c>
      <c r="D276" s="7" t="s">
        <v>117</v>
      </c>
      <c r="E276" s="22" t="n">
        <v>0.396349791658429</v>
      </c>
      <c r="F276" s="22" t="n">
        <v>0.464511661367528</v>
      </c>
      <c r="G276" s="23" t="n">
        <v>19</v>
      </c>
      <c r="H276" s="24" t="n">
        <f aca="false">IF(F276&gt;0,E276/F276,"")</f>
        <v>0.853261230281216</v>
      </c>
      <c r="I276" s="24" t="n">
        <f aca="false">IF(H276="","",TDIST(ABS(H276),G276-1,2))</f>
        <v>0.40472635134612</v>
      </c>
    </row>
    <row r="277" customFormat="false" ht="15" hidden="false" customHeight="false" outlineLevel="0" collapsed="false">
      <c r="A277" s="7" t="s">
        <v>141</v>
      </c>
      <c r="B277" s="7" t="s">
        <v>44</v>
      </c>
      <c r="C277" s="7" t="s">
        <v>116</v>
      </c>
      <c r="D277" s="7" t="s">
        <v>136</v>
      </c>
      <c r="E277" s="22" t="n">
        <v>-0.116928923959974</v>
      </c>
      <c r="F277" s="22" t="n">
        <v>0.154770575417041</v>
      </c>
      <c r="G277" s="23" t="n">
        <v>19</v>
      </c>
      <c r="H277" s="24" t="n">
        <f aca="false">IF(F277&gt;0,E277/F277,"")</f>
        <v>-0.755498412052161</v>
      </c>
      <c r="I277" s="24" t="n">
        <f aca="false">IF(H277="","",TDIST(ABS(H277),G277-1,2))</f>
        <v>0.459722816836325</v>
      </c>
    </row>
    <row r="278" customFormat="false" ht="15" hidden="false" customHeight="false" outlineLevel="0" collapsed="false">
      <c r="A278" s="7" t="s">
        <v>141</v>
      </c>
      <c r="B278" s="7" t="s">
        <v>44</v>
      </c>
      <c r="C278" s="7" t="s">
        <v>116</v>
      </c>
      <c r="D278" s="7" t="s">
        <v>137</v>
      </c>
      <c r="E278" s="22" t="n">
        <v>-0.800137835061081</v>
      </c>
      <c r="F278" s="22" t="n">
        <v>0.474985862381652</v>
      </c>
      <c r="G278" s="23" t="n">
        <v>19</v>
      </c>
      <c r="H278" s="24" t="n">
        <f aca="false">IF(F278&gt;0,E278/F278,"")</f>
        <v>-1.68455084336419</v>
      </c>
      <c r="I278" s="24" t="n">
        <f aca="false">IF(H278="","",TDIST(ABS(H278),G278-1,2))</f>
        <v>0.109335073172936</v>
      </c>
    </row>
    <row r="279" customFormat="false" ht="15" hidden="false" customHeight="false" outlineLevel="0" collapsed="false">
      <c r="A279" s="7" t="s">
        <v>141</v>
      </c>
      <c r="B279" s="7" t="s">
        <v>44</v>
      </c>
      <c r="C279" s="7" t="s">
        <v>116</v>
      </c>
      <c r="D279" s="7" t="s">
        <v>117</v>
      </c>
      <c r="E279" s="22" t="n">
        <v>0.683208911101107</v>
      </c>
      <c r="F279" s="22" t="n">
        <v>0.46463045055265</v>
      </c>
      <c r="G279" s="23" t="n">
        <v>19</v>
      </c>
      <c r="H279" s="24" t="n">
        <f aca="false">IF(F279&gt;0,E279/F279,"")</f>
        <v>1.47043507434451</v>
      </c>
      <c r="I279" s="24" t="n">
        <f aca="false">IF(H279="","",TDIST(ABS(H279),G279-1,2))</f>
        <v>0.158708618738762</v>
      </c>
    </row>
    <row r="280" customFormat="false" ht="15" hidden="false" customHeight="false" outlineLevel="0" collapsed="false">
      <c r="A280" s="7" t="s">
        <v>142</v>
      </c>
      <c r="B280" s="7" t="s">
        <v>44</v>
      </c>
      <c r="C280" s="7" t="s">
        <v>113</v>
      </c>
      <c r="D280" s="7" t="s">
        <v>136</v>
      </c>
      <c r="E280" s="22" t="n">
        <v>-0.248911331706263</v>
      </c>
      <c r="F280" s="22" t="n">
        <v>0.163282355458957</v>
      </c>
      <c r="G280" s="23" t="n">
        <v>19</v>
      </c>
      <c r="H280" s="24" t="n">
        <f aca="false">IF(F280&gt;0,E280/F280,"")</f>
        <v>-1.52442271552624</v>
      </c>
      <c r="I280" s="24" t="n">
        <f aca="false">IF(H280="","",TDIST(ABS(H280),G280-1,2))</f>
        <v>0.144780489036186</v>
      </c>
    </row>
    <row r="281" customFormat="false" ht="15" hidden="false" customHeight="false" outlineLevel="0" collapsed="false">
      <c r="A281" s="7" t="s">
        <v>142</v>
      </c>
      <c r="B281" s="7" t="s">
        <v>44</v>
      </c>
      <c r="C281" s="7" t="s">
        <v>113</v>
      </c>
      <c r="D281" s="7" t="s">
        <v>137</v>
      </c>
      <c r="E281" s="22" t="n">
        <v>-0.34586254975221</v>
      </c>
      <c r="F281" s="22" t="n">
        <v>0.472149165020157</v>
      </c>
      <c r="G281" s="23" t="n">
        <v>19</v>
      </c>
      <c r="H281" s="24" t="n">
        <f aca="false">IF(F281&gt;0,E281/F281,"")</f>
        <v>-0.732528140206378</v>
      </c>
      <c r="I281" s="24" t="n">
        <f aca="false">IF(H281="","",TDIST(ABS(H281),G281-1,2))</f>
        <v>0.473277975554869</v>
      </c>
    </row>
    <row r="282" customFormat="false" ht="15" hidden="false" customHeight="false" outlineLevel="0" collapsed="false">
      <c r="A282" s="7" t="s">
        <v>142</v>
      </c>
      <c r="B282" s="7" t="s">
        <v>44</v>
      </c>
      <c r="C282" s="7" t="s">
        <v>113</v>
      </c>
      <c r="D282" s="7" t="s">
        <v>117</v>
      </c>
      <c r="E282" s="22" t="n">
        <v>0.0969512180459469</v>
      </c>
      <c r="F282" s="22" t="n">
        <v>0.457382765400209</v>
      </c>
      <c r="G282" s="23" t="n">
        <v>19</v>
      </c>
      <c r="H282" s="24" t="n">
        <f aca="false">IF(F282&gt;0,E282/F282,"")</f>
        <v>0.211969548002349</v>
      </c>
      <c r="I282" s="24" t="n">
        <f aca="false">IF(H282="","",TDIST(ABS(H282),G282-1,2))</f>
        <v>0.83451248230025</v>
      </c>
    </row>
    <row r="283" customFormat="false" ht="15" hidden="false" customHeight="false" outlineLevel="0" collapsed="false">
      <c r="A283" s="7" t="s">
        <v>142</v>
      </c>
      <c r="B283" s="7" t="s">
        <v>44</v>
      </c>
      <c r="C283" s="7" t="s">
        <v>116</v>
      </c>
      <c r="D283" s="7" t="s">
        <v>136</v>
      </c>
      <c r="E283" s="22" t="n">
        <v>-0.250091225501902</v>
      </c>
      <c r="F283" s="22" t="n">
        <v>0.195825166916223</v>
      </c>
      <c r="G283" s="23" t="n">
        <v>19</v>
      </c>
      <c r="H283" s="24" t="n">
        <f aca="false">IF(F283&gt;0,E283/F283,"")</f>
        <v>-1.27711483380936</v>
      </c>
      <c r="I283" s="24" t="n">
        <f aca="false">IF(H283="","",TDIST(ABS(H283),G283-1,2))</f>
        <v>0.217790636538318</v>
      </c>
    </row>
    <row r="284" customFormat="false" ht="15" hidden="false" customHeight="false" outlineLevel="0" collapsed="false">
      <c r="A284" s="7" t="s">
        <v>142</v>
      </c>
      <c r="B284" s="7" t="s">
        <v>44</v>
      </c>
      <c r="C284" s="7" t="s">
        <v>116</v>
      </c>
      <c r="D284" s="7" t="s">
        <v>137</v>
      </c>
      <c r="E284" s="22" t="n">
        <v>-0.48677179652371</v>
      </c>
      <c r="F284" s="22" t="n">
        <v>0.371253035347004</v>
      </c>
      <c r="G284" s="23" t="n">
        <v>19</v>
      </c>
      <c r="H284" s="24" t="n">
        <f aca="false">IF(F284&gt;0,E284/F284,"")</f>
        <v>-1.31115910222453</v>
      </c>
      <c r="I284" s="24" t="n">
        <f aca="false">IF(H284="","",TDIST(ABS(H284),G284-1,2))</f>
        <v>0.206284913031226</v>
      </c>
    </row>
    <row r="285" customFormat="false" ht="15" hidden="false" customHeight="false" outlineLevel="0" collapsed="false">
      <c r="A285" s="7" t="s">
        <v>142</v>
      </c>
      <c r="B285" s="7" t="s">
        <v>44</v>
      </c>
      <c r="C285" s="7" t="s">
        <v>116</v>
      </c>
      <c r="D285" s="7" t="s">
        <v>117</v>
      </c>
      <c r="E285" s="22" t="n">
        <v>0.236680571021809</v>
      </c>
      <c r="F285" s="22" t="n">
        <v>0.381693937100195</v>
      </c>
      <c r="G285" s="23" t="n">
        <v>19</v>
      </c>
      <c r="H285" s="24" t="n">
        <f aca="false">IF(F285&gt;0,E285/F285,"")</f>
        <v>0.620079461622885</v>
      </c>
      <c r="I285" s="24" t="n">
        <f aca="false">IF(H285="","",TDIST(ABS(H285),G285-1,2))</f>
        <v>0.54297663421606</v>
      </c>
    </row>
    <row r="286" customFormat="false" ht="15" hidden="false" customHeight="false" outlineLevel="0" collapsed="false">
      <c r="A286" s="7" t="s">
        <v>143</v>
      </c>
      <c r="B286" s="7" t="s">
        <v>44</v>
      </c>
      <c r="C286" s="7" t="s">
        <v>113</v>
      </c>
      <c r="D286" s="7" t="s">
        <v>136</v>
      </c>
      <c r="E286" s="22" t="n">
        <v>-0.316504525143222</v>
      </c>
      <c r="F286" s="22" t="n">
        <v>0.190600884272518</v>
      </c>
      <c r="G286" s="23" t="n">
        <v>19</v>
      </c>
      <c r="H286" s="24" t="n">
        <f aca="false">IF(F286&gt;0,E286/F286,"")</f>
        <v>-1.66056168286548</v>
      </c>
      <c r="I286" s="24" t="n">
        <f aca="false">IF(H286="","",TDIST(ABS(H286),G286-1,2))</f>
        <v>0.114120688080527</v>
      </c>
    </row>
    <row r="287" customFormat="false" ht="15" hidden="false" customHeight="false" outlineLevel="0" collapsed="false">
      <c r="A287" s="7" t="s">
        <v>143</v>
      </c>
      <c r="B287" s="7" t="s">
        <v>44</v>
      </c>
      <c r="C287" s="7" t="s">
        <v>113</v>
      </c>
      <c r="D287" s="7" t="s">
        <v>137</v>
      </c>
      <c r="E287" s="22" t="n">
        <v>-0.607255634065111</v>
      </c>
      <c r="F287" s="22" t="n">
        <v>0.431418970108381</v>
      </c>
      <c r="G287" s="23" t="n">
        <v>19</v>
      </c>
      <c r="H287" s="24" t="n">
        <f aca="false">IF(F287&gt;0,E287/F287,"")</f>
        <v>-1.40757749691108</v>
      </c>
      <c r="I287" s="24" t="n">
        <f aca="false">IF(H287="","",TDIST(ABS(H287),G287-1,2))</f>
        <v>0.176291283121229</v>
      </c>
    </row>
    <row r="288" customFormat="false" ht="15" hidden="false" customHeight="false" outlineLevel="0" collapsed="false">
      <c r="A288" s="7" t="s">
        <v>143</v>
      </c>
      <c r="B288" s="7" t="s">
        <v>44</v>
      </c>
      <c r="C288" s="7" t="s">
        <v>113</v>
      </c>
      <c r="D288" s="7" t="s">
        <v>117</v>
      </c>
      <c r="E288" s="22" t="n">
        <v>0.29075110892189</v>
      </c>
      <c r="F288" s="22" t="n">
        <v>0.437644754943439</v>
      </c>
      <c r="G288" s="23" t="n">
        <v>19</v>
      </c>
      <c r="H288" s="24" t="n">
        <f aca="false">IF(F288&gt;0,E288/F288,"")</f>
        <v>0.664354149427579</v>
      </c>
      <c r="I288" s="24" t="n">
        <f aca="false">IF(H288="","",TDIST(ABS(H288),G288-1,2))</f>
        <v>0.51488494285812</v>
      </c>
    </row>
    <row r="289" customFormat="false" ht="15" hidden="false" customHeight="false" outlineLevel="0" collapsed="false">
      <c r="A289" s="7" t="s">
        <v>143</v>
      </c>
      <c r="B289" s="7" t="s">
        <v>44</v>
      </c>
      <c r="C289" s="7" t="s">
        <v>116</v>
      </c>
      <c r="D289" s="7" t="s">
        <v>136</v>
      </c>
      <c r="E289" s="22" t="n">
        <v>-0.375034355724148</v>
      </c>
      <c r="F289" s="22" t="n">
        <v>0.232953800618979</v>
      </c>
      <c r="G289" s="23" t="n">
        <v>19</v>
      </c>
      <c r="H289" s="24" t="n">
        <f aca="false">IF(F289&gt;0,E289/F289,"")</f>
        <v>-1.60990872322172</v>
      </c>
      <c r="I289" s="24" t="n">
        <f aca="false">IF(H289="","",TDIST(ABS(H289),G289-1,2))</f>
        <v>0.124814841821053</v>
      </c>
    </row>
    <row r="290" customFormat="false" ht="15" hidden="false" customHeight="false" outlineLevel="0" collapsed="false">
      <c r="A290" s="7" t="s">
        <v>143</v>
      </c>
      <c r="B290" s="7" t="s">
        <v>44</v>
      </c>
      <c r="C290" s="7" t="s">
        <v>116</v>
      </c>
      <c r="D290" s="7" t="s">
        <v>137</v>
      </c>
      <c r="E290" s="22" t="n">
        <v>-0.545723824369637</v>
      </c>
      <c r="F290" s="22" t="n">
        <v>0.410458998222729</v>
      </c>
      <c r="G290" s="23" t="n">
        <v>19</v>
      </c>
      <c r="H290" s="24" t="n">
        <f aca="false">IF(F290&gt;0,E290/F290,"")</f>
        <v>-1.32954528158135</v>
      </c>
      <c r="I290" s="24" t="n">
        <f aca="false">IF(H290="","",TDIST(ABS(H290),G290-1,2))</f>
        <v>0.200273137174985</v>
      </c>
    </row>
    <row r="291" customFormat="false" ht="15" hidden="false" customHeight="false" outlineLevel="0" collapsed="false">
      <c r="A291" s="7" t="s">
        <v>143</v>
      </c>
      <c r="B291" s="7" t="s">
        <v>44</v>
      </c>
      <c r="C291" s="7" t="s">
        <v>116</v>
      </c>
      <c r="D291" s="7" t="s">
        <v>117</v>
      </c>
      <c r="E291" s="22" t="n">
        <v>0.170689468645489</v>
      </c>
      <c r="F291" s="22" t="n">
        <v>0.420438283838364</v>
      </c>
      <c r="G291" s="23" t="n">
        <v>19</v>
      </c>
      <c r="H291" s="24" t="n">
        <f aca="false">IF(F291&gt;0,E291/F291,"")</f>
        <v>0.405979843431932</v>
      </c>
      <c r="I291" s="24" t="n">
        <f aca="false">IF(H291="","",TDIST(ABS(H291),G291-1,2))</f>
        <v>0.689542972783744</v>
      </c>
    </row>
    <row r="292" customFormat="false" ht="15" hidden="false" customHeight="false" outlineLevel="0" collapsed="false">
      <c r="A292" s="7" t="s">
        <v>144</v>
      </c>
      <c r="B292" s="7" t="s">
        <v>44</v>
      </c>
      <c r="C292" s="7" t="s">
        <v>113</v>
      </c>
      <c r="D292" s="7" t="s">
        <v>136</v>
      </c>
      <c r="E292" s="22" t="n">
        <v>-0.146102076309501</v>
      </c>
      <c r="F292" s="22" t="n">
        <v>0.294271878642542</v>
      </c>
      <c r="G292" s="23" t="n">
        <v>19</v>
      </c>
      <c r="H292" s="24" t="n">
        <f aca="false">IF(F292&gt;0,E292/F292,"")</f>
        <v>-0.496486708085942</v>
      </c>
      <c r="I292" s="24" t="n">
        <f aca="false">IF(H292="","",TDIST(ABS(H292),G292-1,2))</f>
        <v>0.625559700805896</v>
      </c>
    </row>
    <row r="293" customFormat="false" ht="15" hidden="false" customHeight="false" outlineLevel="0" collapsed="false">
      <c r="A293" s="7" t="s">
        <v>144</v>
      </c>
      <c r="B293" s="7" t="s">
        <v>44</v>
      </c>
      <c r="C293" s="7" t="s">
        <v>113</v>
      </c>
      <c r="D293" s="7" t="s">
        <v>137</v>
      </c>
      <c r="E293" s="22" t="n">
        <v>-0.524616114961893</v>
      </c>
      <c r="F293" s="22" t="n">
        <v>0.255914058359402</v>
      </c>
      <c r="G293" s="23" t="n">
        <v>19</v>
      </c>
      <c r="H293" s="24" t="n">
        <f aca="false">IF(F293&gt;0,E293/F293,"")</f>
        <v>-2.04996989350671</v>
      </c>
      <c r="I293" s="24" t="n">
        <f aca="false">IF(H293="","",TDIST(ABS(H293),G293-1,2))</f>
        <v>0.0552240300993193</v>
      </c>
    </row>
    <row r="294" customFormat="false" ht="15" hidden="false" customHeight="false" outlineLevel="0" collapsed="false">
      <c r="A294" s="7" t="s">
        <v>144</v>
      </c>
      <c r="B294" s="7" t="s">
        <v>44</v>
      </c>
      <c r="C294" s="7" t="s">
        <v>113</v>
      </c>
      <c r="D294" s="7" t="s">
        <v>117</v>
      </c>
      <c r="E294" s="22" t="n">
        <v>0.378514038652392</v>
      </c>
      <c r="F294" s="22" t="n">
        <v>0.396001036879374</v>
      </c>
      <c r="G294" s="23" t="n">
        <v>19</v>
      </c>
      <c r="H294" s="24" t="n">
        <f aca="false">IF(F294&gt;0,E294/F294,"")</f>
        <v>0.955841029193291</v>
      </c>
      <c r="I294" s="24" t="n">
        <f aca="false">IF(H294="","",TDIST(ABS(H294),G294-1,2))</f>
        <v>0.351814786270802</v>
      </c>
    </row>
    <row r="295" customFormat="false" ht="15" hidden="false" customHeight="false" outlineLevel="0" collapsed="false">
      <c r="A295" s="7" t="s">
        <v>144</v>
      </c>
      <c r="B295" s="7" t="s">
        <v>44</v>
      </c>
      <c r="C295" s="7" t="s">
        <v>116</v>
      </c>
      <c r="D295" s="7" t="s">
        <v>136</v>
      </c>
      <c r="E295" s="22" t="n">
        <v>-0.19726775581069</v>
      </c>
      <c r="F295" s="22" t="n">
        <v>0.231711479951481</v>
      </c>
      <c r="G295" s="23" t="n">
        <v>19</v>
      </c>
      <c r="H295" s="24" t="n">
        <f aca="false">IF(F295&gt;0,E295/F295,"")</f>
        <v>-0.85135080856588</v>
      </c>
      <c r="I295" s="24" t="n">
        <f aca="false">IF(H295="","",TDIST(ABS(H295),G295-1,2))</f>
        <v>0.405758655982754</v>
      </c>
    </row>
    <row r="296" customFormat="false" ht="15" hidden="false" customHeight="false" outlineLevel="0" collapsed="false">
      <c r="A296" s="7" t="s">
        <v>144</v>
      </c>
      <c r="B296" s="7" t="s">
        <v>44</v>
      </c>
      <c r="C296" s="7" t="s">
        <v>116</v>
      </c>
      <c r="D296" s="7" t="s">
        <v>137</v>
      </c>
      <c r="E296" s="22" t="n">
        <v>-0.552472167236856</v>
      </c>
      <c r="F296" s="22" t="n">
        <v>0.34195657464028</v>
      </c>
      <c r="G296" s="23" t="n">
        <v>19</v>
      </c>
      <c r="H296" s="24" t="n">
        <f aca="false">IF(F296&gt;0,E296/F296,"")</f>
        <v>-1.61562083670427</v>
      </c>
      <c r="I296" s="24" t="n">
        <f aca="false">IF(H296="","",TDIST(ABS(H296),G296-1,2))</f>
        <v>0.123567869281002</v>
      </c>
    </row>
    <row r="297" customFormat="false" ht="15" hidden="false" customHeight="false" outlineLevel="0" collapsed="false">
      <c r="A297" s="7" t="s">
        <v>144</v>
      </c>
      <c r="B297" s="7" t="s">
        <v>44</v>
      </c>
      <c r="C297" s="7" t="s">
        <v>116</v>
      </c>
      <c r="D297" s="7" t="s">
        <v>117</v>
      </c>
      <c r="E297" s="22" t="n">
        <v>0.355204411426165</v>
      </c>
      <c r="F297" s="22" t="n">
        <v>0.421276755981566</v>
      </c>
      <c r="G297" s="23" t="n">
        <v>19</v>
      </c>
      <c r="H297" s="24" t="n">
        <f aca="false">IF(F297&gt;0,E297/F297,"")</f>
        <v>0.843161666013466</v>
      </c>
      <c r="I297" s="24" t="n">
        <f aca="false">IF(H297="","",TDIST(ABS(H297),G297-1,2))</f>
        <v>0.410203004866219</v>
      </c>
    </row>
    <row r="298" customFormat="false" ht="15" hidden="false" customHeight="false" outlineLevel="0" collapsed="false">
      <c r="A298" s="7" t="s">
        <v>138</v>
      </c>
      <c r="B298" s="7" t="s">
        <v>48</v>
      </c>
      <c r="C298" s="7" t="s">
        <v>113</v>
      </c>
      <c r="D298" s="7" t="s">
        <v>136</v>
      </c>
      <c r="E298" s="22" t="n">
        <v>-0.866972892563121</v>
      </c>
      <c r="F298" s="22" t="n">
        <v>0.19462667037699</v>
      </c>
      <c r="G298" s="23" t="n">
        <v>19</v>
      </c>
      <c r="H298" s="24" t="n">
        <f aca="false">IF(F298&gt;0,E298/F298,"")</f>
        <v>-4.45454310492907</v>
      </c>
      <c r="I298" s="24" t="n">
        <f aca="false">IF(H298="","",TDIST(ABS(H298),G298-1,2))</f>
        <v>0.000306231258025511</v>
      </c>
    </row>
    <row r="299" customFormat="false" ht="15" hidden="false" customHeight="false" outlineLevel="0" collapsed="false">
      <c r="A299" s="7" t="s">
        <v>138</v>
      </c>
      <c r="B299" s="7" t="s">
        <v>48</v>
      </c>
      <c r="C299" s="7" t="s">
        <v>113</v>
      </c>
      <c r="D299" s="7" t="s">
        <v>137</v>
      </c>
      <c r="E299" s="22" t="n">
        <v>-0.0764569486366611</v>
      </c>
      <c r="F299" s="22" t="n">
        <v>0.223432435228841</v>
      </c>
      <c r="G299" s="23" t="n">
        <v>19</v>
      </c>
      <c r="H299" s="24" t="n">
        <f aca="false">IF(F299&gt;0,E299/F299,"")</f>
        <v>-0.342192701602851</v>
      </c>
      <c r="I299" s="24" t="n">
        <f aca="false">IF(H299="","",TDIST(ABS(H299),G299-1,2))</f>
        <v>0.73616894963568</v>
      </c>
    </row>
    <row r="300" customFormat="false" ht="15" hidden="false" customHeight="false" outlineLevel="0" collapsed="false">
      <c r="A300" s="7" t="s">
        <v>138</v>
      </c>
      <c r="B300" s="7" t="s">
        <v>48</v>
      </c>
      <c r="C300" s="7" t="s">
        <v>113</v>
      </c>
      <c r="D300" s="7" t="s">
        <v>117</v>
      </c>
      <c r="E300" s="22" t="n">
        <v>-0.79051594392646</v>
      </c>
      <c r="F300" s="22" t="n">
        <v>0.30747738249001</v>
      </c>
      <c r="G300" s="23" t="n">
        <v>19</v>
      </c>
      <c r="H300" s="24" t="n">
        <f aca="false">IF(F300&gt;0,E300/F300,"")</f>
        <v>-2.57097265992286</v>
      </c>
      <c r="I300" s="24" t="n">
        <f aca="false">IF(H300="","",TDIST(ABS(H300),G300-1,2))</f>
        <v>0.0192364523750966</v>
      </c>
    </row>
    <row r="301" customFormat="false" ht="15" hidden="false" customHeight="false" outlineLevel="0" collapsed="false">
      <c r="A301" s="7" t="s">
        <v>138</v>
      </c>
      <c r="B301" s="7" t="s">
        <v>48</v>
      </c>
      <c r="C301" s="7" t="s">
        <v>116</v>
      </c>
      <c r="D301" s="7" t="s">
        <v>136</v>
      </c>
      <c r="E301" s="22" t="n">
        <v>-0.794748776149405</v>
      </c>
      <c r="F301" s="22" t="n">
        <v>0.207486345824269</v>
      </c>
      <c r="G301" s="23" t="n">
        <v>19</v>
      </c>
      <c r="H301" s="24" t="n">
        <f aca="false">IF(F301&gt;0,E301/F301,"")</f>
        <v>-3.83036663445083</v>
      </c>
      <c r="I301" s="24" t="n">
        <f aca="false">IF(H301="","",TDIST(ABS(H301),G301-1,2))</f>
        <v>0.00122558154384197</v>
      </c>
    </row>
    <row r="302" customFormat="false" ht="15" hidden="false" customHeight="false" outlineLevel="0" collapsed="false">
      <c r="A302" s="7" t="s">
        <v>138</v>
      </c>
      <c r="B302" s="7" t="s">
        <v>48</v>
      </c>
      <c r="C302" s="7" t="s">
        <v>116</v>
      </c>
      <c r="D302" s="7" t="s">
        <v>137</v>
      </c>
      <c r="E302" s="22" t="n">
        <v>-0.0709055756589361</v>
      </c>
      <c r="F302" s="22" t="n">
        <v>0.200062754079086</v>
      </c>
      <c r="G302" s="23" t="n">
        <v>19</v>
      </c>
      <c r="H302" s="24" t="n">
        <f aca="false">IF(F302&gt;0,E302/F302,"")</f>
        <v>-0.354416672835098</v>
      </c>
      <c r="I302" s="24" t="n">
        <f aca="false">IF(H302="","",TDIST(ABS(H302),G302-1,2))</f>
        <v>0.727144775625318</v>
      </c>
    </row>
    <row r="303" customFormat="false" ht="15" hidden="false" customHeight="false" outlineLevel="0" collapsed="false">
      <c r="A303" s="7" t="s">
        <v>138</v>
      </c>
      <c r="B303" s="7" t="s">
        <v>48</v>
      </c>
      <c r="C303" s="7" t="s">
        <v>116</v>
      </c>
      <c r="D303" s="7" t="s">
        <v>117</v>
      </c>
      <c r="E303" s="22" t="n">
        <v>-0.723843200490469</v>
      </c>
      <c r="F303" s="22" t="n">
        <v>0.30406683848341</v>
      </c>
      <c r="G303" s="23" t="n">
        <v>19</v>
      </c>
      <c r="H303" s="24" t="n">
        <f aca="false">IF(F303&gt;0,E303/F303,"")</f>
        <v>-2.38053976586455</v>
      </c>
      <c r="I303" s="24" t="n">
        <f aca="false">IF(H303="","",TDIST(ABS(H303),G303-1,2))</f>
        <v>0.0285430389404294</v>
      </c>
    </row>
    <row r="304" customFormat="false" ht="15" hidden="false" customHeight="false" outlineLevel="0" collapsed="false">
      <c r="A304" s="7" t="s">
        <v>139</v>
      </c>
      <c r="B304" s="7" t="s">
        <v>48</v>
      </c>
      <c r="C304" s="7" t="s">
        <v>113</v>
      </c>
      <c r="D304" s="7" t="s">
        <v>136</v>
      </c>
      <c r="E304" s="22" t="n">
        <v>-0.412980162108784</v>
      </c>
      <c r="F304" s="22" t="n">
        <v>0.232612609963355</v>
      </c>
      <c r="G304" s="23" t="n">
        <v>19</v>
      </c>
      <c r="H304" s="24" t="n">
        <f aca="false">IF(F304&gt;0,E304/F304,"")</f>
        <v>-1.77539885810078</v>
      </c>
      <c r="I304" s="24" t="n">
        <f aca="false">IF(H304="","",TDIST(ABS(H304),G304-1,2))</f>
        <v>0.0927424965135411</v>
      </c>
    </row>
    <row r="305" customFormat="false" ht="15" hidden="false" customHeight="false" outlineLevel="0" collapsed="false">
      <c r="A305" s="7" t="s">
        <v>139</v>
      </c>
      <c r="B305" s="7" t="s">
        <v>48</v>
      </c>
      <c r="C305" s="7" t="s">
        <v>113</v>
      </c>
      <c r="D305" s="7" t="s">
        <v>137</v>
      </c>
      <c r="E305" s="22" t="n">
        <v>-0.243121032965641</v>
      </c>
      <c r="F305" s="22" t="n">
        <v>0.240865261521707</v>
      </c>
      <c r="G305" s="23" t="n">
        <v>19</v>
      </c>
      <c r="H305" s="24" t="n">
        <f aca="false">IF(F305&gt;0,E305/F305,"")</f>
        <v>-1.00936528343557</v>
      </c>
      <c r="I305" s="24" t="n">
        <f aca="false">IF(H305="","",TDIST(ABS(H305),G305-1,2))</f>
        <v>0.326176350675424</v>
      </c>
    </row>
    <row r="306" customFormat="false" ht="15" hidden="false" customHeight="false" outlineLevel="0" collapsed="false">
      <c r="A306" s="7" t="s">
        <v>139</v>
      </c>
      <c r="B306" s="7" t="s">
        <v>48</v>
      </c>
      <c r="C306" s="7" t="s">
        <v>113</v>
      </c>
      <c r="D306" s="7" t="s">
        <v>117</v>
      </c>
      <c r="E306" s="22" t="n">
        <v>-0.169859129143142</v>
      </c>
      <c r="F306" s="22" t="n">
        <v>0.32403999277146</v>
      </c>
      <c r="G306" s="23" t="n">
        <v>19</v>
      </c>
      <c r="H306" s="24" t="n">
        <f aca="false">IF(F306&gt;0,E306/F306,"")</f>
        <v>-0.524191868078892</v>
      </c>
      <c r="I306" s="24" t="n">
        <f aca="false">IF(H306="","",TDIST(ABS(H306),G306-1,2))</f>
        <v>0.606540491263341</v>
      </c>
    </row>
    <row r="307" customFormat="false" ht="15" hidden="false" customHeight="false" outlineLevel="0" collapsed="false">
      <c r="A307" s="7" t="s">
        <v>139</v>
      </c>
      <c r="B307" s="7" t="s">
        <v>48</v>
      </c>
      <c r="C307" s="7" t="s">
        <v>116</v>
      </c>
      <c r="D307" s="7" t="s">
        <v>136</v>
      </c>
      <c r="E307" s="22" t="n">
        <v>-0.131496384790369</v>
      </c>
      <c r="F307" s="22" t="n">
        <v>0.302245259104764</v>
      </c>
      <c r="G307" s="23" t="n">
        <v>19</v>
      </c>
      <c r="H307" s="24" t="n">
        <f aca="false">IF(F307&gt;0,E307/F307,"")</f>
        <v>-0.435065169193571</v>
      </c>
      <c r="I307" s="24" t="n">
        <f aca="false">IF(H307="","",TDIST(ABS(H307),G307-1,2))</f>
        <v>0.668686694225963</v>
      </c>
    </row>
    <row r="308" customFormat="false" ht="15" hidden="false" customHeight="false" outlineLevel="0" collapsed="false">
      <c r="A308" s="7" t="s">
        <v>139</v>
      </c>
      <c r="B308" s="7" t="s">
        <v>48</v>
      </c>
      <c r="C308" s="7" t="s">
        <v>116</v>
      </c>
      <c r="D308" s="7" t="s">
        <v>137</v>
      </c>
      <c r="E308" s="22" t="n">
        <v>-0.384047253485189</v>
      </c>
      <c r="F308" s="22" t="n">
        <v>0.238234910048543</v>
      </c>
      <c r="G308" s="23" t="n">
        <v>19</v>
      </c>
      <c r="H308" s="24" t="n">
        <f aca="false">IF(F308&gt;0,E308/F308,"")</f>
        <v>-1.61205279867226</v>
      </c>
      <c r="I308" s="24" t="n">
        <f aca="false">IF(H308="","",TDIST(ABS(H308),G308-1,2))</f>
        <v>0.124345540991619</v>
      </c>
    </row>
    <row r="309" customFormat="false" ht="15" hidden="false" customHeight="false" outlineLevel="0" collapsed="false">
      <c r="A309" s="7" t="s">
        <v>139</v>
      </c>
      <c r="B309" s="7" t="s">
        <v>48</v>
      </c>
      <c r="C309" s="7" t="s">
        <v>116</v>
      </c>
      <c r="D309" s="7" t="s">
        <v>117</v>
      </c>
      <c r="E309" s="22" t="n">
        <v>0.25255086869482</v>
      </c>
      <c r="F309" s="22" t="n">
        <v>0.387502824922131</v>
      </c>
      <c r="G309" s="23" t="n">
        <v>19</v>
      </c>
      <c r="H309" s="24" t="n">
        <f aca="false">IF(F309&gt;0,E309/F309,"")</f>
        <v>0.651739426017269</v>
      </c>
      <c r="I309" s="24" t="n">
        <f aca="false">IF(H309="","",TDIST(ABS(H309),G309-1,2))</f>
        <v>0.522804636256141</v>
      </c>
    </row>
    <row r="310" customFormat="false" ht="15" hidden="false" customHeight="false" outlineLevel="0" collapsed="false">
      <c r="A310" s="7" t="s">
        <v>140</v>
      </c>
      <c r="B310" s="7" t="s">
        <v>48</v>
      </c>
      <c r="C310" s="7" t="s">
        <v>113</v>
      </c>
      <c r="D310" s="7" t="s">
        <v>136</v>
      </c>
      <c r="E310" s="22" t="n">
        <v>-0.719205140502892</v>
      </c>
      <c r="F310" s="22" t="n">
        <v>0.186592697052692</v>
      </c>
      <c r="G310" s="23" t="n">
        <v>19</v>
      </c>
      <c r="H310" s="24" t="n">
        <f aca="false">IF(F310&gt;0,E310/F310,"")</f>
        <v>-3.85441205289934</v>
      </c>
      <c r="I310" s="24" t="n">
        <f aca="false">IF(H310="","",TDIST(ABS(H310),G310-1,2))</f>
        <v>0.00116163477399225</v>
      </c>
    </row>
    <row r="311" customFormat="false" ht="15" hidden="false" customHeight="false" outlineLevel="0" collapsed="false">
      <c r="A311" s="7" t="s">
        <v>140</v>
      </c>
      <c r="B311" s="7" t="s">
        <v>48</v>
      </c>
      <c r="C311" s="7" t="s">
        <v>113</v>
      </c>
      <c r="D311" s="7" t="s">
        <v>137</v>
      </c>
      <c r="E311" s="22" t="n">
        <v>-0.230798911585489</v>
      </c>
      <c r="F311" s="22" t="n">
        <v>0.201484963802721</v>
      </c>
      <c r="G311" s="23" t="n">
        <v>19</v>
      </c>
      <c r="H311" s="24" t="n">
        <f aca="false">IF(F311&gt;0,E311/F311,"")</f>
        <v>-1.14548950566589</v>
      </c>
      <c r="I311" s="24" t="n">
        <f aca="false">IF(H311="","",TDIST(ABS(H311),G311-1,2))</f>
        <v>0.267008545302615</v>
      </c>
    </row>
    <row r="312" customFormat="false" ht="15" hidden="false" customHeight="false" outlineLevel="0" collapsed="false">
      <c r="A312" s="7" t="s">
        <v>140</v>
      </c>
      <c r="B312" s="7" t="s">
        <v>48</v>
      </c>
      <c r="C312" s="7" t="s">
        <v>113</v>
      </c>
      <c r="D312" s="7" t="s">
        <v>117</v>
      </c>
      <c r="E312" s="22" t="n">
        <v>-0.488406228917404</v>
      </c>
      <c r="F312" s="22" t="n">
        <v>0.223224201979046</v>
      </c>
      <c r="G312" s="23" t="n">
        <v>19</v>
      </c>
      <c r="H312" s="24" t="n">
        <f aca="false">IF(F312&gt;0,E312/F312,"")</f>
        <v>-2.18796270559969</v>
      </c>
      <c r="I312" s="24" t="n">
        <f aca="false">IF(H312="","",TDIST(ABS(H312),G312-1,2))</f>
        <v>0.0421056063860088</v>
      </c>
    </row>
    <row r="313" customFormat="false" ht="15" hidden="false" customHeight="false" outlineLevel="0" collapsed="false">
      <c r="A313" s="7" t="s">
        <v>140</v>
      </c>
      <c r="B313" s="7" t="s">
        <v>48</v>
      </c>
      <c r="C313" s="7" t="s">
        <v>116</v>
      </c>
      <c r="D313" s="7" t="s">
        <v>136</v>
      </c>
      <c r="E313" s="22" t="n">
        <v>-0.53391973965631</v>
      </c>
      <c r="F313" s="22" t="n">
        <v>0.229459064136127</v>
      </c>
      <c r="G313" s="23" t="n">
        <v>19</v>
      </c>
      <c r="H313" s="24" t="n">
        <f aca="false">IF(F313&gt;0,E313/F313,"")</f>
        <v>-2.32686270933085</v>
      </c>
      <c r="I313" s="24" t="n">
        <f aca="false">IF(H313="","",TDIST(ABS(H313),G313-1,2))</f>
        <v>0.0318452828365817</v>
      </c>
    </row>
    <row r="314" customFormat="false" ht="15" hidden="false" customHeight="false" outlineLevel="0" collapsed="false">
      <c r="A314" s="7" t="s">
        <v>140</v>
      </c>
      <c r="B314" s="7" t="s">
        <v>48</v>
      </c>
      <c r="C314" s="7" t="s">
        <v>116</v>
      </c>
      <c r="D314" s="7" t="s">
        <v>137</v>
      </c>
      <c r="E314" s="22" t="n">
        <v>-0.16531390687751</v>
      </c>
      <c r="F314" s="22" t="n">
        <v>0.171723696450093</v>
      </c>
      <c r="G314" s="23" t="n">
        <v>19</v>
      </c>
      <c r="H314" s="24" t="n">
        <f aca="false">IF(F314&gt;0,E314/F314,"")</f>
        <v>-0.962673820182722</v>
      </c>
      <c r="I314" s="24" t="n">
        <f aca="false">IF(H314="","",TDIST(ABS(H314),G314-1,2))</f>
        <v>0.348466601905731</v>
      </c>
    </row>
    <row r="315" customFormat="false" ht="15" hidden="false" customHeight="false" outlineLevel="0" collapsed="false">
      <c r="A315" s="7" t="s">
        <v>140</v>
      </c>
      <c r="B315" s="7" t="s">
        <v>48</v>
      </c>
      <c r="C315" s="7" t="s">
        <v>116</v>
      </c>
      <c r="D315" s="7" t="s">
        <v>117</v>
      </c>
      <c r="E315" s="22" t="n">
        <v>-0.368605832778801</v>
      </c>
      <c r="F315" s="22" t="n">
        <v>0.259645746629404</v>
      </c>
      <c r="G315" s="23" t="n">
        <v>19</v>
      </c>
      <c r="H315" s="24" t="n">
        <f aca="false">IF(F315&gt;0,E315/F315,"")</f>
        <v>-1.41964903166666</v>
      </c>
      <c r="I315" s="24" t="n">
        <f aca="false">IF(H315="","",TDIST(ABS(H315),G315-1,2))</f>
        <v>0.172797221453992</v>
      </c>
    </row>
    <row r="316" customFormat="false" ht="15" hidden="false" customHeight="false" outlineLevel="0" collapsed="false">
      <c r="A316" s="7" t="s">
        <v>141</v>
      </c>
      <c r="B316" s="7" t="s">
        <v>48</v>
      </c>
      <c r="C316" s="7" t="s">
        <v>113</v>
      </c>
      <c r="D316" s="7" t="s">
        <v>136</v>
      </c>
      <c r="E316" s="22" t="n">
        <v>-0.394977455560801</v>
      </c>
      <c r="F316" s="22" t="n">
        <v>0.163440686354855</v>
      </c>
      <c r="G316" s="23" t="n">
        <v>19</v>
      </c>
      <c r="H316" s="24" t="n">
        <f aca="false">IF(F316&gt;0,E316/F316,"")</f>
        <v>-2.41664095011962</v>
      </c>
      <c r="I316" s="24" t="n">
        <f aca="false">IF(H316="","",TDIST(ABS(H316),G316-1,2))</f>
        <v>0.0265049073518068</v>
      </c>
    </row>
    <row r="317" customFormat="false" ht="15" hidden="false" customHeight="false" outlineLevel="0" collapsed="false">
      <c r="A317" s="7" t="s">
        <v>141</v>
      </c>
      <c r="B317" s="7" t="s">
        <v>48</v>
      </c>
      <c r="C317" s="7" t="s">
        <v>113</v>
      </c>
      <c r="D317" s="7" t="s">
        <v>137</v>
      </c>
      <c r="E317" s="22" t="n">
        <v>-0.626715564594837</v>
      </c>
      <c r="F317" s="22" t="n">
        <v>0.239860860486974</v>
      </c>
      <c r="G317" s="23" t="n">
        <v>19</v>
      </c>
      <c r="H317" s="24" t="n">
        <f aca="false">IF(F317&gt;0,E317/F317,"")</f>
        <v>-2.61282963515788</v>
      </c>
      <c r="I317" s="24" t="n">
        <f aca="false">IF(H317="","",TDIST(ABS(H317),G317-1,2))</f>
        <v>0.0176173880508815</v>
      </c>
    </row>
    <row r="318" customFormat="false" ht="15" hidden="false" customHeight="false" outlineLevel="0" collapsed="false">
      <c r="A318" s="7" t="s">
        <v>141</v>
      </c>
      <c r="B318" s="7" t="s">
        <v>48</v>
      </c>
      <c r="C318" s="7" t="s">
        <v>113</v>
      </c>
      <c r="D318" s="7" t="s">
        <v>117</v>
      </c>
      <c r="E318" s="22" t="n">
        <v>0.231738109034037</v>
      </c>
      <c r="F318" s="22" t="n">
        <v>0.304331872820908</v>
      </c>
      <c r="G318" s="23" t="n">
        <v>19</v>
      </c>
      <c r="H318" s="24" t="n">
        <f aca="false">IF(F318&gt;0,E318/F318,"")</f>
        <v>0.761465129780898</v>
      </c>
      <c r="I318" s="24" t="n">
        <f aca="false">IF(H318="","",TDIST(ABS(H318),G318-1,2))</f>
        <v>0.456240677871114</v>
      </c>
    </row>
    <row r="319" customFormat="false" ht="15" hidden="false" customHeight="false" outlineLevel="0" collapsed="false">
      <c r="A319" s="7" t="s">
        <v>141</v>
      </c>
      <c r="B319" s="7" t="s">
        <v>48</v>
      </c>
      <c r="C319" s="7" t="s">
        <v>116</v>
      </c>
      <c r="D319" s="7" t="s">
        <v>136</v>
      </c>
      <c r="E319" s="22" t="n">
        <v>-0.374679781911922</v>
      </c>
      <c r="F319" s="22" t="n">
        <v>0.311223645422726</v>
      </c>
      <c r="G319" s="23" t="n">
        <v>19</v>
      </c>
      <c r="H319" s="24" t="n">
        <f aca="false">IF(F319&gt;0,E319/F319,"")</f>
        <v>-1.20389240156546</v>
      </c>
      <c r="I319" s="24" t="n">
        <f aca="false">IF(H319="","",TDIST(ABS(H319),G319-1,2))</f>
        <v>0.244224799918507</v>
      </c>
    </row>
    <row r="320" customFormat="false" ht="15" hidden="false" customHeight="false" outlineLevel="0" collapsed="false">
      <c r="A320" s="7" t="s">
        <v>141</v>
      </c>
      <c r="B320" s="7" t="s">
        <v>48</v>
      </c>
      <c r="C320" s="7" t="s">
        <v>116</v>
      </c>
      <c r="D320" s="7" t="s">
        <v>137</v>
      </c>
      <c r="E320" s="22" t="n">
        <v>-0.406692273013825</v>
      </c>
      <c r="F320" s="22" t="n">
        <v>0.279746118866399</v>
      </c>
      <c r="G320" s="23" t="n">
        <v>19</v>
      </c>
      <c r="H320" s="24" t="n">
        <f aca="false">IF(F320&gt;0,E320/F320,"")</f>
        <v>-1.4537905821959</v>
      </c>
      <c r="I320" s="24" t="n">
        <f aca="false">IF(H320="","",TDIST(ABS(H320),G320-1,2))</f>
        <v>0.163218525547548</v>
      </c>
    </row>
    <row r="321" customFormat="false" ht="15" hidden="false" customHeight="false" outlineLevel="0" collapsed="false">
      <c r="A321" s="7" t="s">
        <v>141</v>
      </c>
      <c r="B321" s="7" t="s">
        <v>48</v>
      </c>
      <c r="C321" s="7" t="s">
        <v>116</v>
      </c>
      <c r="D321" s="7" t="s">
        <v>117</v>
      </c>
      <c r="E321" s="22" t="n">
        <v>0.0320124911019027</v>
      </c>
      <c r="F321" s="22" t="n">
        <v>0.514015440698602</v>
      </c>
      <c r="G321" s="23" t="n">
        <v>19</v>
      </c>
      <c r="H321" s="24" t="n">
        <f aca="false">IF(F321&gt;0,E321/F321,"")</f>
        <v>0.0622792402080262</v>
      </c>
      <c r="I321" s="24" t="n">
        <f aca="false">IF(H321="","",TDIST(ABS(H321),G321-1,2))</f>
        <v>0.951026815668812</v>
      </c>
    </row>
    <row r="322" customFormat="false" ht="15" hidden="false" customHeight="false" outlineLevel="0" collapsed="false">
      <c r="A322" s="7" t="s">
        <v>142</v>
      </c>
      <c r="B322" s="7" t="s">
        <v>48</v>
      </c>
      <c r="C322" s="7" t="s">
        <v>113</v>
      </c>
      <c r="D322" s="7" t="s">
        <v>136</v>
      </c>
      <c r="E322" s="22" t="n">
        <v>-0.320980307043932</v>
      </c>
      <c r="F322" s="22" t="n">
        <v>0.171911640232472</v>
      </c>
      <c r="G322" s="23" t="n">
        <v>19</v>
      </c>
      <c r="H322" s="24" t="n">
        <f aca="false">IF(F322&gt;0,E322/F322,"")</f>
        <v>-1.86712375386493</v>
      </c>
      <c r="I322" s="24" t="n">
        <f aca="false">IF(H322="","",TDIST(ABS(H322),G322-1,2))</f>
        <v>0.0782581651554331</v>
      </c>
    </row>
    <row r="323" customFormat="false" ht="15" hidden="false" customHeight="false" outlineLevel="0" collapsed="false">
      <c r="A323" s="7" t="s">
        <v>142</v>
      </c>
      <c r="B323" s="7" t="s">
        <v>48</v>
      </c>
      <c r="C323" s="7" t="s">
        <v>113</v>
      </c>
      <c r="D323" s="7" t="s">
        <v>137</v>
      </c>
      <c r="E323" s="22" t="n">
        <v>-0.37804969968123</v>
      </c>
      <c r="F323" s="22" t="n">
        <v>0.311505625276648</v>
      </c>
      <c r="G323" s="23" t="n">
        <v>19</v>
      </c>
      <c r="H323" s="24" t="n">
        <f aca="false">IF(F323&gt;0,E323/F323,"")</f>
        <v>-1.21362077922504</v>
      </c>
      <c r="I323" s="24" t="n">
        <f aca="false">IF(H323="","",TDIST(ABS(H323),G323-1,2))</f>
        <v>0.240577655924916</v>
      </c>
    </row>
    <row r="324" customFormat="false" ht="15" hidden="false" customHeight="false" outlineLevel="0" collapsed="false">
      <c r="A324" s="7" t="s">
        <v>142</v>
      </c>
      <c r="B324" s="7" t="s">
        <v>48</v>
      </c>
      <c r="C324" s="7" t="s">
        <v>113</v>
      </c>
      <c r="D324" s="7" t="s">
        <v>117</v>
      </c>
      <c r="E324" s="22" t="n">
        <v>0.0570693926372976</v>
      </c>
      <c r="F324" s="22" t="n">
        <v>0.349818471921716</v>
      </c>
      <c r="G324" s="23" t="n">
        <v>19</v>
      </c>
      <c r="H324" s="24" t="n">
        <f aca="false">IF(F324&gt;0,E324/F324,"")</f>
        <v>0.163140020376251</v>
      </c>
      <c r="I324" s="24" t="n">
        <f aca="false">IF(H324="","",TDIST(ABS(H324),G324-1,2))</f>
        <v>0.87222583809374</v>
      </c>
    </row>
    <row r="325" customFormat="false" ht="15" hidden="false" customHeight="false" outlineLevel="0" collapsed="false">
      <c r="A325" s="7" t="s">
        <v>142</v>
      </c>
      <c r="B325" s="7" t="s">
        <v>48</v>
      </c>
      <c r="C325" s="7" t="s">
        <v>116</v>
      </c>
      <c r="D325" s="7" t="s">
        <v>136</v>
      </c>
      <c r="E325" s="22" t="n">
        <v>-0.369998502343579</v>
      </c>
      <c r="F325" s="22" t="n">
        <v>0.18632678397721</v>
      </c>
      <c r="G325" s="23" t="n">
        <v>19</v>
      </c>
      <c r="H325" s="24" t="n">
        <f aca="false">IF(F325&gt;0,E325/F325,"")</f>
        <v>-1.98575048871575</v>
      </c>
      <c r="I325" s="24" t="n">
        <f aca="false">IF(H325="","",TDIST(ABS(H325),G325-1,2))</f>
        <v>0.0625085313914567</v>
      </c>
    </row>
    <row r="326" customFormat="false" ht="15" hidden="false" customHeight="false" outlineLevel="0" collapsed="false">
      <c r="A326" s="7" t="s">
        <v>142</v>
      </c>
      <c r="B326" s="7" t="s">
        <v>48</v>
      </c>
      <c r="C326" s="7" t="s">
        <v>116</v>
      </c>
      <c r="D326" s="7" t="s">
        <v>137</v>
      </c>
      <c r="E326" s="22" t="n">
        <v>-0.208018874699602</v>
      </c>
      <c r="F326" s="22" t="n">
        <v>0.34920852259214</v>
      </c>
      <c r="G326" s="23" t="n">
        <v>19</v>
      </c>
      <c r="H326" s="24" t="n">
        <f aca="false">IF(F326&gt;0,E326/F326,"")</f>
        <v>-0.595686706485566</v>
      </c>
      <c r="I326" s="24" t="n">
        <f aca="false">IF(H326="","",TDIST(ABS(H326),G326-1,2))</f>
        <v>0.558800949068</v>
      </c>
    </row>
    <row r="327" customFormat="false" ht="15" hidden="false" customHeight="false" outlineLevel="0" collapsed="false">
      <c r="A327" s="7" t="s">
        <v>142</v>
      </c>
      <c r="B327" s="7" t="s">
        <v>48</v>
      </c>
      <c r="C327" s="7" t="s">
        <v>116</v>
      </c>
      <c r="D327" s="7" t="s">
        <v>117</v>
      </c>
      <c r="E327" s="22" t="n">
        <v>-0.161979627643976</v>
      </c>
      <c r="F327" s="22" t="n">
        <v>0.41325061956192</v>
      </c>
      <c r="G327" s="23" t="n">
        <v>19</v>
      </c>
      <c r="H327" s="24" t="n">
        <f aca="false">IF(F327&gt;0,E327/F327,"")</f>
        <v>-0.391964633509051</v>
      </c>
      <c r="I327" s="24" t="n">
        <f aca="false">IF(H327="","",TDIST(ABS(H327),G327-1,2))</f>
        <v>0.699686352876994</v>
      </c>
    </row>
    <row r="328" customFormat="false" ht="15" hidden="false" customHeight="false" outlineLevel="0" collapsed="false">
      <c r="A328" s="7" t="s">
        <v>143</v>
      </c>
      <c r="B328" s="7" t="s">
        <v>48</v>
      </c>
      <c r="C328" s="7" t="s">
        <v>113</v>
      </c>
      <c r="D328" s="7" t="s">
        <v>136</v>
      </c>
      <c r="E328" s="22" t="n">
        <v>-0.365515371351618</v>
      </c>
      <c r="F328" s="22" t="n">
        <v>0.157198235026482</v>
      </c>
      <c r="G328" s="23" t="n">
        <v>19</v>
      </c>
      <c r="H328" s="24" t="n">
        <f aca="false">IF(F328&gt;0,E328/F328,"")</f>
        <v>-2.32518750156478</v>
      </c>
      <c r="I328" s="24" t="n">
        <f aca="false">IF(H328="","",TDIST(ABS(H328),G328-1,2))</f>
        <v>0.031953846943658</v>
      </c>
    </row>
    <row r="329" customFormat="false" ht="15" hidden="false" customHeight="false" outlineLevel="0" collapsed="false">
      <c r="A329" s="7" t="s">
        <v>143</v>
      </c>
      <c r="B329" s="7" t="s">
        <v>48</v>
      </c>
      <c r="C329" s="7" t="s">
        <v>113</v>
      </c>
      <c r="D329" s="7" t="s">
        <v>137</v>
      </c>
      <c r="E329" s="22" t="n">
        <v>-0.407211731673022</v>
      </c>
      <c r="F329" s="22" t="n">
        <v>0.288059345364893</v>
      </c>
      <c r="G329" s="23" t="n">
        <v>19</v>
      </c>
      <c r="H329" s="24" t="n">
        <f aca="false">IF(F329&gt;0,E329/F329,"")</f>
        <v>-1.41363832913386</v>
      </c>
      <c r="I329" s="24" t="n">
        <f aca="false">IF(H329="","",TDIST(ABS(H329),G329-1,2))</f>
        <v>0.174529916595796</v>
      </c>
    </row>
    <row r="330" customFormat="false" ht="15" hidden="false" customHeight="false" outlineLevel="0" collapsed="false">
      <c r="A330" s="7" t="s">
        <v>143</v>
      </c>
      <c r="B330" s="7" t="s">
        <v>48</v>
      </c>
      <c r="C330" s="7" t="s">
        <v>113</v>
      </c>
      <c r="D330" s="7" t="s">
        <v>117</v>
      </c>
      <c r="E330" s="22" t="n">
        <v>0.0416963603214046</v>
      </c>
      <c r="F330" s="22" t="n">
        <v>0.360837533755453</v>
      </c>
      <c r="G330" s="23" t="n">
        <v>19</v>
      </c>
      <c r="H330" s="24" t="n">
        <f aca="false">IF(F330&gt;0,E330/F330,"")</f>
        <v>0.115554387836114</v>
      </c>
      <c r="I330" s="24" t="n">
        <f aca="false">IF(H330="","",TDIST(ABS(H330),G330-1,2))</f>
        <v>0.909285083156702</v>
      </c>
    </row>
    <row r="331" customFormat="false" ht="15" hidden="false" customHeight="false" outlineLevel="0" collapsed="false">
      <c r="A331" s="7" t="s">
        <v>143</v>
      </c>
      <c r="B331" s="7" t="s">
        <v>48</v>
      </c>
      <c r="C331" s="7" t="s">
        <v>116</v>
      </c>
      <c r="D331" s="7" t="s">
        <v>136</v>
      </c>
      <c r="E331" s="22" t="n">
        <v>-0.445041864713164</v>
      </c>
      <c r="F331" s="22" t="n">
        <v>0.15420020001782</v>
      </c>
      <c r="G331" s="23" t="n">
        <v>19</v>
      </c>
      <c r="H331" s="24" t="n">
        <f aca="false">IF(F331&gt;0,E331/F331,"")</f>
        <v>-2.88613026871388</v>
      </c>
      <c r="I331" s="24" t="n">
        <f aca="false">IF(H331="","",TDIST(ABS(H331),G331-1,2))</f>
        <v>0.00983550510018783</v>
      </c>
    </row>
    <row r="332" customFormat="false" ht="15" hidden="false" customHeight="false" outlineLevel="0" collapsed="false">
      <c r="A332" s="7" t="s">
        <v>143</v>
      </c>
      <c r="B332" s="7" t="s">
        <v>48</v>
      </c>
      <c r="C332" s="7" t="s">
        <v>116</v>
      </c>
      <c r="D332" s="7" t="s">
        <v>137</v>
      </c>
      <c r="E332" s="22" t="n">
        <v>-0.280626318105885</v>
      </c>
      <c r="F332" s="22" t="n">
        <v>0.40320480519027</v>
      </c>
      <c r="G332" s="23" t="n">
        <v>19</v>
      </c>
      <c r="H332" s="24" t="n">
        <f aca="false">IF(F332&gt;0,E332/F332,"")</f>
        <v>-0.695989518213848</v>
      </c>
      <c r="I332" s="24" t="n">
        <f aca="false">IF(H332="","",TDIST(ABS(H332),G332-1,2))</f>
        <v>0.495324690974033</v>
      </c>
    </row>
    <row r="333" customFormat="false" ht="15" hidden="false" customHeight="false" outlineLevel="0" collapsed="false">
      <c r="A333" s="7" t="s">
        <v>143</v>
      </c>
      <c r="B333" s="7" t="s">
        <v>48</v>
      </c>
      <c r="C333" s="7" t="s">
        <v>116</v>
      </c>
      <c r="D333" s="7" t="s">
        <v>117</v>
      </c>
      <c r="E333" s="22" t="n">
        <v>-0.16441554660728</v>
      </c>
      <c r="F333" s="22" t="n">
        <v>0.414255246747027</v>
      </c>
      <c r="G333" s="23" t="n">
        <v>19</v>
      </c>
      <c r="H333" s="24" t="n">
        <f aca="false">IF(F333&gt;0,E333/F333,"")</f>
        <v>-0.396894301033882</v>
      </c>
      <c r="I333" s="24" t="n">
        <f aca="false">IF(H333="","",TDIST(ABS(H333),G333-1,2))</f>
        <v>0.696111794854343</v>
      </c>
    </row>
    <row r="334" customFormat="false" ht="15" hidden="false" customHeight="false" outlineLevel="0" collapsed="false">
      <c r="A334" s="7" t="s">
        <v>144</v>
      </c>
      <c r="B334" s="7" t="s">
        <v>48</v>
      </c>
      <c r="C334" s="7" t="s">
        <v>113</v>
      </c>
      <c r="D334" s="7" t="s">
        <v>136</v>
      </c>
      <c r="E334" s="22" t="n">
        <v>-0.51544172720677</v>
      </c>
      <c r="F334" s="22" t="n">
        <v>0.507288528654139</v>
      </c>
      <c r="G334" s="23" t="n">
        <v>19</v>
      </c>
      <c r="H334" s="24" t="n">
        <f aca="false">IF(F334&gt;0,E334/F334,"")</f>
        <v>-1.0160721129931</v>
      </c>
      <c r="I334" s="24" t="n">
        <f aca="false">IF(H334="","",TDIST(ABS(H334),G334-1,2))</f>
        <v>0.32305887405225</v>
      </c>
    </row>
    <row r="335" customFormat="false" ht="15" hidden="false" customHeight="false" outlineLevel="0" collapsed="false">
      <c r="A335" s="7" t="s">
        <v>144</v>
      </c>
      <c r="B335" s="7" t="s">
        <v>48</v>
      </c>
      <c r="C335" s="7" t="s">
        <v>113</v>
      </c>
      <c r="D335" s="7" t="s">
        <v>137</v>
      </c>
      <c r="E335" s="22" t="n">
        <v>-0.401365604002358</v>
      </c>
      <c r="F335" s="22" t="n">
        <v>0.167526404521123</v>
      </c>
      <c r="G335" s="23" t="n">
        <v>19</v>
      </c>
      <c r="H335" s="24" t="n">
        <f aca="false">IF(F335&gt;0,E335/F335,"")</f>
        <v>-2.3958348843555</v>
      </c>
      <c r="I335" s="24" t="n">
        <f aca="false">IF(H335="","",TDIST(ABS(H335),G335-1,2))</f>
        <v>0.0276622764419713</v>
      </c>
    </row>
    <row r="336" customFormat="false" ht="15" hidden="false" customHeight="false" outlineLevel="0" collapsed="false">
      <c r="A336" s="7" t="s">
        <v>144</v>
      </c>
      <c r="B336" s="7" t="s">
        <v>48</v>
      </c>
      <c r="C336" s="7" t="s">
        <v>113</v>
      </c>
      <c r="D336" s="7" t="s">
        <v>117</v>
      </c>
      <c r="E336" s="22" t="n">
        <v>-0.114076123204413</v>
      </c>
      <c r="F336" s="22" t="n">
        <v>0.530700551465121</v>
      </c>
      <c r="G336" s="23" t="n">
        <v>19</v>
      </c>
      <c r="H336" s="24" t="n">
        <f aca="false">IF(F336&gt;0,E336/F336,"")</f>
        <v>-0.214953843348155</v>
      </c>
      <c r="I336" s="24" t="n">
        <f aca="false">IF(H336="","",TDIST(ABS(H336),G336-1,2))</f>
        <v>0.832219915917601</v>
      </c>
    </row>
    <row r="337" customFormat="false" ht="15" hidden="false" customHeight="false" outlineLevel="0" collapsed="false">
      <c r="A337" s="7" t="s">
        <v>144</v>
      </c>
      <c r="B337" s="7" t="s">
        <v>48</v>
      </c>
      <c r="C337" s="7" t="s">
        <v>116</v>
      </c>
      <c r="D337" s="7" t="s">
        <v>136</v>
      </c>
      <c r="E337" s="22" t="n">
        <v>-0.443829291136233</v>
      </c>
      <c r="F337" s="22" t="n">
        <v>0.393645277991795</v>
      </c>
      <c r="G337" s="23" t="n">
        <v>19</v>
      </c>
      <c r="H337" s="24" t="n">
        <f aca="false">IF(F337&gt;0,E337/F337,"")</f>
        <v>-1.12748536804621</v>
      </c>
      <c r="I337" s="24" t="n">
        <f aca="false">IF(H337="","",TDIST(ABS(H337),G337-1,2))</f>
        <v>0.274343131248815</v>
      </c>
    </row>
    <row r="338" customFormat="false" ht="15" hidden="false" customHeight="false" outlineLevel="0" collapsed="false">
      <c r="A338" s="7" t="s">
        <v>144</v>
      </c>
      <c r="B338" s="7" t="s">
        <v>48</v>
      </c>
      <c r="C338" s="7" t="s">
        <v>116</v>
      </c>
      <c r="D338" s="7" t="s">
        <v>137</v>
      </c>
      <c r="E338" s="22" t="n">
        <v>-0.221334719107229</v>
      </c>
      <c r="F338" s="22" t="n">
        <v>0.184831985242649</v>
      </c>
      <c r="G338" s="23" t="n">
        <v>19</v>
      </c>
      <c r="H338" s="24" t="n">
        <f aca="false">IF(F338&gt;0,E338/F338,"")</f>
        <v>-1.19749143427021</v>
      </c>
      <c r="I338" s="24" t="n">
        <f aca="false">IF(H338="","",TDIST(ABS(H338),G338-1,2))</f>
        <v>0.246647385341482</v>
      </c>
    </row>
    <row r="339" customFormat="false" ht="15" hidden="false" customHeight="false" outlineLevel="0" collapsed="false">
      <c r="A339" s="7" t="s">
        <v>144</v>
      </c>
      <c r="B339" s="7" t="s">
        <v>48</v>
      </c>
      <c r="C339" s="7" t="s">
        <v>116</v>
      </c>
      <c r="D339" s="7" t="s">
        <v>117</v>
      </c>
      <c r="E339" s="22" t="n">
        <v>-0.222494572029003</v>
      </c>
      <c r="F339" s="22" t="n">
        <v>0.483010810804508</v>
      </c>
      <c r="G339" s="23" t="n">
        <v>19</v>
      </c>
      <c r="H339" s="24" t="n">
        <f aca="false">IF(F339&gt;0,E339/F339,"")</f>
        <v>-0.46064097749368</v>
      </c>
      <c r="I339" s="24" t="n">
        <f aca="false">IF(H339="","",TDIST(ABS(H339),G339-1,2))</f>
        <v>0.650572792054854</v>
      </c>
    </row>
    <row r="340" customFormat="false" ht="15" hidden="false" customHeight="false" outlineLevel="0" collapsed="false">
      <c r="A340" s="7" t="s">
        <v>145</v>
      </c>
      <c r="B340" s="7" t="s">
        <v>44</v>
      </c>
      <c r="C340" s="7" t="s">
        <v>113</v>
      </c>
      <c r="D340" s="7" t="s">
        <v>136</v>
      </c>
      <c r="E340" s="22" t="n">
        <v>-0.999942964288019</v>
      </c>
      <c r="F340" s="22" t="n">
        <v>0.166478616381969</v>
      </c>
      <c r="G340" s="23" t="n">
        <v>19</v>
      </c>
      <c r="H340" s="24" t="n">
        <f aca="false">IF(F340&gt;0,E340/F340,"")</f>
        <v>-6.00643485643675</v>
      </c>
      <c r="I340" s="24" t="n">
        <f aca="false">IF(H340="","",TDIST(ABS(H340),G340-1,2))</f>
        <v>1.11224507207736E-005</v>
      </c>
    </row>
    <row r="341" customFormat="false" ht="15" hidden="false" customHeight="false" outlineLevel="0" collapsed="false">
      <c r="A341" s="7" t="s">
        <v>145</v>
      </c>
      <c r="B341" s="7" t="s">
        <v>44</v>
      </c>
      <c r="C341" s="7" t="s">
        <v>113</v>
      </c>
      <c r="D341" s="7" t="s">
        <v>137</v>
      </c>
      <c r="E341" s="22" t="n">
        <v>-0.324638341340093</v>
      </c>
      <c r="F341" s="22" t="n">
        <v>0.248169198407455</v>
      </c>
      <c r="G341" s="23" t="n">
        <v>19</v>
      </c>
      <c r="H341" s="24" t="n">
        <f aca="false">IF(F341&gt;0,E341/F341,"")</f>
        <v>-1.30813309396715</v>
      </c>
      <c r="I341" s="24" t="n">
        <f aca="false">IF(H341="","",TDIST(ABS(H341),G341-1,2))</f>
        <v>0.207287829395464</v>
      </c>
    </row>
    <row r="342" customFormat="false" ht="15" hidden="false" customHeight="false" outlineLevel="0" collapsed="false">
      <c r="A342" s="7" t="s">
        <v>145</v>
      </c>
      <c r="B342" s="7" t="s">
        <v>44</v>
      </c>
      <c r="C342" s="7" t="s">
        <v>113</v>
      </c>
      <c r="D342" s="7" t="s">
        <v>117</v>
      </c>
      <c r="E342" s="22" t="n">
        <v>-0.675304622947926</v>
      </c>
      <c r="F342" s="22" t="n">
        <v>0.312166882927223</v>
      </c>
      <c r="G342" s="23" t="n">
        <v>19</v>
      </c>
      <c r="H342" s="24" t="n">
        <f aca="false">IF(F342&gt;0,E342/F342,"")</f>
        <v>-2.16328079588559</v>
      </c>
      <c r="I342" s="24" t="n">
        <f aca="false">IF(H342="","",TDIST(ABS(H342),G342-1,2))</f>
        <v>0.0442196350839075</v>
      </c>
    </row>
    <row r="343" customFormat="false" ht="15" hidden="false" customHeight="false" outlineLevel="0" collapsed="false">
      <c r="A343" s="7" t="s">
        <v>145</v>
      </c>
      <c r="B343" s="7" t="s">
        <v>44</v>
      </c>
      <c r="C343" s="7" t="s">
        <v>116</v>
      </c>
      <c r="D343" s="7" t="s">
        <v>136</v>
      </c>
      <c r="E343" s="22" t="n">
        <v>-0.850000540108977</v>
      </c>
      <c r="F343" s="22" t="n">
        <v>0.176878205696414</v>
      </c>
      <c r="G343" s="23" t="n">
        <v>19</v>
      </c>
      <c r="H343" s="24" t="n">
        <f aca="false">IF(F343&gt;0,E343/F343,"")</f>
        <v>-4.80556966734433</v>
      </c>
      <c r="I343" s="24" t="n">
        <f aca="false">IF(H343="","",TDIST(ABS(H343),G343-1,2))</f>
        <v>0.000141665253880584</v>
      </c>
    </row>
    <row r="344" customFormat="false" ht="15" hidden="false" customHeight="false" outlineLevel="0" collapsed="false">
      <c r="A344" s="7" t="s">
        <v>145</v>
      </c>
      <c r="B344" s="7" t="s">
        <v>44</v>
      </c>
      <c r="C344" s="7" t="s">
        <v>116</v>
      </c>
      <c r="D344" s="7" t="s">
        <v>137</v>
      </c>
      <c r="E344" s="22" t="n">
        <v>-0.25482602952791</v>
      </c>
      <c r="F344" s="22" t="n">
        <v>0.271166611463265</v>
      </c>
      <c r="G344" s="23" t="n">
        <v>19</v>
      </c>
      <c r="H344" s="24" t="n">
        <f aca="false">IF(F344&gt;0,E344/F344,"")</f>
        <v>-0.939739697866274</v>
      </c>
      <c r="I344" s="24" t="n">
        <f aca="false">IF(H344="","",TDIST(ABS(H344),G344-1,2))</f>
        <v>0.359791874718994</v>
      </c>
    </row>
    <row r="345" customFormat="false" ht="15" hidden="false" customHeight="false" outlineLevel="0" collapsed="false">
      <c r="A345" s="7" t="s">
        <v>145</v>
      </c>
      <c r="B345" s="7" t="s">
        <v>44</v>
      </c>
      <c r="C345" s="7" t="s">
        <v>116</v>
      </c>
      <c r="D345" s="7" t="s">
        <v>117</v>
      </c>
      <c r="E345" s="22" t="n">
        <v>-0.595174510581067</v>
      </c>
      <c r="F345" s="22" t="n">
        <v>0.334187345722142</v>
      </c>
      <c r="G345" s="23" t="n">
        <v>19</v>
      </c>
      <c r="H345" s="24" t="n">
        <f aca="false">IF(F345&gt;0,E345/F345,"")</f>
        <v>-1.78096064438036</v>
      </c>
      <c r="I345" s="24" t="n">
        <f aca="false">IF(H345="","",TDIST(ABS(H345),G345-1,2))</f>
        <v>0.0918018170201297</v>
      </c>
    </row>
    <row r="346" customFormat="false" ht="15" hidden="false" customHeight="false" outlineLevel="0" collapsed="false">
      <c r="A346" s="7" t="s">
        <v>145</v>
      </c>
      <c r="B346" s="7" t="s">
        <v>48</v>
      </c>
      <c r="C346" s="7" t="s">
        <v>113</v>
      </c>
      <c r="D346" s="7" t="s">
        <v>136</v>
      </c>
      <c r="E346" s="22" t="n">
        <v>-1.19124418478081</v>
      </c>
      <c r="F346" s="22" t="n">
        <v>0.285950576021123</v>
      </c>
      <c r="G346" s="23" t="n">
        <v>19</v>
      </c>
      <c r="H346" s="24" t="n">
        <f aca="false">IF(F346&gt;0,E346/F346,"")</f>
        <v>-4.16590937271906</v>
      </c>
      <c r="I346" s="24" t="n">
        <f aca="false">IF(H346="","",TDIST(ABS(H346),G346-1,2))</f>
        <v>0.00058057387277601</v>
      </c>
    </row>
    <row r="347" customFormat="false" ht="15" hidden="false" customHeight="false" outlineLevel="0" collapsed="false">
      <c r="A347" s="7" t="s">
        <v>145</v>
      </c>
      <c r="B347" s="7" t="s">
        <v>48</v>
      </c>
      <c r="C347" s="7" t="s">
        <v>113</v>
      </c>
      <c r="D347" s="7" t="s">
        <v>137</v>
      </c>
      <c r="E347" s="22" t="n">
        <v>-0.0538299176933395</v>
      </c>
      <c r="F347" s="22" t="n">
        <v>0.14042295157936</v>
      </c>
      <c r="G347" s="23" t="n">
        <v>19</v>
      </c>
      <c r="H347" s="24" t="n">
        <f aca="false">IF(F347&gt;0,E347/F347,"")</f>
        <v>-0.38334130630289</v>
      </c>
      <c r="I347" s="24" t="n">
        <f aca="false">IF(H347="","",TDIST(ABS(H347),G347-1,2))</f>
        <v>0.705956580896471</v>
      </c>
    </row>
    <row r="348" customFormat="false" ht="15" hidden="false" customHeight="false" outlineLevel="0" collapsed="false">
      <c r="A348" s="7" t="s">
        <v>145</v>
      </c>
      <c r="B348" s="7" t="s">
        <v>48</v>
      </c>
      <c r="C348" s="7" t="s">
        <v>113</v>
      </c>
      <c r="D348" s="7" t="s">
        <v>117</v>
      </c>
      <c r="E348" s="22" t="n">
        <v>-1.13741426708747</v>
      </c>
      <c r="F348" s="22" t="n">
        <v>0.347775306190323</v>
      </c>
      <c r="G348" s="23" t="n">
        <v>19</v>
      </c>
      <c r="H348" s="24" t="n">
        <f aca="false">IF(F348&gt;0,E348/F348,"")</f>
        <v>-3.27054349990282</v>
      </c>
      <c r="I348" s="24" t="n">
        <f aca="false">IF(H348="","",TDIST(ABS(H348),G348-1,2))</f>
        <v>0.00424862313455681</v>
      </c>
    </row>
    <row r="349" customFormat="false" ht="15" hidden="false" customHeight="false" outlineLevel="0" collapsed="false">
      <c r="A349" s="7" t="s">
        <v>145</v>
      </c>
      <c r="B349" s="7" t="s">
        <v>48</v>
      </c>
      <c r="C349" s="7" t="s">
        <v>116</v>
      </c>
      <c r="D349" s="7" t="s">
        <v>136</v>
      </c>
      <c r="E349" s="22" t="n">
        <v>-0.77414573818749</v>
      </c>
      <c r="F349" s="22" t="n">
        <v>0.180630036207392</v>
      </c>
      <c r="G349" s="23" t="n">
        <v>19</v>
      </c>
      <c r="H349" s="24" t="n">
        <f aca="false">IF(F349&gt;0,E349/F349,"")</f>
        <v>-4.28580846487042</v>
      </c>
      <c r="I349" s="24" t="n">
        <f aca="false">IF(H349="","",TDIST(ABS(H349),G349-1,2))</f>
        <v>0.000444878614351422</v>
      </c>
    </row>
    <row r="350" customFormat="false" ht="15" hidden="false" customHeight="false" outlineLevel="0" collapsed="false">
      <c r="A350" s="7" t="s">
        <v>145</v>
      </c>
      <c r="B350" s="7" t="s">
        <v>48</v>
      </c>
      <c r="C350" s="7" t="s">
        <v>116</v>
      </c>
      <c r="D350" s="7" t="s">
        <v>137</v>
      </c>
      <c r="E350" s="22" t="n">
        <v>-0.0315829255843494</v>
      </c>
      <c r="F350" s="22" t="n">
        <v>0.132258169837078</v>
      </c>
      <c r="G350" s="23" t="n">
        <v>19</v>
      </c>
      <c r="H350" s="24" t="n">
        <f aca="false">IF(F350&gt;0,E350/F350,"")</f>
        <v>-0.238797539866572</v>
      </c>
      <c r="I350" s="24" t="n">
        <f aca="false">IF(H350="","",TDIST(ABS(H350),G350-1,2))</f>
        <v>0.81396022393207</v>
      </c>
    </row>
    <row r="351" customFormat="false" ht="15" hidden="false" customHeight="false" outlineLevel="0" collapsed="false">
      <c r="A351" s="7" t="s">
        <v>145</v>
      </c>
      <c r="B351" s="7" t="s">
        <v>48</v>
      </c>
      <c r="C351" s="7" t="s">
        <v>116</v>
      </c>
      <c r="D351" s="7" t="s">
        <v>117</v>
      </c>
      <c r="E351" s="22" t="n">
        <v>-0.74256281260314</v>
      </c>
      <c r="F351" s="22" t="n">
        <v>0.235538261752277</v>
      </c>
      <c r="G351" s="23" t="n">
        <v>19</v>
      </c>
      <c r="H351" s="24" t="n">
        <f aca="false">IF(F351&gt;0,E351/F351,"")</f>
        <v>-3.1526207550267</v>
      </c>
      <c r="I351" s="24" t="n">
        <f aca="false">IF(H351="","",TDIST(ABS(H351),G351-1,2))</f>
        <v>0.00550659287623132</v>
      </c>
    </row>
    <row r="352" customFormat="false" ht="15" hidden="false" customHeight="false" outlineLevel="0" collapsed="false">
      <c r="A352" s="7" t="s">
        <v>146</v>
      </c>
      <c r="B352" s="7" t="s">
        <v>147</v>
      </c>
      <c r="C352" s="7" t="s">
        <v>113</v>
      </c>
      <c r="D352" s="7" t="s">
        <v>97</v>
      </c>
      <c r="E352" s="22" t="n">
        <v>-0.29541454880032</v>
      </c>
      <c r="F352" s="22" t="n">
        <v>0.138966549270016</v>
      </c>
      <c r="G352" s="23" t="n">
        <v>19</v>
      </c>
      <c r="H352" s="24" t="n">
        <f aca="false">IF(F352&gt;0,E352/F352,"")</f>
        <v>-2.12579610238663</v>
      </c>
      <c r="I352" s="24" t="n">
        <f aca="false">IF(H352="","",TDIST(ABS(H352),G352-1,2))</f>
        <v>0.0476164209251456</v>
      </c>
    </row>
    <row r="353" customFormat="false" ht="15" hidden="false" customHeight="false" outlineLevel="0" collapsed="false">
      <c r="A353" s="7" t="s">
        <v>146</v>
      </c>
      <c r="B353" s="7" t="s">
        <v>148</v>
      </c>
      <c r="C353" s="7" t="s">
        <v>113</v>
      </c>
      <c r="D353" s="7" t="s">
        <v>97</v>
      </c>
      <c r="E353" s="22" t="n">
        <v>-0.257060351544747</v>
      </c>
      <c r="F353" s="22" t="n">
        <v>0.142049097390685</v>
      </c>
      <c r="G353" s="23" t="n">
        <v>19</v>
      </c>
      <c r="H353" s="24" t="n">
        <f aca="false">IF(F353&gt;0,E353/F353,"")</f>
        <v>-1.80965846504284</v>
      </c>
      <c r="I353" s="24" t="n">
        <f aca="false">IF(H353="","",TDIST(ABS(H353),G353-1,2))</f>
        <v>0.0870791498656409</v>
      </c>
    </row>
    <row r="354" customFormat="false" ht="15" hidden="false" customHeight="false" outlineLevel="0" collapsed="false">
      <c r="A354" s="7" t="s">
        <v>146</v>
      </c>
      <c r="B354" s="7" t="s">
        <v>149</v>
      </c>
      <c r="C354" s="7" t="s">
        <v>113</v>
      </c>
      <c r="D354" s="7" t="s">
        <v>97</v>
      </c>
      <c r="E354" s="22" t="n">
        <v>-0.274747413124598</v>
      </c>
      <c r="F354" s="22" t="n">
        <v>0.140038279457207</v>
      </c>
      <c r="G354" s="23" t="n">
        <v>19</v>
      </c>
      <c r="H354" s="24" t="n">
        <f aca="false">IF(F354&gt;0,E354/F354,"")</f>
        <v>-1.96194507808528</v>
      </c>
      <c r="I354" s="24" t="n">
        <f aca="false">IF(H354="","",TDIST(ABS(H354),G354-1,2))</f>
        <v>0.0654207268090812</v>
      </c>
    </row>
    <row r="355" customFormat="false" ht="15" hidden="false" customHeight="false" outlineLevel="0" collapsed="false">
      <c r="A355" s="7" t="s">
        <v>146</v>
      </c>
      <c r="B355" s="7" t="s">
        <v>150</v>
      </c>
      <c r="C355" s="7" t="s">
        <v>113</v>
      </c>
      <c r="D355" s="7" t="s">
        <v>97</v>
      </c>
      <c r="E355" s="22" t="n">
        <v>-0.172829205185347</v>
      </c>
      <c r="F355" s="22" t="n">
        <v>0.158870499086007</v>
      </c>
      <c r="G355" s="23" t="n">
        <v>19</v>
      </c>
      <c r="H355" s="24" t="n">
        <f aca="false">IF(F355&gt;0,E355/F355,"")</f>
        <v>-1.08786216559805</v>
      </c>
      <c r="I355" s="24" t="n">
        <f aca="false">IF(H355="","",TDIST(ABS(H355),G355-1,2))</f>
        <v>0.291008400163554</v>
      </c>
    </row>
    <row r="356" customFormat="false" ht="15" hidden="false" customHeight="false" outlineLevel="0" collapsed="false">
      <c r="A356" s="7" t="s">
        <v>146</v>
      </c>
      <c r="B356" s="7" t="s">
        <v>147</v>
      </c>
      <c r="C356" s="7" t="s">
        <v>113</v>
      </c>
      <c r="D356" s="7" t="s">
        <v>98</v>
      </c>
      <c r="E356" s="22" t="n">
        <v>0.554310736522877</v>
      </c>
      <c r="F356" s="22" t="n">
        <v>0.408567341787208</v>
      </c>
      <c r="G356" s="23" t="n">
        <v>19</v>
      </c>
      <c r="H356" s="24" t="n">
        <f aca="false">IF(F356&gt;0,E356/F356,"")</f>
        <v>1.35671817061574</v>
      </c>
      <c r="I356" s="24" t="n">
        <f aca="false">IF(H356="","",TDIST(ABS(H356),G356-1,2))</f>
        <v>0.191643465102187</v>
      </c>
    </row>
    <row r="357" customFormat="false" ht="15" hidden="false" customHeight="false" outlineLevel="0" collapsed="false">
      <c r="A357" s="7" t="s">
        <v>146</v>
      </c>
      <c r="B357" s="7" t="s">
        <v>148</v>
      </c>
      <c r="C357" s="7" t="s">
        <v>113</v>
      </c>
      <c r="D357" s="7" t="s">
        <v>98</v>
      </c>
      <c r="E357" s="22" t="n">
        <v>0.140885947477963</v>
      </c>
      <c r="F357" s="22" t="n">
        <v>0.409653173447129</v>
      </c>
      <c r="G357" s="23" t="n">
        <v>19</v>
      </c>
      <c r="H357" s="24" t="n">
        <f aca="false">IF(F357&gt;0,E357/F357,"")</f>
        <v>0.343915186332973</v>
      </c>
      <c r="I357" s="24" t="n">
        <f aca="false">IF(H357="","",TDIST(ABS(H357),G357-1,2))</f>
        <v>0.734894920112179</v>
      </c>
    </row>
    <row r="358" customFormat="false" ht="15" hidden="false" customHeight="false" outlineLevel="0" collapsed="false">
      <c r="A358" s="7" t="s">
        <v>146</v>
      </c>
      <c r="B358" s="7" t="s">
        <v>149</v>
      </c>
      <c r="C358" s="7" t="s">
        <v>113</v>
      </c>
      <c r="D358" s="7" t="s">
        <v>98</v>
      </c>
      <c r="E358" s="22" t="n">
        <v>0.274058140482295</v>
      </c>
      <c r="F358" s="22" t="n">
        <v>0.383168404725258</v>
      </c>
      <c r="G358" s="23" t="n">
        <v>19</v>
      </c>
      <c r="H358" s="24" t="n">
        <f aca="false">IF(F358&gt;0,E358/F358,"")</f>
        <v>0.715242011352168</v>
      </c>
      <c r="I358" s="24" t="n">
        <f aca="false">IF(H358="","",TDIST(ABS(H358),G358-1,2))</f>
        <v>0.483634477766184</v>
      </c>
    </row>
    <row r="359" customFormat="false" ht="15" hidden="false" customHeight="false" outlineLevel="0" collapsed="false">
      <c r="A359" s="7" t="s">
        <v>146</v>
      </c>
      <c r="B359" s="7" t="s">
        <v>150</v>
      </c>
      <c r="C359" s="7" t="s">
        <v>113</v>
      </c>
      <c r="D359" s="7" t="s">
        <v>98</v>
      </c>
      <c r="E359" s="22" t="n">
        <v>0.298765869195842</v>
      </c>
      <c r="F359" s="22" t="n">
        <v>0.413399016907308</v>
      </c>
      <c r="G359" s="23" t="n">
        <v>19</v>
      </c>
      <c r="H359" s="24" t="n">
        <f aca="false">IF(F359&gt;0,E359/F359,"")</f>
        <v>0.722705804747549</v>
      </c>
      <c r="I359" s="24" t="n">
        <f aca="false">IF(H359="","",TDIST(ABS(H359),G359-1,2))</f>
        <v>0.479146451790095</v>
      </c>
    </row>
    <row r="360" customFormat="false" ht="15" hidden="false" customHeight="false" outlineLevel="0" collapsed="false">
      <c r="A360" s="7" t="s">
        <v>146</v>
      </c>
      <c r="B360" s="7" t="s">
        <v>147</v>
      </c>
      <c r="C360" s="7" t="s">
        <v>113</v>
      </c>
      <c r="D360" s="7" t="s">
        <v>99</v>
      </c>
      <c r="E360" s="22" t="n">
        <v>0.242790021023058</v>
      </c>
      <c r="F360" s="22" t="n">
        <v>0.0856603752597144</v>
      </c>
      <c r="G360" s="23" t="n">
        <v>19</v>
      </c>
      <c r="H360" s="24" t="n">
        <f aca="false">IF(F360&gt;0,E360/F360,"")</f>
        <v>2.83433291398667</v>
      </c>
      <c r="I360" s="24" t="n">
        <f aca="false">IF(H360="","",TDIST(ABS(H360),G360-1,2))</f>
        <v>0.0109960081097435</v>
      </c>
    </row>
    <row r="361" customFormat="false" ht="15" hidden="false" customHeight="false" outlineLevel="0" collapsed="false">
      <c r="A361" s="7" t="s">
        <v>146</v>
      </c>
      <c r="B361" s="7" t="s">
        <v>148</v>
      </c>
      <c r="C361" s="7" t="s">
        <v>113</v>
      </c>
      <c r="D361" s="7" t="s">
        <v>99</v>
      </c>
      <c r="E361" s="22" t="n">
        <v>0.307072326854401</v>
      </c>
      <c r="F361" s="22" t="n">
        <v>0.0944489830736501</v>
      </c>
      <c r="G361" s="23" t="n">
        <v>19</v>
      </c>
      <c r="H361" s="24" t="n">
        <f aca="false">IF(F361&gt;0,E361/F361,"")</f>
        <v>3.25119780924428</v>
      </c>
      <c r="I361" s="24" t="n">
        <f aca="false">IF(H361="","",TDIST(ABS(H361),G361-1,2))</f>
        <v>0.00443369474044328</v>
      </c>
    </row>
    <row r="362" customFormat="false" ht="15" hidden="false" customHeight="false" outlineLevel="0" collapsed="false">
      <c r="A362" s="7" t="s">
        <v>146</v>
      </c>
      <c r="B362" s="7" t="s">
        <v>149</v>
      </c>
      <c r="C362" s="7" t="s">
        <v>113</v>
      </c>
      <c r="D362" s="7" t="s">
        <v>99</v>
      </c>
      <c r="E362" s="22" t="n">
        <v>0.279015759078131</v>
      </c>
      <c r="F362" s="22" t="n">
        <v>0.0931140825688844</v>
      </c>
      <c r="G362" s="23" t="n">
        <v>19</v>
      </c>
      <c r="H362" s="24" t="n">
        <f aca="false">IF(F362&gt;0,E362/F362,"")</f>
        <v>2.99649367077982</v>
      </c>
      <c r="I362" s="24" t="n">
        <f aca="false">IF(H362="","",TDIST(ABS(H362),G362-1,2))</f>
        <v>0.00774422945265072</v>
      </c>
    </row>
    <row r="363" customFormat="false" ht="15" hidden="false" customHeight="false" outlineLevel="0" collapsed="false">
      <c r="A363" s="7" t="s">
        <v>146</v>
      </c>
      <c r="B363" s="7" t="s">
        <v>150</v>
      </c>
      <c r="C363" s="7" t="s">
        <v>113</v>
      </c>
      <c r="D363" s="7" t="s">
        <v>99</v>
      </c>
      <c r="E363" s="22" t="n">
        <v>0.291114055233269</v>
      </c>
      <c r="F363" s="22" t="n">
        <v>0.143187802017496</v>
      </c>
      <c r="G363" s="23" t="n">
        <v>19</v>
      </c>
      <c r="H363" s="24" t="n">
        <f aca="false">IF(F363&gt;0,E363/F363,"")</f>
        <v>2.03309256187688</v>
      </c>
      <c r="I363" s="24" t="n">
        <f aca="false">IF(H363="","",TDIST(ABS(H363),G363-1,2))</f>
        <v>0.0570603273515321</v>
      </c>
    </row>
    <row r="364" customFormat="false" ht="15" hidden="false" customHeight="false" outlineLevel="0" collapsed="false">
      <c r="A364" s="7" t="s">
        <v>146</v>
      </c>
      <c r="B364" s="7" t="s">
        <v>148</v>
      </c>
      <c r="C364" s="7" t="s">
        <v>113</v>
      </c>
      <c r="D364" s="7" t="s">
        <v>100</v>
      </c>
      <c r="E364" s="22" t="n">
        <v>-1.22078885944819</v>
      </c>
      <c r="F364" s="22" t="n">
        <v>0.573535812902261</v>
      </c>
      <c r="G364" s="23" t="n">
        <v>19</v>
      </c>
      <c r="H364" s="24" t="n">
        <f aca="false">IF(F364&gt;0,E364/F364,"")</f>
        <v>-2.12853117797585</v>
      </c>
      <c r="I364" s="24" t="n">
        <f aca="false">IF(H364="","",TDIST(ABS(H364),G364-1,2))</f>
        <v>0.0473607471323637</v>
      </c>
    </row>
    <row r="365" customFormat="false" ht="15" hidden="false" customHeight="false" outlineLevel="0" collapsed="false">
      <c r="A365" s="7" t="s">
        <v>146</v>
      </c>
      <c r="B365" s="7" t="s">
        <v>147</v>
      </c>
      <c r="C365" s="7" t="s">
        <v>116</v>
      </c>
      <c r="D365" s="7" t="s">
        <v>97</v>
      </c>
      <c r="E365" s="22" t="n">
        <v>-0.460418844431006</v>
      </c>
      <c r="F365" s="22" t="n">
        <v>0.15378733018563</v>
      </c>
      <c r="G365" s="23" t="n">
        <v>19</v>
      </c>
      <c r="H365" s="24" t="n">
        <f aca="false">IF(F365&gt;0,E365/F365,"")</f>
        <v>-2.99386720528444</v>
      </c>
      <c r="I365" s="24" t="n">
        <f aca="false">IF(H365="","",TDIST(ABS(H365),G365-1,2))</f>
        <v>0.00778857337967429</v>
      </c>
    </row>
    <row r="366" customFormat="false" ht="15" hidden="false" customHeight="false" outlineLevel="0" collapsed="false">
      <c r="A366" s="7" t="s">
        <v>146</v>
      </c>
      <c r="B366" s="7" t="s">
        <v>148</v>
      </c>
      <c r="C366" s="7" t="s">
        <v>116</v>
      </c>
      <c r="D366" s="7" t="s">
        <v>97</v>
      </c>
      <c r="E366" s="22" t="n">
        <v>-0.431574627873067</v>
      </c>
      <c r="F366" s="22" t="n">
        <v>0.144804549099811</v>
      </c>
      <c r="G366" s="23" t="n">
        <v>19</v>
      </c>
      <c r="H366" s="24" t="n">
        <f aca="false">IF(F366&gt;0,E366/F366,"")</f>
        <v>-2.98039412819545</v>
      </c>
      <c r="I366" s="24" t="n">
        <f aca="false">IF(H366="","",TDIST(ABS(H366),G366-1,2))</f>
        <v>0.00801994795150015</v>
      </c>
    </row>
    <row r="367" customFormat="false" ht="15" hidden="false" customHeight="false" outlineLevel="0" collapsed="false">
      <c r="A367" s="7" t="s">
        <v>146</v>
      </c>
      <c r="B367" s="7" t="s">
        <v>149</v>
      </c>
      <c r="C367" s="7" t="s">
        <v>116</v>
      </c>
      <c r="D367" s="7" t="s">
        <v>97</v>
      </c>
      <c r="E367" s="22" t="n">
        <v>-0.449708959063071</v>
      </c>
      <c r="F367" s="22" t="n">
        <v>0.150800230005381</v>
      </c>
      <c r="G367" s="23" t="n">
        <v>19</v>
      </c>
      <c r="H367" s="24" t="n">
        <f aca="false">IF(F367&gt;0,E367/F367,"")</f>
        <v>-2.98215035246979</v>
      </c>
      <c r="I367" s="24" t="n">
        <f aca="false">IF(H367="","",TDIST(ABS(H367),G367-1,2))</f>
        <v>0.00798941442422203</v>
      </c>
    </row>
    <row r="368" customFormat="false" ht="15" hidden="false" customHeight="false" outlineLevel="0" collapsed="false">
      <c r="A368" s="7" t="s">
        <v>146</v>
      </c>
      <c r="B368" s="7" t="s">
        <v>150</v>
      </c>
      <c r="C368" s="7" t="s">
        <v>116</v>
      </c>
      <c r="D368" s="7" t="s">
        <v>97</v>
      </c>
      <c r="E368" s="22" t="n">
        <v>-0.398361491570965</v>
      </c>
      <c r="F368" s="22" t="n">
        <v>0.168812831818629</v>
      </c>
      <c r="G368" s="23" t="n">
        <v>19</v>
      </c>
      <c r="H368" s="24" t="n">
        <f aca="false">IF(F368&gt;0,E368/F368,"")</f>
        <v>-2.35978205731992</v>
      </c>
      <c r="I368" s="24" t="n">
        <f aca="false">IF(H368="","",TDIST(ABS(H368),G368-1,2))</f>
        <v>0.0297802786296622</v>
      </c>
    </row>
    <row r="369" customFormat="false" ht="15" hidden="false" customHeight="false" outlineLevel="0" collapsed="false">
      <c r="A369" s="7" t="s">
        <v>146</v>
      </c>
      <c r="B369" s="7" t="s">
        <v>147</v>
      </c>
      <c r="C369" s="7" t="s">
        <v>116</v>
      </c>
      <c r="D369" s="7" t="s">
        <v>98</v>
      </c>
      <c r="E369" s="22" t="n">
        <v>0.704497791967234</v>
      </c>
      <c r="F369" s="22" t="n">
        <v>0.265199340660759</v>
      </c>
      <c r="G369" s="23" t="n">
        <v>19</v>
      </c>
      <c r="H369" s="24" t="n">
        <f aca="false">IF(F369&gt;0,E369/F369,"")</f>
        <v>2.65648394981654</v>
      </c>
      <c r="I369" s="24" t="n">
        <f aca="false">IF(H369="","",TDIST(ABS(H369),G369-1,2))</f>
        <v>0.0160671302237382</v>
      </c>
    </row>
    <row r="370" customFormat="false" ht="15" hidden="false" customHeight="false" outlineLevel="0" collapsed="false">
      <c r="A370" s="7" t="s">
        <v>146</v>
      </c>
      <c r="B370" s="7" t="s">
        <v>148</v>
      </c>
      <c r="C370" s="7" t="s">
        <v>116</v>
      </c>
      <c r="D370" s="7" t="s">
        <v>98</v>
      </c>
      <c r="E370" s="22" t="n">
        <v>0.405217874224982</v>
      </c>
      <c r="F370" s="22" t="n">
        <v>0.240783438541955</v>
      </c>
      <c r="G370" s="23" t="n">
        <v>19</v>
      </c>
      <c r="H370" s="24" t="n">
        <f aca="false">IF(F370&gt;0,E370/F370,"")</f>
        <v>1.68291422648811</v>
      </c>
      <c r="I370" s="24" t="n">
        <f aca="false">IF(H370="","",TDIST(ABS(H370),G370-1,2))</f>
        <v>0.109656008671526</v>
      </c>
    </row>
    <row r="371" customFormat="false" ht="15" hidden="false" customHeight="false" outlineLevel="0" collapsed="false">
      <c r="A371" s="7" t="s">
        <v>146</v>
      </c>
      <c r="B371" s="7" t="s">
        <v>149</v>
      </c>
      <c r="C371" s="7" t="s">
        <v>116</v>
      </c>
      <c r="D371" s="7" t="s">
        <v>98</v>
      </c>
      <c r="E371" s="22" t="n">
        <v>0.57736879148256</v>
      </c>
      <c r="F371" s="22" t="n">
        <v>0.233637785551854</v>
      </c>
      <c r="G371" s="23" t="n">
        <v>19</v>
      </c>
      <c r="H371" s="24" t="n">
        <f aca="false">IF(F371&gt;0,E371/F371,"")</f>
        <v>2.47121325053998</v>
      </c>
      <c r="I371" s="24" t="n">
        <f aca="false">IF(H371="","",TDIST(ABS(H371),G371-1,2))</f>
        <v>0.0236811437590156</v>
      </c>
    </row>
    <row r="372" customFormat="false" ht="15" hidden="false" customHeight="false" outlineLevel="0" collapsed="false">
      <c r="A372" s="7" t="s">
        <v>146</v>
      </c>
      <c r="B372" s="7" t="s">
        <v>150</v>
      </c>
      <c r="C372" s="7" t="s">
        <v>116</v>
      </c>
      <c r="D372" s="7" t="s">
        <v>98</v>
      </c>
      <c r="E372" s="22" t="n">
        <v>0.623110538857266</v>
      </c>
      <c r="F372" s="22" t="n">
        <v>0.277295270647134</v>
      </c>
      <c r="G372" s="23" t="n">
        <v>19</v>
      </c>
      <c r="H372" s="24" t="n">
        <f aca="false">IF(F372&gt;0,E372/F372,"")</f>
        <v>2.24710121237586</v>
      </c>
      <c r="I372" s="24" t="n">
        <f aca="false">IF(H372="","",TDIST(ABS(H372),G372-1,2))</f>
        <v>0.0374123428797377</v>
      </c>
    </row>
    <row r="373" customFormat="false" ht="15" hidden="false" customHeight="false" outlineLevel="0" collapsed="false">
      <c r="A373" s="7" t="s">
        <v>146</v>
      </c>
      <c r="B373" s="7" t="s">
        <v>147</v>
      </c>
      <c r="C373" s="7" t="s">
        <v>116</v>
      </c>
      <c r="D373" s="7" t="s">
        <v>99</v>
      </c>
      <c r="E373" s="22" t="n">
        <v>0.023826573543526</v>
      </c>
      <c r="F373" s="22" t="n">
        <v>0.151378370925635</v>
      </c>
      <c r="G373" s="23" t="n">
        <v>19</v>
      </c>
      <c r="H373" s="24" t="n">
        <f aca="false">IF(F373&gt;0,E373/F373,"")</f>
        <v>0.157397476256571</v>
      </c>
      <c r="I373" s="24" t="n">
        <f aca="false">IF(H373="","",TDIST(ABS(H373),G373-1,2))</f>
        <v>0.87668375205947</v>
      </c>
    </row>
    <row r="374" customFormat="false" ht="15" hidden="false" customHeight="false" outlineLevel="0" collapsed="false">
      <c r="A374" s="7" t="s">
        <v>146</v>
      </c>
      <c r="B374" s="7" t="s">
        <v>148</v>
      </c>
      <c r="C374" s="7" t="s">
        <v>116</v>
      </c>
      <c r="D374" s="7" t="s">
        <v>99</v>
      </c>
      <c r="E374" s="22" t="n">
        <v>0.0670448581599298</v>
      </c>
      <c r="F374" s="22" t="n">
        <v>0.146427470874555</v>
      </c>
      <c r="G374" s="23" t="n">
        <v>19</v>
      </c>
      <c r="H374" s="24" t="n">
        <f aca="false">IF(F374&gt;0,E374/F374,"")</f>
        <v>0.45787076536593</v>
      </c>
      <c r="I374" s="24" t="n">
        <f aca="false">IF(H374="","",TDIST(ABS(H374),G374-1,2))</f>
        <v>0.652524258079074</v>
      </c>
    </row>
    <row r="375" customFormat="false" ht="15" hidden="false" customHeight="false" outlineLevel="0" collapsed="false">
      <c r="A375" s="7" t="s">
        <v>146</v>
      </c>
      <c r="B375" s="7" t="s">
        <v>149</v>
      </c>
      <c r="C375" s="7" t="s">
        <v>116</v>
      </c>
      <c r="D375" s="7" t="s">
        <v>99</v>
      </c>
      <c r="E375" s="22" t="n">
        <v>0.0397172566140195</v>
      </c>
      <c r="F375" s="22" t="n">
        <v>0.152091833014241</v>
      </c>
      <c r="G375" s="23" t="n">
        <v>19</v>
      </c>
      <c r="H375" s="24" t="n">
        <f aca="false">IF(F375&gt;0,E375/F375,"")</f>
        <v>0.261139969365092</v>
      </c>
      <c r="I375" s="24" t="n">
        <f aca="false">IF(H375="","",TDIST(ABS(H375),G375-1,2))</f>
        <v>0.796948999843111</v>
      </c>
    </row>
    <row r="376" customFormat="false" ht="15" hidden="false" customHeight="false" outlineLevel="0" collapsed="false">
      <c r="A376" s="7" t="s">
        <v>146</v>
      </c>
      <c r="B376" s="7" t="s">
        <v>150</v>
      </c>
      <c r="C376" s="7" t="s">
        <v>116</v>
      </c>
      <c r="D376" s="7" t="s">
        <v>99</v>
      </c>
      <c r="E376" s="22" t="n">
        <v>0.0471722579113394</v>
      </c>
      <c r="F376" s="22" t="n">
        <v>0.158096943689943</v>
      </c>
      <c r="G376" s="23" t="n">
        <v>19</v>
      </c>
      <c r="H376" s="24" t="n">
        <f aca="false">IF(F376&gt;0,E376/F376,"")</f>
        <v>0.2983755208061</v>
      </c>
      <c r="I376" s="24" t="n">
        <f aca="false">IF(H376="","",TDIST(ABS(H376),G376-1,2))</f>
        <v>0.768833556716696</v>
      </c>
    </row>
    <row r="377" customFormat="false" ht="15" hidden="false" customHeight="false" outlineLevel="0" collapsed="false">
      <c r="A377" s="7" t="s">
        <v>146</v>
      </c>
      <c r="B377" s="7" t="s">
        <v>148</v>
      </c>
      <c r="C377" s="7" t="s">
        <v>116</v>
      </c>
      <c r="D377" s="7" t="s">
        <v>100</v>
      </c>
      <c r="E377" s="22" t="n">
        <v>-0.920723142237478</v>
      </c>
      <c r="F377" s="22" t="n">
        <v>0.391687349151656</v>
      </c>
      <c r="G377" s="23" t="n">
        <v>19</v>
      </c>
      <c r="H377" s="24" t="n">
        <f aca="false">IF(F377&gt;0,E377/F377,"")</f>
        <v>-2.35065836114351</v>
      </c>
      <c r="I377" s="24" t="n">
        <f aca="false">IF(H377="","",TDIST(ABS(H377),G377-1,2))</f>
        <v>0.0303397485542008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2026-10-16T18:36:03Z</dcterms:created>
  <dc:creator>openpyxl</dc:creator>
  <dc:description/>
  <dc:language>en-US</dc:language>
  <cp:lastModifiedBy/>
  <dcterms:modified xsi:type="dcterms:W3CDTF">2026-10-16T18:36:03Z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