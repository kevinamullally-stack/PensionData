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XI-split" sheetId="1" state="visible" r:id="rId3"/>
    <sheet name="Table XII-split" sheetId="2" state="visible" r:id="rId4"/>
    <sheet name="Table XI" sheetId="3" state="visible" r:id="rId5"/>
    <sheet name="Table XII" sheetId="4" state="visible" r:id="rId6"/>
    <sheet name="Table XIII" sheetId="5" state="visible" r:id="rId7"/>
    <sheet name="Estimates-split" sheetId="6" state="visible" r:id="rId8"/>
    <sheet name="Estima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<sst xmlns="http://schemas.openxmlformats.org/spreadsheetml/2006/main" count="493" uniqueCount="190">
  <si>
    <t xml:space="preserve">Table XI: Conflicted CIOs: Plan Performance in the First versus Second Half of Tenure</t>
  </si>
  <si>
    <t xml:space="preserve">This table repeats the regressions of Table III, splitting the Conflicted CIO indicator into two indicators: Conflicted CIO x First Half of Tenure, equal to 1 in the fiscal years in which a conflicted CIO's tenure is at most one half of the CIO's tenure at departure, and Conflicted CIO x Second Half of Tenure, equal to 1 in the remaining fiscal years of a conflicted CIO's tenure. The omitted category is all plan-years run by non-conflicted CIOs, so each coefficient is the performance differential of conflicted CIOs in that part of their tenure relative to non-conflicted CIOs. Tenure at departure is the CIO's tenure in the last fiscal year observed in the plan plus any gap to the departure year. 11 conflicted plan-years for which tenure at departure cannot be determined are absorbed by a separate indicator that is not reported. The performance measure in Panel A is Peer-Adjusted Return, which is the difference of a plan's return and the average pension plan return each year. The performance measure in Panel B is Benchmark-Adjusted Return, which is calculated as the plan's return minus the return of its policy benchmark, when available. The other independent variables are as defined in Table I. The last row reports the p-value of a test that the first-half and second-half coefficients are equal. The standard errors are double clustered by plan and year. Coefficients marked with ***, **, and * are significant at the 1%, 5%, and 10% level, respectively.</t>
  </si>
  <si>
    <t xml:space="preserve">Panel A. Peer-Adjusted Returns</t>
  </si>
  <si>
    <t xml:space="preserve">(1)</t>
  </si>
  <si>
    <t xml:space="preserve">(2)</t>
  </si>
  <si>
    <t xml:space="preserve">(3)</t>
  </si>
  <si>
    <t xml:space="preserve">(4)</t>
  </si>
  <si>
    <t xml:space="preserve">Peer-adj. Ret. (t)</t>
  </si>
  <si>
    <t xml:space="preserve">Conflicted CIO x First Half of Tenure (0/1)</t>
  </si>
  <si>
    <t xml:space="preserve">Conflicted CIO x Second Half of Tenure (0/1)</t>
  </si>
  <si>
    <t xml:space="preserve">Investment Return (t - 1)</t>
  </si>
  <si>
    <t xml:space="preserve">Log (Plan Size) (t-1)</t>
  </si>
  <si>
    <t xml:space="preserve">Funding Ratio (t-1)</t>
  </si>
  <si>
    <t xml:space="preserve">Equity Allocation (%)</t>
  </si>
  <si>
    <t xml:space="preserve">Fixed Income Allocation (%)</t>
  </si>
  <si>
    <t xml:space="preserve">Real Estate Allocation (%)</t>
  </si>
  <si>
    <t xml:space="preserve">Private Equity Allocation (%)</t>
  </si>
  <si>
    <t xml:space="preserve">Hedge Fund Allocation (%)</t>
  </si>
  <si>
    <t xml:space="preserve">Misc. Alternatives Allocation (%)</t>
  </si>
  <si>
    <t xml:space="preserve">Commodities Allocation (%)</t>
  </si>
  <si>
    <t xml:space="preserve">Cash Allocation (%)</t>
  </si>
  <si>
    <t xml:space="preserve">Financial Center (0/1)</t>
  </si>
  <si>
    <t xml:space="preserve">Log (CIO Age) (t-1)</t>
  </si>
  <si>
    <t xml:space="preserve">Log (CIO Tenure) (t-1)</t>
  </si>
  <si>
    <t xml:space="preserve">CIO Prior Private Experience (0/1)</t>
  </si>
  <si>
    <t xml:space="preserve">CIO Attended Elite College (0/1)</t>
  </si>
  <si>
    <t xml:space="preserve">Separate Investment Board (0/1)</t>
  </si>
  <si>
    <t xml:space="preserve">% Political Appointees on Board</t>
  </si>
  <si>
    <t xml:space="preserve">Observations</t>
  </si>
  <si>
    <t xml:space="preserve">Adjusted R-squared</t>
  </si>
  <si>
    <t xml:space="preserve">Plan FE</t>
  </si>
  <si>
    <t xml:space="preserve">No</t>
  </si>
  <si>
    <t xml:space="preserve">Yes</t>
  </si>
  <si>
    <t xml:space="preserve">Year FE</t>
  </si>
  <si>
    <t xml:space="preserve">p-value: First Half = Second Half</t>
  </si>
  <si>
    <t xml:space="preserve">Panel B. Benchmark-Adjusted Returns</t>
  </si>
  <si>
    <t xml:space="preserve">Bench-adj. Ret. (t)</t>
  </si>
  <si>
    <t xml:space="preserve">Table XII: Conflicted CIOs: Fee Ratio in the First versus Second Half of Tenure</t>
  </si>
  <si>
    <t xml:space="preserve">This table repeats the regressions of Table XI with Fee Ratio as the dependent variable. Fee Ratio is the plan's total investment fees as a percentage of plan assets. Conflicted CIO x First Half of Tenure and Conflicted CIO x Second Half of Tenure are defined as in Table XI, and the omitted category is all plan-years run by non-conflicted CIOs. The other independent variables are as defined in Table I. The last row reports the p-value of a test that the first-half and second-half coefficients are equal. The standard errors are double clustered by plan and year. Coefficients marked with ***, **, and * are significant at the 1%, 5%, and 10% level, respectively.</t>
  </si>
  <si>
    <t xml:space="preserve">Fee Ratio (t)</t>
  </si>
  <si>
    <t xml:space="preserve">This table reports results of tests that regress the returns of public pension plans run by conflicted CIOs on an indicator variable, Second Half of Tenure, which is equal to 1 in the fiscal years in which the CIO's tenure exceeds one half of the CIO's tenure at departure and 0 otherwise. Conflicted CIOs are defined as in Table III, and the sample is restricted to their plan-years, so the coefficient compares the second half of a conflicted CIO's tenure with the first half. Tenure at departure is the CIO's tenure in the last fiscal year observed in the plan plus any gap to the departure year. The performance measure in Panel A is Peer-Adjusted Return, which is the difference of a plan's return and the average pension plan return each year. The performance measure in Panel B is Benchmark-Adjusted Return, which is calculated as the plan's return minus the return of its policy benchmark, when available. The other independent variables are as defined in Table I. Columns 5 and 6 include CIO fixed effects and omit the CIO-level controls; Column 6 restricts the sample to CIOs whose tenure at departure is at least four years, so that each half of tenure contains at least two fiscal years. The standard errors are double clustered by plan and year. Coefficients marked with ***, **, and * are significant at the 1%, 5%, and 10% level, respectively.</t>
  </si>
  <si>
    <t xml:space="preserve">(5)</t>
  </si>
  <si>
    <t xml:space="preserve">(6)</t>
  </si>
  <si>
    <t xml:space="preserve">Second Half of Tenure (0/1)</t>
  </si>
  <si>
    <t xml:space="preserve">Number of CIOs</t>
  </si>
  <si>
    <t xml:space="preserve">CIO FE</t>
  </si>
  <si>
    <t xml:space="preserve">Min. Tenure at Departure (years)</t>
  </si>
  <si>
    <t xml:space="preserve">4</t>
  </si>
  <si>
    <t xml:space="preserve">This table repeats the tests of Table XI with Fee Ratio as the dependent variable. Fee Ratio is the plan's total investment fees as a percentage of plan assets. The sample is restricted to plan-years of conflicted CIOs, and Second Half of Tenure is equal to 1 in the fiscal years in which the CIO's tenure exceeds one half of the CIO's tenure at departure and 0 otherwise. The other independent variables are as defined in Table I. Columns 5 and 6 include CIO fixed effects and omit the CIO-level controls; Column 6 restricts the sample to CIOs whose tenure at departure is at least four years. The standard errors are double clustered by plan and year. Coefficients marked with ***, **, and * are significant at the 1%, 5%, and 10% level, respectively.</t>
  </si>
  <si>
    <t xml:space="preserve">Table XIII: Conflicted CIOs: Univariate Comparison of the First and Second Half of Tenure</t>
  </si>
  <si>
    <t xml:space="preserve">This table compares the average outcomes of conflicted CIOs in the first and second half of their tenure with one observation per CIO. Plan-years are first averaged within CIO-year for CIOs who run several plans, then averaged within each half of tenure. Difference is the mean within-CIO change from the first to the second half; the t-statistic tests whether this mean change is zero, and the last column reports the p-value of a Wilcoxon signed-rank test of the same hypothesis. Coefficients marked with ***, **, and * are significant at the 1%, 5%, and 10% level, respectively.</t>
  </si>
  <si>
    <t xml:space="preserve">N (CIOs)</t>
  </si>
  <si>
    <t xml:space="preserve">First Half</t>
  </si>
  <si>
    <t xml:space="preserve">Second Half</t>
  </si>
  <si>
    <t xml:space="preserve">Difference</t>
  </si>
  <si>
    <t xml:space="preserve">t-stat</t>
  </si>
  <si>
    <t xml:space="preserve">% Improving</t>
  </si>
  <si>
    <t xml:space="preserve">Wilcoxon p-value</t>
  </si>
  <si>
    <t xml:space="preserve">SD of change</t>
  </si>
  <si>
    <t xml:space="preserve">t (helper)</t>
  </si>
  <si>
    <t xml:space="preserve">p (helper)</t>
  </si>
  <si>
    <t xml:space="preserve">Peer-Adjusted Return (%)</t>
  </si>
  <si>
    <t xml:space="preserve">Benchmark-Adjusted Return (%)</t>
  </si>
  <si>
    <t xml:space="preserve">Fee Ratio (%)</t>
  </si>
  <si>
    <t xml:space="preserve">Estimates behind the split tables (blue = regression output; t and p are formulas). Full Table III sample; SE double clustered by plan and year (PSD-corrected); p-values use the t distribution with min(plan clusters, year clusters) - 1 df.</t>
  </si>
  <si>
    <t xml:space="preserve">Variable</t>
  </si>
  <si>
    <t xml:space="preserve">S1A(1) coef</t>
  </si>
  <si>
    <t xml:space="preserve">S1A(1) se</t>
  </si>
  <si>
    <t xml:space="preserve">S1A(1) t</t>
  </si>
  <si>
    <t xml:space="preserve">S1A(1) p</t>
  </si>
  <si>
    <t xml:space="preserve">S1A(2) coef</t>
  </si>
  <si>
    <t xml:space="preserve">S1A(2) se</t>
  </si>
  <si>
    <t xml:space="preserve">S1A(2) t</t>
  </si>
  <si>
    <t xml:space="preserve">S1A(2) p</t>
  </si>
  <si>
    <t xml:space="preserve">S1A(3) coef</t>
  </si>
  <si>
    <t xml:space="preserve">S1A(3) se</t>
  </si>
  <si>
    <t xml:space="preserve">S1A(3) t</t>
  </si>
  <si>
    <t xml:space="preserve">S1A(3) p</t>
  </si>
  <si>
    <t xml:space="preserve">S1A(4) coef</t>
  </si>
  <si>
    <t xml:space="preserve">S1A(4) se</t>
  </si>
  <si>
    <t xml:space="preserve">S1A(4) t</t>
  </si>
  <si>
    <t xml:space="preserve">S1A(4) p</t>
  </si>
  <si>
    <t xml:space="preserve">S1B(1) coef</t>
  </si>
  <si>
    <t xml:space="preserve">S1B(1) se</t>
  </si>
  <si>
    <t xml:space="preserve">S1B(1) t</t>
  </si>
  <si>
    <t xml:space="preserve">S1B(1) p</t>
  </si>
  <si>
    <t xml:space="preserve">S1B(2) coef</t>
  </si>
  <si>
    <t xml:space="preserve">S1B(2) se</t>
  </si>
  <si>
    <t xml:space="preserve">S1B(2) t</t>
  </si>
  <si>
    <t xml:space="preserve">S1B(2) p</t>
  </si>
  <si>
    <t xml:space="preserve">S1B(3) coef</t>
  </si>
  <si>
    <t xml:space="preserve">S1B(3) se</t>
  </si>
  <si>
    <t xml:space="preserve">S1B(3) t</t>
  </si>
  <si>
    <t xml:space="preserve">S1B(3) p</t>
  </si>
  <si>
    <t xml:space="preserve">S1B(4) coef</t>
  </si>
  <si>
    <t xml:space="preserve">S1B(4) se</t>
  </si>
  <si>
    <t xml:space="preserve">S1B(4) t</t>
  </si>
  <si>
    <t xml:space="preserve">S1B(4) p</t>
  </si>
  <si>
    <t xml:space="preserve">S2A(1) coef</t>
  </si>
  <si>
    <t xml:space="preserve">S2A(1) se</t>
  </si>
  <si>
    <t xml:space="preserve">S2A(1) t</t>
  </si>
  <si>
    <t xml:space="preserve">S2A(1) p</t>
  </si>
  <si>
    <t xml:space="preserve">S2A(2) coef</t>
  </si>
  <si>
    <t xml:space="preserve">S2A(2) se</t>
  </si>
  <si>
    <t xml:space="preserve">S2A(2) t</t>
  </si>
  <si>
    <t xml:space="preserve">S2A(2) p</t>
  </si>
  <si>
    <t xml:space="preserve">S2A(3) coef</t>
  </si>
  <si>
    <t xml:space="preserve">S2A(3) se</t>
  </si>
  <si>
    <t xml:space="preserve">S2A(3) t</t>
  </si>
  <si>
    <t xml:space="preserve">S2A(3) p</t>
  </si>
  <si>
    <t xml:space="preserve">S2A(4) coef</t>
  </si>
  <si>
    <t xml:space="preserve">S2A(4) se</t>
  </si>
  <si>
    <t xml:space="preserve">S2A(4) t</t>
  </si>
  <si>
    <t xml:space="preserve">S2A(4) p</t>
  </si>
  <si>
    <t xml:space="preserve">First Half minus Second Half</t>
  </si>
  <si>
    <t xml:space="preserve">Plan clusters</t>
  </si>
  <si>
    <t xml:space="preserve">Year clusters</t>
  </si>
  <si>
    <t xml:space="preserve">Estimates behind the tables (blue = regression output; t and p are formulas). Standard errors double clustered by plan and year; p-values use the t distribution with min(plan clusters, year clusters) - 1 degrees of freedom.</t>
  </si>
  <si>
    <t xml:space="preserve">T1A(1) coef</t>
  </si>
  <si>
    <t xml:space="preserve">T1A(1) se</t>
  </si>
  <si>
    <t xml:space="preserve">T1A(1) t</t>
  </si>
  <si>
    <t xml:space="preserve">T1A(1) p</t>
  </si>
  <si>
    <t xml:space="preserve">T1A(2) coef</t>
  </si>
  <si>
    <t xml:space="preserve">T1A(2) se</t>
  </si>
  <si>
    <t xml:space="preserve">T1A(2) t</t>
  </si>
  <si>
    <t xml:space="preserve">T1A(2) p</t>
  </si>
  <si>
    <t xml:space="preserve">T1A(3) coef</t>
  </si>
  <si>
    <t xml:space="preserve">T1A(3) se</t>
  </si>
  <si>
    <t xml:space="preserve">T1A(3) t</t>
  </si>
  <si>
    <t xml:space="preserve">T1A(3) p</t>
  </si>
  <si>
    <t xml:space="preserve">T1A(4) coef</t>
  </si>
  <si>
    <t xml:space="preserve">T1A(4) se</t>
  </si>
  <si>
    <t xml:space="preserve">T1A(4) t</t>
  </si>
  <si>
    <t xml:space="preserve">T1A(4) p</t>
  </si>
  <si>
    <t xml:space="preserve">T1A(5) coef</t>
  </si>
  <si>
    <t xml:space="preserve">T1A(5) se</t>
  </si>
  <si>
    <t xml:space="preserve">T1A(5) t</t>
  </si>
  <si>
    <t xml:space="preserve">T1A(5) p</t>
  </si>
  <si>
    <t xml:space="preserve">T1A(6) coef</t>
  </si>
  <si>
    <t xml:space="preserve">T1A(6) se</t>
  </si>
  <si>
    <t xml:space="preserve">T1A(6) t</t>
  </si>
  <si>
    <t xml:space="preserve">T1A(6) p</t>
  </si>
  <si>
    <t xml:space="preserve">T1B(1) coef</t>
  </si>
  <si>
    <t xml:space="preserve">T1B(1) se</t>
  </si>
  <si>
    <t xml:space="preserve">T1B(1) t</t>
  </si>
  <si>
    <t xml:space="preserve">T1B(1) p</t>
  </si>
  <si>
    <t xml:space="preserve">T1B(2) coef</t>
  </si>
  <si>
    <t xml:space="preserve">T1B(2) se</t>
  </si>
  <si>
    <t xml:space="preserve">T1B(2) t</t>
  </si>
  <si>
    <t xml:space="preserve">T1B(2) p</t>
  </si>
  <si>
    <t xml:space="preserve">T1B(3) coef</t>
  </si>
  <si>
    <t xml:space="preserve">T1B(3) se</t>
  </si>
  <si>
    <t xml:space="preserve">T1B(3) t</t>
  </si>
  <si>
    <t xml:space="preserve">T1B(3) p</t>
  </si>
  <si>
    <t xml:space="preserve">T1B(4) coef</t>
  </si>
  <si>
    <t xml:space="preserve">T1B(4) se</t>
  </si>
  <si>
    <t xml:space="preserve">T1B(4) t</t>
  </si>
  <si>
    <t xml:space="preserve">T1B(4) p</t>
  </si>
  <si>
    <t xml:space="preserve">T1B(5) coef</t>
  </si>
  <si>
    <t xml:space="preserve">T1B(5) se</t>
  </si>
  <si>
    <t xml:space="preserve">T1B(5) t</t>
  </si>
  <si>
    <t xml:space="preserve">T1B(5) p</t>
  </si>
  <si>
    <t xml:space="preserve">T1B(6) coef</t>
  </si>
  <si>
    <t xml:space="preserve">T1B(6) se</t>
  </si>
  <si>
    <t xml:space="preserve">T1B(6) t</t>
  </si>
  <si>
    <t xml:space="preserve">T1B(6) p</t>
  </si>
  <si>
    <t xml:space="preserve">T2A(1) coef</t>
  </si>
  <si>
    <t xml:space="preserve">T2A(1) se</t>
  </si>
  <si>
    <t xml:space="preserve">T2A(1) t</t>
  </si>
  <si>
    <t xml:space="preserve">T2A(1) p</t>
  </si>
  <si>
    <t xml:space="preserve">T2A(2) coef</t>
  </si>
  <si>
    <t xml:space="preserve">T2A(2) se</t>
  </si>
  <si>
    <t xml:space="preserve">T2A(2) t</t>
  </si>
  <si>
    <t xml:space="preserve">T2A(2) p</t>
  </si>
  <si>
    <t xml:space="preserve">T2A(3) coef</t>
  </si>
  <si>
    <t xml:space="preserve">T2A(3) se</t>
  </si>
  <si>
    <t xml:space="preserve">T2A(3) t</t>
  </si>
  <si>
    <t xml:space="preserve">T2A(3) p</t>
  </si>
  <si>
    <t xml:space="preserve">T2A(4) coef</t>
  </si>
  <si>
    <t xml:space="preserve">T2A(4) se</t>
  </si>
  <si>
    <t xml:space="preserve">T2A(4) t</t>
  </si>
  <si>
    <t xml:space="preserve">T2A(4) p</t>
  </si>
  <si>
    <t xml:space="preserve">T2A(5) coef</t>
  </si>
  <si>
    <t xml:space="preserve">T2A(5) se</t>
  </si>
  <si>
    <t xml:space="preserve">T2A(5) t</t>
  </si>
  <si>
    <t xml:space="preserve">T2A(5) p</t>
  </si>
  <si>
    <t xml:space="preserve">T2A(6) coef</t>
  </si>
  <si>
    <t xml:space="preserve">T2A(6) se</t>
  </si>
  <si>
    <t xml:space="preserve">T2A(6) t</t>
  </si>
  <si>
    <t xml:space="preserve">T2A(6) p</t>
  </si>
</sst>
</file>

<file path=xl/styles.xml><?xml version="1.0" encoding="utf-8"?>
<styleSheet xmlns="http://schemas.openxmlformats.org/spreadsheetml/2006/main">
  <numFmts count="6">
    <numFmt numFmtId="164" formatCode="General"/>
    <numFmt numFmtId="165" formatCode="#,##0"/>
    <numFmt numFmtId="166" formatCode="0.000"/>
    <numFmt numFmtId="167" formatCode="0"/>
    <numFmt numFmtId="168" formatCode="0.0%"/>
    <numFmt numFmtId="169"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4">
    <border diagonalUp="false" diagonalDown="false">
      <left/>
      <right/>
      <top/>
      <bottom/>
      <diagonal/>
    </border>
    <border diagonalUp="false" diagonalDown="false">
      <left/>
      <right/>
      <top style="thin"/>
      <bottom/>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right" vertical="bottom" textRotation="0" wrapText="false" indent="0" shrinkToFit="false"/>
      <protection locked="true" hidden="false"/>
    </xf>
    <xf numFmtId="166" fontId="7" fillId="0" borderId="2" xfId="0" applyFont="true" applyBorder="true" applyAlignment="true" applyProtection="false">
      <alignment horizontal="right" vertical="bottom" textRotation="0" wrapText="false" indent="0" shrinkToFit="false"/>
      <protection locked="true" hidden="false"/>
    </xf>
    <xf numFmtId="164" fontId="5" fillId="0" borderId="2" xfId="0" applyFont="true" applyBorder="true" applyAlignment="true" applyProtection="false">
      <alignment horizontal="right" vertical="bottom" textRotation="0" wrapText="false" indent="0" shrinkToFit="false"/>
      <protection locked="true" hidden="false"/>
    </xf>
    <xf numFmtId="168" fontId="7" fillId="0" borderId="2" xfId="0" applyFont="true" applyBorder="tru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5" hidden="false" customHeight="false" outlineLevel="0" collapsed="false">
      <c r="A1" s="1" t="s">
        <v>0</v>
      </c>
    </row>
    <row r="2" customFormat="false" ht="255" hidden="false" customHeight="true" outlineLevel="0" collapsed="false">
      <c r="A2" s="2" t="s">
        <v>1</v>
      </c>
      <c r="B2" s="2"/>
      <c r="C2" s="2"/>
      <c r="D2" s="2"/>
      <c r="E2" s="2"/>
    </row>
    <row r="4" customFormat="false" ht="15" hidden="false" customHeight="false" outlineLevel="0" collapsed="false">
      <c r="A4" s="1" t="s">
        <v>2</v>
      </c>
    </row>
    <row r="5" customFormat="false" ht="15" hidden="false" customHeight="false" outlineLevel="0" collapsed="false">
      <c r="A5" s="3"/>
      <c r="B5" s="4" t="s">
        <v>3</v>
      </c>
      <c r="C5" s="4" t="s">
        <v>4</v>
      </c>
      <c r="D5" s="4" t="s">
        <v>5</v>
      </c>
      <c r="E5" s="4" t="s">
        <v>6</v>
      </c>
    </row>
    <row r="6" customFormat="false" ht="15" hidden="false" customHeight="false" outlineLevel="0" collapsed="false">
      <c r="A6" s="5"/>
      <c r="B6" s="6" t="s">
        <v>7</v>
      </c>
      <c r="C6" s="6" t="s">
        <v>7</v>
      </c>
      <c r="D6" s="6" t="s">
        <v>7</v>
      </c>
      <c r="E6" s="6" t="s">
        <v>7</v>
      </c>
    </row>
    <row r="7" customFormat="false" ht="15" hidden="false" customHeight="false" outlineLevel="0" collapsed="false">
      <c r="A7" s="7" t="s">
        <v>8</v>
      </c>
      <c r="B7" s="8" t="str">
        <f aca="false">TEXT('Estimates-split'!B4,"0.000")&amp;IF('Estimates-split'!E4="","",IF('Estimates-split'!E4&lt;0.01,"***",IF('Estimates-split'!E4&lt;0.05,"**",IF('Estimates-split'!E4&lt;0.1,"*",""))))</f>
        <v>-0.510***</v>
      </c>
      <c r="C7" s="8" t="str">
        <f aca="false">TEXT('Estimates-split'!F4,"0.000")&amp;IF('Estimates-split'!I4="","",IF('Estimates-split'!I4&lt;0.01,"***",IF('Estimates-split'!I4&lt;0.05,"**",IF('Estimates-split'!I4&lt;0.1,"*",""))))</f>
        <v>-0.605**</v>
      </c>
      <c r="D7" s="8" t="str">
        <f aca="false">TEXT('Estimates-split'!J4,"0.000")&amp;IF('Estimates-split'!M4="","",IF('Estimates-split'!M4&lt;0.01,"***",IF('Estimates-split'!M4&lt;0.05,"**",IF('Estimates-split'!M4&lt;0.1,"*",""))))</f>
        <v>-0.773**</v>
      </c>
      <c r="E7" s="8" t="str">
        <f aca="false">TEXT('Estimates-split'!N4,"0.000")&amp;IF('Estimates-split'!Q4="","",IF('Estimates-split'!Q4&lt;0.01,"***",IF('Estimates-split'!Q4&lt;0.05,"**",IF('Estimates-split'!Q4&lt;0.1,"*",""))))</f>
        <v>-0.861**</v>
      </c>
    </row>
    <row r="8" customFormat="false" ht="15" hidden="false" customHeight="false" outlineLevel="0" collapsed="false">
      <c r="B8" s="8" t="str">
        <f aca="false">IF('Estimates-split'!D4="","(n/a)","("&amp;TEXT('Estimates-split'!D4,"0.00")&amp;")")</f>
        <v>(-2.89)</v>
      </c>
      <c r="C8" s="8" t="str">
        <f aca="false">IF('Estimates-split'!H4="","(n/a)","("&amp;TEXT('Estimates-split'!H4,"0.00")&amp;")")</f>
        <v>(-2.83)</v>
      </c>
      <c r="D8" s="8" t="str">
        <f aca="false">IF('Estimates-split'!L4="","(n/a)","("&amp;TEXT('Estimates-split'!L4,"0.00")&amp;")")</f>
        <v>(-2.29)</v>
      </c>
      <c r="E8" s="8" t="str">
        <f aca="false">IF('Estimates-split'!P4="","(n/a)","("&amp;TEXT('Estimates-split'!P4,"0.00")&amp;")")</f>
        <v>(-2.45)</v>
      </c>
    </row>
    <row r="9" customFormat="false" ht="15" hidden="false" customHeight="false" outlineLevel="0" collapsed="false">
      <c r="A9" s="7" t="s">
        <v>9</v>
      </c>
      <c r="B9" s="8" t="str">
        <f aca="false">TEXT('Estimates-split'!B5,"0.000")&amp;IF('Estimates-split'!E5="","",IF('Estimates-split'!E5&lt;0.01,"***",IF('Estimates-split'!E5&lt;0.05,"**",IF('Estimates-split'!E5&lt;0.1,"*",""))))</f>
        <v>-0.615***</v>
      </c>
      <c r="C9" s="8" t="str">
        <f aca="false">TEXT('Estimates-split'!F5,"0.000")&amp;IF('Estimates-split'!I5="","",IF('Estimates-split'!I5&lt;0.01,"***",IF('Estimates-split'!I5&lt;0.05,"**",IF('Estimates-split'!I5&lt;0.1,"*",""))))</f>
        <v>-0.581**</v>
      </c>
      <c r="D9" s="8" t="str">
        <f aca="false">TEXT('Estimates-split'!J5,"0.000")&amp;IF('Estimates-split'!M5="","",IF('Estimates-split'!M5&lt;0.01,"***",IF('Estimates-split'!M5&lt;0.05,"**",IF('Estimates-split'!M5&lt;0.1,"*",""))))</f>
        <v>-0.553*</v>
      </c>
      <c r="E9" s="8" t="str">
        <f aca="false">TEXT('Estimates-split'!N5,"0.000")&amp;IF('Estimates-split'!Q5="","",IF('Estimates-split'!Q5&lt;0.01,"***",IF('Estimates-split'!Q5&lt;0.05,"**",IF('Estimates-split'!Q5&lt;0.1,"*",""))))</f>
        <v>-0.579*</v>
      </c>
    </row>
    <row r="10" customFormat="false" ht="15" hidden="false" customHeight="false" outlineLevel="0" collapsed="false">
      <c r="B10" s="8" t="str">
        <f aca="false">IF('Estimates-split'!D5="","(n/a)","("&amp;TEXT('Estimates-split'!D5,"0.00")&amp;")")</f>
        <v>(-2.99)</v>
      </c>
      <c r="C10" s="8" t="str">
        <f aca="false">IF('Estimates-split'!H5="","(n/a)","("&amp;TEXT('Estimates-split'!H5,"0.00")&amp;")")</f>
        <v>(-2.68)</v>
      </c>
      <c r="D10" s="8" t="str">
        <f aca="false">IF('Estimates-split'!L5="","(n/a)","("&amp;TEXT('Estimates-split'!L5,"0.00")&amp;")")</f>
        <v>(-1.84)</v>
      </c>
      <c r="E10" s="8" t="str">
        <f aca="false">IF('Estimates-split'!P5="","(n/a)","("&amp;TEXT('Estimates-split'!P5,"0.00")&amp;")")</f>
        <v>(-1.97)</v>
      </c>
    </row>
    <row r="11" customFormat="false" ht="15" hidden="false" customHeight="false" outlineLevel="0" collapsed="false">
      <c r="A11" s="7" t="s">
        <v>10</v>
      </c>
      <c r="B11" s="8" t="str">
        <f aca="false">TEXT('Estimates-split'!B6,"0.000")&amp;IF('Estimates-split'!E6="","",IF('Estimates-split'!E6&lt;0.01,"***",IF('Estimates-split'!E6&lt;0.05,"**",IF('Estimates-split'!E6&lt;0.1,"*",""))))</f>
        <v>0.014</v>
      </c>
      <c r="C11" s="8" t="str">
        <f aca="false">TEXT('Estimates-split'!F6,"0.000")&amp;IF('Estimates-split'!I6="","",IF('Estimates-split'!I6&lt;0.01,"***",IF('Estimates-split'!I6&lt;0.05,"**",IF('Estimates-split'!I6&lt;0.1,"*",""))))</f>
        <v>0.004</v>
      </c>
      <c r="D11" s="8" t="str">
        <f aca="false">TEXT('Estimates-split'!J6,"0.000")&amp;IF('Estimates-split'!M6="","",IF('Estimates-split'!M6&lt;0.01,"***",IF('Estimates-split'!M6&lt;0.05,"**",IF('Estimates-split'!M6&lt;0.1,"*",""))))</f>
        <v>0.011</v>
      </c>
      <c r="E11" s="8" t="str">
        <f aca="false">TEXT('Estimates-split'!N6,"0.000")&amp;IF('Estimates-split'!Q6="","",IF('Estimates-split'!Q6&lt;0.01,"***",IF('Estimates-split'!Q6&lt;0.05,"**",IF('Estimates-split'!Q6&lt;0.1,"*",""))))</f>
        <v>0.000</v>
      </c>
    </row>
    <row r="12" customFormat="false" ht="15" hidden="false" customHeight="false" outlineLevel="0" collapsed="false">
      <c r="B12" s="8" t="str">
        <f aca="false">IF('Estimates-split'!D6="","(n/a)","("&amp;TEXT('Estimates-split'!D6,"0.00")&amp;")")</f>
        <v>(0.65)</v>
      </c>
      <c r="C12" s="8" t="str">
        <f aca="false">IF('Estimates-split'!H6="","(n/a)","("&amp;TEXT('Estimates-split'!H6,"0.00")&amp;")")</f>
        <v>(0.20)</v>
      </c>
      <c r="D12" s="8" t="str">
        <f aca="false">IF('Estimates-split'!L6="","(n/a)","("&amp;TEXT('Estimates-split'!L6,"0.00")&amp;")")</f>
        <v>(1.19)</v>
      </c>
      <c r="E12" s="8" t="str">
        <f aca="false">IF('Estimates-split'!P6="","(n/a)","("&amp;TEXT('Estimates-split'!P6,"0.00")&amp;")")</f>
        <v>(0.01)</v>
      </c>
    </row>
    <row r="13" customFormat="false" ht="15" hidden="false" customHeight="false" outlineLevel="0" collapsed="false">
      <c r="A13" s="7" t="s">
        <v>11</v>
      </c>
      <c r="B13" s="8" t="str">
        <f aca="false">TEXT('Estimates-split'!B7,"0.000")&amp;IF('Estimates-split'!E7="","",IF('Estimates-split'!E7&lt;0.01,"***",IF('Estimates-split'!E7&lt;0.05,"**",IF('Estimates-split'!E7&lt;0.1,"*",""))))</f>
        <v>0.007</v>
      </c>
      <c r="C13" s="8" t="str">
        <f aca="false">TEXT('Estimates-split'!F7,"0.000")&amp;IF('Estimates-split'!I7="","",IF('Estimates-split'!I7&lt;0.01,"***",IF('Estimates-split'!I7&lt;0.05,"**",IF('Estimates-split'!I7&lt;0.1,"*",""))))</f>
        <v>0.068</v>
      </c>
      <c r="D13" s="8" t="str">
        <f aca="false">TEXT('Estimates-split'!J7,"0.000")&amp;IF('Estimates-split'!M7="","",IF('Estimates-split'!M7&lt;0.01,"***",IF('Estimates-split'!M7&lt;0.05,"**",IF('Estimates-split'!M7&lt;0.1,"*",""))))</f>
        <v>-0.945**</v>
      </c>
      <c r="E13" s="8" t="str">
        <f aca="false">TEXT('Estimates-split'!N7,"0.000")&amp;IF('Estimates-split'!Q7="","",IF('Estimates-split'!Q7&lt;0.01,"***",IF('Estimates-split'!Q7&lt;0.05,"**",IF('Estimates-split'!Q7&lt;0.1,"*",""))))</f>
        <v>-1.418*</v>
      </c>
    </row>
    <row r="14" customFormat="false" ht="15" hidden="false" customHeight="false" outlineLevel="0" collapsed="false">
      <c r="B14" s="8" t="str">
        <f aca="false">IF('Estimates-split'!D7="","(n/a)","("&amp;TEXT('Estimates-split'!D7,"0.00")&amp;")")</f>
        <v>(0.13)</v>
      </c>
      <c r="C14" s="8" t="str">
        <f aca="false">IF('Estimates-split'!H7="","(n/a)","("&amp;TEXT('Estimates-split'!H7,"0.00")&amp;")")</f>
        <v>(1.04)</v>
      </c>
      <c r="D14" s="8" t="str">
        <f aca="false">IF('Estimates-split'!L7="","(n/a)","("&amp;TEXT('Estimates-split'!L7,"0.00")&amp;")")</f>
        <v>(-2.48)</v>
      </c>
      <c r="E14" s="8" t="str">
        <f aca="false">IF('Estimates-split'!P7="","(n/a)","("&amp;TEXT('Estimates-split'!P7,"0.00")&amp;")")</f>
        <v>(-1.95)</v>
      </c>
    </row>
    <row r="15" customFormat="false" ht="15" hidden="false" customHeight="false" outlineLevel="0" collapsed="false">
      <c r="A15" s="7" t="s">
        <v>12</v>
      </c>
      <c r="B15" s="8" t="str">
        <f aca="false">TEXT('Estimates-split'!B8,"0.000")&amp;IF('Estimates-split'!E8="","",IF('Estimates-split'!E8&lt;0.01,"***",IF('Estimates-split'!E8&lt;0.05,"**",IF('Estimates-split'!E8&lt;0.1,"*",""))))</f>
        <v>-0.005</v>
      </c>
      <c r="C15" s="8" t="str">
        <f aca="false">TEXT('Estimates-split'!F8,"0.000")&amp;IF('Estimates-split'!I8="","",IF('Estimates-split'!I8&lt;0.01,"***",IF('Estimates-split'!I8&lt;0.05,"**",IF('Estimates-split'!I8&lt;0.1,"*",""))))</f>
        <v>-0.006</v>
      </c>
      <c r="D15" s="8" t="str">
        <f aca="false">TEXT('Estimates-split'!J8,"0.000")&amp;IF('Estimates-split'!M8="","",IF('Estimates-split'!M8&lt;0.01,"***",IF('Estimates-split'!M8&lt;0.05,"**",IF('Estimates-split'!M8&lt;0.1,"*",""))))</f>
        <v>-0.027***</v>
      </c>
      <c r="E15" s="8" t="str">
        <f aca="false">TEXT('Estimates-split'!N8,"0.000")&amp;IF('Estimates-split'!Q8="","",IF('Estimates-split'!Q8&lt;0.01,"***",IF('Estimates-split'!Q8&lt;0.05,"**",IF('Estimates-split'!Q8&lt;0.1,"*",""))))</f>
        <v>-0.030***</v>
      </c>
    </row>
    <row r="16" customFormat="false" ht="15" hidden="false" customHeight="false" outlineLevel="0" collapsed="false">
      <c r="B16" s="8" t="str">
        <f aca="false">IF('Estimates-split'!D8="","(n/a)","("&amp;TEXT('Estimates-split'!D8,"0.00")&amp;")")</f>
        <v>(-1.17)</v>
      </c>
      <c r="C16" s="8" t="str">
        <f aca="false">IF('Estimates-split'!H8="","(n/a)","("&amp;TEXT('Estimates-split'!H8,"0.00")&amp;")")</f>
        <v>(-1.20)</v>
      </c>
      <c r="D16" s="8" t="str">
        <f aca="false">IF('Estimates-split'!L8="","(n/a)","("&amp;TEXT('Estimates-split'!L8,"0.00")&amp;")")</f>
        <v>(-3.18)</v>
      </c>
      <c r="E16" s="8" t="str">
        <f aca="false">IF('Estimates-split'!P8="","(n/a)","("&amp;TEXT('Estimates-split'!P8,"0.00")&amp;")")</f>
        <v>(-2.95)</v>
      </c>
    </row>
    <row r="17" customFormat="false" ht="15" hidden="false" customHeight="false" outlineLevel="0" collapsed="false">
      <c r="A17" s="7" t="s">
        <v>13</v>
      </c>
      <c r="B17" s="8" t="str">
        <f aca="false">TEXT('Estimates-split'!B9,"0.000")&amp;IF('Estimates-split'!E9="","",IF('Estimates-split'!E9&lt;0.01,"***",IF('Estimates-split'!E9&lt;0.05,"**",IF('Estimates-split'!E9&lt;0.1,"*",""))))</f>
        <v>-0.082</v>
      </c>
      <c r="C17" s="8" t="str">
        <f aca="false">TEXT('Estimates-split'!F9,"0.000")&amp;IF('Estimates-split'!I9="","",IF('Estimates-split'!I9&lt;0.01,"***",IF('Estimates-split'!I9&lt;0.05,"**",IF('Estimates-split'!I9&lt;0.1,"*",""))))</f>
        <v>0.005</v>
      </c>
      <c r="D17" s="8" t="str">
        <f aca="false">TEXT('Estimates-split'!J9,"0.000")&amp;IF('Estimates-split'!M9="","",IF('Estimates-split'!M9&lt;0.01,"***",IF('Estimates-split'!M9&lt;0.05,"**",IF('Estimates-split'!M9&lt;0.1,"*",""))))</f>
        <v>-0.048</v>
      </c>
      <c r="E17" s="8" t="str">
        <f aca="false">TEXT('Estimates-split'!N9,"0.000")&amp;IF('Estimates-split'!Q9="","",IF('Estimates-split'!Q9&lt;0.01,"***",IF('Estimates-split'!Q9&lt;0.05,"**",IF('Estimates-split'!Q9&lt;0.1,"*",""))))</f>
        <v>-0.029</v>
      </c>
    </row>
    <row r="18" customFormat="false" ht="15" hidden="false" customHeight="false" outlineLevel="0" collapsed="false">
      <c r="B18" s="8" t="str">
        <f aca="false">IF('Estimates-split'!D9="","(n/a)","("&amp;TEXT('Estimates-split'!D9,"0.00")&amp;")")</f>
        <v>(-0.61)</v>
      </c>
      <c r="C18" s="8" t="str">
        <f aca="false">IF('Estimates-split'!H9="","(n/a)","("&amp;TEXT('Estimates-split'!H9,"0.00")&amp;")")</f>
        <v>(0.07)</v>
      </c>
      <c r="D18" s="8" t="str">
        <f aca="false">IF('Estimates-split'!L9="","(n/a)","("&amp;TEXT('Estimates-split'!L9,"0.00")&amp;")")</f>
        <v>(-0.58)</v>
      </c>
      <c r="E18" s="8" t="str">
        <f aca="false">IF('Estimates-split'!P9="","(n/a)","("&amp;TEXT('Estimates-split'!P9,"0.00")&amp;")")</f>
        <v>(-0.34)</v>
      </c>
    </row>
    <row r="19" customFormat="false" ht="15" hidden="false" customHeight="false" outlineLevel="0" collapsed="false">
      <c r="A19" s="7" t="s">
        <v>14</v>
      </c>
      <c r="B19" s="8" t="str">
        <f aca="false">TEXT('Estimates-split'!B10,"0.000")&amp;IF('Estimates-split'!E10="","",IF('Estimates-split'!E10&lt;0.01,"***",IF('Estimates-split'!E10&lt;0.05,"**",IF('Estimates-split'!E10&lt;0.1,"*",""))))</f>
        <v>-0.091</v>
      </c>
      <c r="C19" s="8" t="str">
        <f aca="false">TEXT('Estimates-split'!F10,"0.000")&amp;IF('Estimates-split'!I10="","",IF('Estimates-split'!I10&lt;0.01,"***",IF('Estimates-split'!I10&lt;0.05,"**",IF('Estimates-split'!I10&lt;0.1,"*",""))))</f>
        <v>0.000</v>
      </c>
      <c r="D19" s="8" t="str">
        <f aca="false">TEXT('Estimates-split'!J10,"0.000")&amp;IF('Estimates-split'!M10="","",IF('Estimates-split'!M10&lt;0.01,"***",IF('Estimates-split'!M10&lt;0.05,"**",IF('Estimates-split'!M10&lt;0.1,"*",""))))</f>
        <v>-0.059</v>
      </c>
      <c r="E19" s="8" t="str">
        <f aca="false">TEXT('Estimates-split'!N10,"0.000")&amp;IF('Estimates-split'!Q10="","",IF('Estimates-split'!Q10&lt;0.01,"***",IF('Estimates-split'!Q10&lt;0.05,"**",IF('Estimates-split'!Q10&lt;0.1,"*",""))))</f>
        <v>-0.035</v>
      </c>
    </row>
    <row r="20" customFormat="false" ht="15" hidden="false" customHeight="false" outlineLevel="0" collapsed="false">
      <c r="B20" s="8" t="str">
        <f aca="false">IF('Estimates-split'!D10="","(n/a)","("&amp;TEXT('Estimates-split'!D10,"0.00")&amp;")")</f>
        <v>(-0.63)</v>
      </c>
      <c r="C20" s="8" t="str">
        <f aca="false">IF('Estimates-split'!H10="","(n/a)","("&amp;TEXT('Estimates-split'!H10,"0.00")&amp;")")</f>
        <v>(0.00)</v>
      </c>
      <c r="D20" s="8" t="str">
        <f aca="false">IF('Estimates-split'!L10="","(n/a)","("&amp;TEXT('Estimates-split'!L10,"0.00")&amp;")")</f>
        <v>(-0.61)</v>
      </c>
      <c r="E20" s="8" t="str">
        <f aca="false">IF('Estimates-split'!P10="","(n/a)","("&amp;TEXT('Estimates-split'!P10,"0.00")&amp;")")</f>
        <v>(-0.36)</v>
      </c>
    </row>
    <row r="21" customFormat="false" ht="15" hidden="false" customHeight="false" outlineLevel="0" collapsed="false">
      <c r="A21" s="7" t="s">
        <v>15</v>
      </c>
      <c r="B21" s="8" t="str">
        <f aca="false">TEXT('Estimates-split'!B11,"0.000")&amp;IF('Estimates-split'!E11="","",IF('Estimates-split'!E11&lt;0.01,"***",IF('Estimates-split'!E11&lt;0.05,"**",IF('Estimates-split'!E11&lt;0.1,"*",""))))</f>
        <v>-0.062</v>
      </c>
      <c r="C21" s="8" t="str">
        <f aca="false">TEXT('Estimates-split'!F11,"0.000")&amp;IF('Estimates-split'!I11="","",IF('Estimates-split'!I11&lt;0.01,"***",IF('Estimates-split'!I11&lt;0.05,"**",IF('Estimates-split'!I11&lt;0.1,"*",""))))</f>
        <v>0.026</v>
      </c>
      <c r="D21" s="8" t="str">
        <f aca="false">TEXT('Estimates-split'!J11,"0.000")&amp;IF('Estimates-split'!M11="","",IF('Estimates-split'!M11&lt;0.01,"***",IF('Estimates-split'!M11&lt;0.05,"**",IF('Estimates-split'!M11&lt;0.1,"*",""))))</f>
        <v>-0.091</v>
      </c>
      <c r="E21" s="8" t="str">
        <f aca="false">TEXT('Estimates-split'!N11,"0.000")&amp;IF('Estimates-split'!Q11="","",IF('Estimates-split'!Q11&lt;0.01,"***",IF('Estimates-split'!Q11&lt;0.05,"**",IF('Estimates-split'!Q11&lt;0.1,"*",""))))</f>
        <v>-0.079</v>
      </c>
    </row>
    <row r="22" customFormat="false" ht="15" hidden="false" customHeight="false" outlineLevel="0" collapsed="false">
      <c r="B22" s="8" t="str">
        <f aca="false">IF('Estimates-split'!D11="","(n/a)","("&amp;TEXT('Estimates-split'!D11,"0.00")&amp;")")</f>
        <v>(-0.46)</v>
      </c>
      <c r="C22" s="8" t="str">
        <f aca="false">IF('Estimates-split'!H11="","(n/a)","("&amp;TEXT('Estimates-split'!H11,"0.00")&amp;")")</f>
        <v>(0.43)</v>
      </c>
      <c r="D22" s="8" t="str">
        <f aca="false">IF('Estimates-split'!L11="","(n/a)","("&amp;TEXT('Estimates-split'!L11,"0.00")&amp;")")</f>
        <v>(-1.14)</v>
      </c>
      <c r="E22" s="8" t="str">
        <f aca="false">IF('Estimates-split'!P11="","(n/a)","("&amp;TEXT('Estimates-split'!P11,"0.00")&amp;")")</f>
        <v>(-0.90)</v>
      </c>
    </row>
    <row r="23" customFormat="false" ht="15" hidden="false" customHeight="false" outlineLevel="0" collapsed="false">
      <c r="A23" s="7" t="s">
        <v>16</v>
      </c>
      <c r="B23" s="8" t="str">
        <f aca="false">TEXT('Estimates-split'!B12,"0.000")&amp;IF('Estimates-split'!E12="","",IF('Estimates-split'!E12&lt;0.01,"***",IF('Estimates-split'!E12&lt;0.05,"**",IF('Estimates-split'!E12&lt;0.1,"*",""))))</f>
        <v>-0.073</v>
      </c>
      <c r="C23" s="8" t="str">
        <f aca="false">TEXT('Estimates-split'!F12,"0.000")&amp;IF('Estimates-split'!I12="","",IF('Estimates-split'!I12&lt;0.01,"***",IF('Estimates-split'!I12&lt;0.05,"**",IF('Estimates-split'!I12&lt;0.1,"*",""))))</f>
        <v>0.025</v>
      </c>
      <c r="D23" s="8" t="str">
        <f aca="false">TEXT('Estimates-split'!J12,"0.000")&amp;IF('Estimates-split'!M12="","",IF('Estimates-split'!M12&lt;0.01,"***",IF('Estimates-split'!M12&lt;0.05,"**",IF('Estimates-split'!M12&lt;0.1,"*",""))))</f>
        <v>-0.042</v>
      </c>
      <c r="E23" s="8" t="str">
        <f aca="false">TEXT('Estimates-split'!N12,"0.000")&amp;IF('Estimates-split'!Q12="","",IF('Estimates-split'!Q12&lt;0.01,"***",IF('Estimates-split'!Q12&lt;0.05,"**",IF('Estimates-split'!Q12&lt;0.1,"*",""))))</f>
        <v>0.011</v>
      </c>
    </row>
    <row r="24" customFormat="false" ht="15" hidden="false" customHeight="false" outlineLevel="0" collapsed="false">
      <c r="B24" s="8" t="str">
        <f aca="false">IF('Estimates-split'!D12="","(n/a)","("&amp;TEXT('Estimates-split'!D12,"0.00")&amp;")")</f>
        <v>(-0.51)</v>
      </c>
      <c r="C24" s="8" t="str">
        <f aca="false">IF('Estimates-split'!H12="","(n/a)","("&amp;TEXT('Estimates-split'!H12,"0.00")&amp;")")</f>
        <v>(0.39)</v>
      </c>
      <c r="D24" s="8" t="str">
        <f aca="false">IF('Estimates-split'!L12="","(n/a)","("&amp;TEXT('Estimates-split'!L12,"0.00")&amp;")")</f>
        <v>(-0.47)</v>
      </c>
      <c r="E24" s="8" t="str">
        <f aca="false">IF('Estimates-split'!P12="","(n/a)","("&amp;TEXT('Estimates-split'!P12,"0.00")&amp;")")</f>
        <v>(0.12)</v>
      </c>
    </row>
    <row r="25" customFormat="false" ht="15" hidden="false" customHeight="false" outlineLevel="0" collapsed="false">
      <c r="A25" s="7" t="s">
        <v>17</v>
      </c>
      <c r="B25" s="8" t="str">
        <f aca="false">TEXT('Estimates-split'!B13,"0.000")&amp;IF('Estimates-split'!E13="","",IF('Estimates-split'!E13&lt;0.01,"***",IF('Estimates-split'!E13&lt;0.05,"**",IF('Estimates-split'!E13&lt;0.1,"*",""))))</f>
        <v>-0.129</v>
      </c>
      <c r="C25" s="8" t="str">
        <f aca="false">TEXT('Estimates-split'!F13,"0.000")&amp;IF('Estimates-split'!I13="","",IF('Estimates-split'!I13&lt;0.01,"***",IF('Estimates-split'!I13&lt;0.05,"**",IF('Estimates-split'!I13&lt;0.1,"*",""))))</f>
        <v>-0.039</v>
      </c>
      <c r="D25" s="8" t="str">
        <f aca="false">TEXT('Estimates-split'!J13,"0.000")&amp;IF('Estimates-split'!M13="","",IF('Estimates-split'!M13&lt;0.01,"***",IF('Estimates-split'!M13&lt;0.05,"**",IF('Estimates-split'!M13&lt;0.1,"*",""))))</f>
        <v>-0.097</v>
      </c>
      <c r="E25" s="8" t="str">
        <f aca="false">TEXT('Estimates-split'!N13,"0.000")&amp;IF('Estimates-split'!Q13="","",IF('Estimates-split'!Q13&lt;0.01,"***",IF('Estimates-split'!Q13&lt;0.05,"**",IF('Estimates-split'!Q13&lt;0.1,"*",""))))</f>
        <v>-0.083</v>
      </c>
    </row>
    <row r="26" customFormat="false" ht="15" hidden="false" customHeight="false" outlineLevel="0" collapsed="false">
      <c r="B26" s="8" t="str">
        <f aca="false">IF('Estimates-split'!D13="","(n/a)","("&amp;TEXT('Estimates-split'!D13,"0.00")&amp;")")</f>
        <v>(-0.96)</v>
      </c>
      <c r="C26" s="8" t="str">
        <f aca="false">IF('Estimates-split'!H13="","(n/a)","("&amp;TEXT('Estimates-split'!H13,"0.00")&amp;")")</f>
        <v>(-0.59)</v>
      </c>
      <c r="D26" s="8" t="str">
        <f aca="false">IF('Estimates-split'!L13="","(n/a)","("&amp;TEXT('Estimates-split'!L13,"0.00")&amp;")")</f>
        <v>(-1.27)</v>
      </c>
      <c r="E26" s="8" t="str">
        <f aca="false">IF('Estimates-split'!P13="","(n/a)","("&amp;TEXT('Estimates-split'!P13,"0.00")&amp;")")</f>
        <v>(-1.12)</v>
      </c>
    </row>
    <row r="27" customFormat="false" ht="15" hidden="false" customHeight="false" outlineLevel="0" collapsed="false">
      <c r="A27" s="7" t="s">
        <v>18</v>
      </c>
      <c r="B27" s="8" t="str">
        <f aca="false">TEXT('Estimates-split'!B14,"0.000")&amp;IF('Estimates-split'!E14="","",IF('Estimates-split'!E14&lt;0.01,"***",IF('Estimates-split'!E14&lt;0.05,"**",IF('Estimates-split'!E14&lt;0.1,"*",""))))</f>
        <v>-0.096</v>
      </c>
      <c r="C27" s="8" t="str">
        <f aca="false">TEXT('Estimates-split'!F14,"0.000")&amp;IF('Estimates-split'!I14="","",IF('Estimates-split'!I14&lt;0.01,"***",IF('Estimates-split'!I14&lt;0.05,"**",IF('Estimates-split'!I14&lt;0.1,"*",""))))</f>
        <v>-0.010</v>
      </c>
      <c r="D27" s="8" t="str">
        <f aca="false">TEXT('Estimates-split'!J14,"0.000")&amp;IF('Estimates-split'!M14="","",IF('Estimates-split'!M14&lt;0.01,"***",IF('Estimates-split'!M14&lt;0.05,"**",IF('Estimates-split'!M14&lt;0.1,"*",""))))</f>
        <v>-0.115</v>
      </c>
      <c r="E27" s="8" t="str">
        <f aca="false">TEXT('Estimates-split'!N14,"0.000")&amp;IF('Estimates-split'!Q14="","",IF('Estimates-split'!Q14&lt;0.01,"***",IF('Estimates-split'!Q14&lt;0.05,"**",IF('Estimates-split'!Q14&lt;0.1,"*",""))))</f>
        <v>-0.076</v>
      </c>
    </row>
    <row r="28" customFormat="false" ht="15" hidden="false" customHeight="false" outlineLevel="0" collapsed="false">
      <c r="B28" s="8" t="str">
        <f aca="false">IF('Estimates-split'!D14="","(n/a)","("&amp;TEXT('Estimates-split'!D14,"0.00")&amp;")")</f>
        <v>(-0.69)</v>
      </c>
      <c r="C28" s="8" t="str">
        <f aca="false">IF('Estimates-split'!H14="","(n/a)","("&amp;TEXT('Estimates-split'!H14,"0.00")&amp;")")</f>
        <v>(-0.16)</v>
      </c>
      <c r="D28" s="8" t="str">
        <f aca="false">IF('Estimates-split'!L14="","(n/a)","("&amp;TEXT('Estimates-split'!L14,"0.00")&amp;")")</f>
        <v>(-1.34)</v>
      </c>
      <c r="E28" s="8" t="str">
        <f aca="false">IF('Estimates-split'!P14="","(n/a)","("&amp;TEXT('Estimates-split'!P14,"0.00")&amp;")")</f>
        <v>(-0.88)</v>
      </c>
    </row>
    <row r="29" customFormat="false" ht="15" hidden="false" customHeight="false" outlineLevel="0" collapsed="false">
      <c r="A29" s="7" t="s">
        <v>19</v>
      </c>
      <c r="B29" s="8" t="str">
        <f aca="false">TEXT('Estimates-split'!B15,"0.000")&amp;IF('Estimates-split'!E15="","",IF('Estimates-split'!E15&lt;0.01,"***",IF('Estimates-split'!E15&lt;0.05,"**",IF('Estimates-split'!E15&lt;0.1,"*",""))))</f>
        <v>-0.143</v>
      </c>
      <c r="C29" s="8" t="str">
        <f aca="false">TEXT('Estimates-split'!F15,"0.000")&amp;IF('Estimates-split'!I15="","",IF('Estimates-split'!I15&lt;0.01,"***",IF('Estimates-split'!I15&lt;0.05,"**",IF('Estimates-split'!I15&lt;0.1,"*",""))))</f>
        <v>-0.047</v>
      </c>
      <c r="D29" s="8" t="str">
        <f aca="false">TEXT('Estimates-split'!J15,"0.000")&amp;IF('Estimates-split'!M15="","",IF('Estimates-split'!M15&lt;0.01,"***",IF('Estimates-split'!M15&lt;0.05,"**",IF('Estimates-split'!M15&lt;0.1,"*",""))))</f>
        <v>-0.139</v>
      </c>
      <c r="E29" s="8" t="str">
        <f aca="false">TEXT('Estimates-split'!N15,"0.000")&amp;IF('Estimates-split'!Q15="","",IF('Estimates-split'!Q15&lt;0.01,"***",IF('Estimates-split'!Q15&lt;0.05,"**",IF('Estimates-split'!Q15&lt;0.1,"*",""))))</f>
        <v>-0.123</v>
      </c>
    </row>
    <row r="30" customFormat="false" ht="15" hidden="false" customHeight="false" outlineLevel="0" collapsed="false">
      <c r="B30" s="8" t="str">
        <f aca="false">IF('Estimates-split'!D15="","(n/a)","("&amp;TEXT('Estimates-split'!D15,"0.00")&amp;")")</f>
        <v>(-1.03)</v>
      </c>
      <c r="C30" s="8" t="str">
        <f aca="false">IF('Estimates-split'!H15="","(n/a)","("&amp;TEXT('Estimates-split'!H15,"0.00")&amp;")")</f>
        <v>(-0.77)</v>
      </c>
      <c r="D30" s="8" t="str">
        <f aca="false">IF('Estimates-split'!L15="","(n/a)","("&amp;TEXT('Estimates-split'!L15,"0.00")&amp;")")</f>
        <v>(-1.46)</v>
      </c>
      <c r="E30" s="8" t="str">
        <f aca="false">IF('Estimates-split'!P15="","(n/a)","("&amp;TEXT('Estimates-split'!P15,"0.00")&amp;")")</f>
        <v>(-1.25)</v>
      </c>
    </row>
    <row r="31" customFormat="false" ht="15" hidden="false" customHeight="false" outlineLevel="0" collapsed="false">
      <c r="A31" s="7" t="s">
        <v>20</v>
      </c>
      <c r="B31" s="8" t="str">
        <f aca="false">TEXT('Estimates-split'!B16,"0.000")&amp;IF('Estimates-split'!E16="","",IF('Estimates-split'!E16&lt;0.01,"***",IF('Estimates-split'!E16&lt;0.05,"**",IF('Estimates-split'!E16&lt;0.1,"*",""))))</f>
        <v>-0.102</v>
      </c>
      <c r="C31" s="8" t="str">
        <f aca="false">TEXT('Estimates-split'!F16,"0.000")&amp;IF('Estimates-split'!I16="","",IF('Estimates-split'!I16&lt;0.01,"***",IF('Estimates-split'!I16&lt;0.05,"**",IF('Estimates-split'!I16&lt;0.1,"*",""))))</f>
        <v>-0.018</v>
      </c>
      <c r="D31" s="8" t="str">
        <f aca="false">TEXT('Estimates-split'!J16,"0.000")&amp;IF('Estimates-split'!M16="","",IF('Estimates-split'!M16&lt;0.01,"***",IF('Estimates-split'!M16&lt;0.05,"**",IF('Estimates-split'!M16&lt;0.1,"*",""))))</f>
        <v>-0.068</v>
      </c>
      <c r="E31" s="8" t="str">
        <f aca="false">TEXT('Estimates-split'!N16,"0.000")&amp;IF('Estimates-split'!Q16="","",IF('Estimates-split'!Q16&lt;0.01,"***",IF('Estimates-split'!Q16&lt;0.05,"**",IF('Estimates-split'!Q16&lt;0.1,"*",""))))</f>
        <v>-0.046</v>
      </c>
    </row>
    <row r="32" customFormat="false" ht="15" hidden="false" customHeight="false" outlineLevel="0" collapsed="false">
      <c r="B32" s="8" t="str">
        <f aca="false">IF('Estimates-split'!D16="","(n/a)","("&amp;TEXT('Estimates-split'!D16,"0.00")&amp;")")</f>
        <v>(-0.69)</v>
      </c>
      <c r="C32" s="8" t="str">
        <f aca="false">IF('Estimates-split'!H16="","(n/a)","("&amp;TEXT('Estimates-split'!H16,"0.00")&amp;")")</f>
        <v>(-0.23)</v>
      </c>
      <c r="D32" s="8" t="str">
        <f aca="false">IF('Estimates-split'!L16="","(n/a)","("&amp;TEXT('Estimates-split'!L16,"0.00")&amp;")")</f>
        <v>(-0.61)</v>
      </c>
      <c r="E32" s="8" t="str">
        <f aca="false">IF('Estimates-split'!P16="","(n/a)","("&amp;TEXT('Estimates-split'!P16,"0.00")&amp;")")</f>
        <v>(-0.41)</v>
      </c>
    </row>
    <row r="33" customFormat="false" ht="15" hidden="false" customHeight="false" outlineLevel="0" collapsed="false">
      <c r="A33" s="7" t="s">
        <v>21</v>
      </c>
      <c r="B33" s="8" t="str">
        <f aca="false">TEXT('Estimates-split'!B17,"0.000")&amp;IF('Estimates-split'!E17="","",IF('Estimates-split'!E17&lt;0.01,"***",IF('Estimates-split'!E17&lt;0.05,"**",IF('Estimates-split'!E17&lt;0.1,"*",""))))</f>
        <v>0.110</v>
      </c>
      <c r="C33" s="8" t="str">
        <f aca="false">TEXT('Estimates-split'!F17,"0.000")&amp;IF('Estimates-split'!I17="","",IF('Estimates-split'!I17&lt;0.01,"***",IF('Estimates-split'!I17&lt;0.05,"**",IF('Estimates-split'!I17&lt;0.1,"*",""))))</f>
        <v>0.144</v>
      </c>
    </row>
    <row r="34" customFormat="false" ht="15" hidden="false" customHeight="false" outlineLevel="0" collapsed="false">
      <c r="B34" s="8" t="str">
        <f aca="false">IF('Estimates-split'!D17="","(n/a)","("&amp;TEXT('Estimates-split'!D17,"0.00")&amp;")")</f>
        <v>(0.77)</v>
      </c>
      <c r="C34" s="8" t="str">
        <f aca="false">IF('Estimates-split'!H17="","(n/a)","("&amp;TEXT('Estimates-split'!H17,"0.00")&amp;")")</f>
        <v>(1.02)</v>
      </c>
    </row>
    <row r="35" customFormat="false" ht="15" hidden="false" customHeight="false" outlineLevel="0" collapsed="false">
      <c r="A35" s="7" t="s">
        <v>22</v>
      </c>
      <c r="C35" s="8" t="str">
        <f aca="false">TEXT('Estimates-split'!F18,"0.000")&amp;IF('Estimates-split'!I18="","",IF('Estimates-split'!I18&lt;0.01,"***",IF('Estimates-split'!I18&lt;0.05,"**",IF('Estimates-split'!I18&lt;0.1,"*",""))))</f>
        <v>-0.404</v>
      </c>
      <c r="D35" s="8" t="str">
        <f aca="false">TEXT('Estimates-split'!J18,"0.000")&amp;IF('Estimates-split'!M18="","",IF('Estimates-split'!M18&lt;0.01,"***",IF('Estimates-split'!M18&lt;0.05,"**",IF('Estimates-split'!M18&lt;0.1,"*",""))))</f>
        <v>0.821</v>
      </c>
      <c r="E35" s="8" t="str">
        <f aca="false">TEXT('Estimates-split'!N18,"0.000")&amp;IF('Estimates-split'!Q18="","",IF('Estimates-split'!Q18&lt;0.01,"***",IF('Estimates-split'!Q18&lt;0.05,"**",IF('Estimates-split'!Q18&lt;0.1,"*",""))))</f>
        <v>0.916</v>
      </c>
    </row>
    <row r="36" customFormat="false" ht="15" hidden="false" customHeight="false" outlineLevel="0" collapsed="false">
      <c r="C36" s="8" t="str">
        <f aca="false">IF('Estimates-split'!H18="","(n/a)","("&amp;TEXT('Estimates-split'!H18,"0.00")&amp;")")</f>
        <v>(-0.77)</v>
      </c>
      <c r="D36" s="8" t="str">
        <f aca="false">IF('Estimates-split'!L18="","(n/a)","("&amp;TEXT('Estimates-split'!L18,"0.00")&amp;")")</f>
        <v>(1.28)</v>
      </c>
      <c r="E36" s="8" t="str">
        <f aca="false">IF('Estimates-split'!P18="","(n/a)","("&amp;TEXT('Estimates-split'!P18,"0.00")&amp;")")</f>
        <v>(1.37)</v>
      </c>
    </row>
    <row r="37" customFormat="false" ht="15" hidden="false" customHeight="false" outlineLevel="0" collapsed="false">
      <c r="A37" s="7" t="s">
        <v>23</v>
      </c>
      <c r="C37" s="8" t="str">
        <f aca="false">TEXT('Estimates-split'!F19,"0.000")&amp;IF('Estimates-split'!I19="","",IF('Estimates-split'!I19&lt;0.01,"***",IF('Estimates-split'!I19&lt;0.05,"**",IF('Estimates-split'!I19&lt;0.1,"*",""))))</f>
        <v>0.036</v>
      </c>
      <c r="D37" s="8" t="str">
        <f aca="false">TEXT('Estimates-split'!J19,"0.000")&amp;IF('Estimates-split'!M19="","",IF('Estimates-split'!M19&lt;0.01,"***",IF('Estimates-split'!M19&lt;0.05,"**",IF('Estimates-split'!M19&lt;0.1,"*",""))))</f>
        <v>-0.012</v>
      </c>
      <c r="E37" s="8" t="str">
        <f aca="false">TEXT('Estimates-split'!N19,"0.000")&amp;IF('Estimates-split'!Q19="","",IF('Estimates-split'!Q19&lt;0.01,"***",IF('Estimates-split'!Q19&lt;0.05,"**",IF('Estimates-split'!Q19&lt;0.1,"*",""))))</f>
        <v>-0.037</v>
      </c>
    </row>
    <row r="38" customFormat="false" ht="15" hidden="false" customHeight="false" outlineLevel="0" collapsed="false">
      <c r="C38" s="8" t="str">
        <f aca="false">IF('Estimates-split'!H19="","(n/a)","("&amp;TEXT('Estimates-split'!H19,"0.00")&amp;")")</f>
        <v>(0.38)</v>
      </c>
      <c r="D38" s="8" t="str">
        <f aca="false">IF('Estimates-split'!L19="","(n/a)","("&amp;TEXT('Estimates-split'!L19,"0.00")&amp;")")</f>
        <v>(-0.10)</v>
      </c>
      <c r="E38" s="8" t="str">
        <f aca="false">IF('Estimates-split'!P19="","(n/a)","("&amp;TEXT('Estimates-split'!P19,"0.00")&amp;")")</f>
        <v>(-0.28)</v>
      </c>
    </row>
    <row r="39" customFormat="false" ht="15" hidden="false" customHeight="false" outlineLevel="0" collapsed="false">
      <c r="A39" s="7" t="s">
        <v>24</v>
      </c>
      <c r="C39" s="8" t="str">
        <f aca="false">TEXT('Estimates-split'!F20,"0.000")&amp;IF('Estimates-split'!I20="","",IF('Estimates-split'!I20&lt;0.01,"***",IF('Estimates-split'!I20&lt;0.05,"**",IF('Estimates-split'!I20&lt;0.1,"*",""))))</f>
        <v>0.031</v>
      </c>
      <c r="D39" s="8" t="str">
        <f aca="false">TEXT('Estimates-split'!J20,"0.000")&amp;IF('Estimates-split'!M20="","",IF('Estimates-split'!M20&lt;0.01,"***",IF('Estimates-split'!M20&lt;0.05,"**",IF('Estimates-split'!M20&lt;0.1,"*",""))))</f>
        <v>-0.037</v>
      </c>
      <c r="E39" s="8" t="str">
        <f aca="false">TEXT('Estimates-split'!N20,"0.000")&amp;IF('Estimates-split'!Q20="","",IF('Estimates-split'!Q20&lt;0.01,"***",IF('Estimates-split'!Q20&lt;0.05,"**",IF('Estimates-split'!Q20&lt;0.1,"*",""))))</f>
        <v>0.004</v>
      </c>
    </row>
    <row r="40" customFormat="false" ht="15" hidden="false" customHeight="false" outlineLevel="0" collapsed="false">
      <c r="C40" s="8" t="str">
        <f aca="false">IF('Estimates-split'!H20="","(n/a)","("&amp;TEXT('Estimates-split'!H20,"0.00")&amp;")")</f>
        <v>(0.29)</v>
      </c>
      <c r="D40" s="8" t="str">
        <f aca="false">IF('Estimates-split'!L20="","(n/a)","("&amp;TEXT('Estimates-split'!L20,"0.00")&amp;")")</f>
        <v>(-0.22)</v>
      </c>
      <c r="E40" s="8" t="str">
        <f aca="false">IF('Estimates-split'!P20="","(n/a)","("&amp;TEXT('Estimates-split'!P20,"0.00")&amp;")")</f>
        <v>(0.03)</v>
      </c>
    </row>
    <row r="41" customFormat="false" ht="15" hidden="false" customHeight="false" outlineLevel="0" collapsed="false">
      <c r="A41" s="7" t="s">
        <v>25</v>
      </c>
      <c r="C41" s="8" t="str">
        <f aca="false">TEXT('Estimates-split'!F21,"0.000")&amp;IF('Estimates-split'!I21="","",IF('Estimates-split'!I21&lt;0.01,"***",IF('Estimates-split'!I21&lt;0.05,"**",IF('Estimates-split'!I21&lt;0.1,"*",""))))</f>
        <v>-0.112</v>
      </c>
      <c r="D41" s="8" t="str">
        <f aca="false">TEXT('Estimates-split'!J21,"0.000")&amp;IF('Estimates-split'!M21="","",IF('Estimates-split'!M21&lt;0.01,"***",IF('Estimates-split'!M21&lt;0.05,"**",IF('Estimates-split'!M21&lt;0.1,"*",""))))</f>
        <v>0.244</v>
      </c>
      <c r="E41" s="8" t="str">
        <f aca="false">TEXT('Estimates-split'!N21,"0.000")&amp;IF('Estimates-split'!Q21="","",IF('Estimates-split'!Q21&lt;0.01,"***",IF('Estimates-split'!Q21&lt;0.05,"**",IF('Estimates-split'!Q21&lt;0.1,"*",""))))</f>
        <v>0.289</v>
      </c>
    </row>
    <row r="42" customFormat="false" ht="15" hidden="false" customHeight="false" outlineLevel="0" collapsed="false">
      <c r="C42" s="8" t="str">
        <f aca="false">IF('Estimates-split'!H21="","(n/a)","("&amp;TEXT('Estimates-split'!H21,"0.00")&amp;")")</f>
        <v>(-0.80)</v>
      </c>
      <c r="D42" s="8" t="str">
        <f aca="false">IF('Estimates-split'!L21="","(n/a)","("&amp;TEXT('Estimates-split'!L21,"0.00")&amp;")")</f>
        <v>(1.01)</v>
      </c>
      <c r="E42" s="8" t="str">
        <f aca="false">IF('Estimates-split'!P21="","(n/a)","("&amp;TEXT('Estimates-split'!P21,"0.00")&amp;")")</f>
        <v>(1.20)</v>
      </c>
    </row>
    <row r="43" customFormat="false" ht="15" hidden="false" customHeight="false" outlineLevel="0" collapsed="false">
      <c r="A43" s="7" t="s">
        <v>26</v>
      </c>
      <c r="C43" s="8" t="str">
        <f aca="false">TEXT('Estimates-split'!F22,"0.000")&amp;IF('Estimates-split'!I22="","",IF('Estimates-split'!I22&lt;0.01,"***",IF('Estimates-split'!I22&lt;0.05,"**",IF('Estimates-split'!I22&lt;0.1,"*",""))))</f>
        <v>0.269*</v>
      </c>
      <c r="D43" s="8" t="str">
        <f aca="false">TEXT('Estimates-split'!J22,"0.000")&amp;IF('Estimates-split'!M22="","",IF('Estimates-split'!M22&lt;0.01,"***",IF('Estimates-split'!M22&lt;0.05,"**",IF('Estimates-split'!M22&lt;0.1,"*",""))))</f>
        <v>-0.260</v>
      </c>
      <c r="E43" s="8" t="str">
        <f aca="false">TEXT('Estimates-split'!N22,"0.000")&amp;IF('Estimates-split'!Q22="","",IF('Estimates-split'!Q22&lt;0.01,"***",IF('Estimates-split'!Q22&lt;0.05,"**",IF('Estimates-split'!Q22&lt;0.1,"*",""))))</f>
        <v>-0.187</v>
      </c>
    </row>
    <row r="44" customFormat="false" ht="15" hidden="false" customHeight="false" outlineLevel="0" collapsed="false">
      <c r="C44" s="8" t="str">
        <f aca="false">IF('Estimates-split'!H22="","(n/a)","("&amp;TEXT('Estimates-split'!H22,"0.00")&amp;")")</f>
        <v>(2.04)</v>
      </c>
      <c r="D44" s="8" t="str">
        <f aca="false">IF('Estimates-split'!L22="","(n/a)","("&amp;TEXT('Estimates-split'!L22,"0.00")&amp;")")</f>
        <v>(-0.31)</v>
      </c>
      <c r="E44" s="8" t="str">
        <f aca="false">IF('Estimates-split'!P22="","(n/a)","("&amp;TEXT('Estimates-split'!P22,"0.00")&amp;")")</f>
        <v>(-0.19)</v>
      </c>
    </row>
    <row r="45" customFormat="false" ht="15" hidden="false" customHeight="false" outlineLevel="0" collapsed="false">
      <c r="A45" s="7" t="s">
        <v>27</v>
      </c>
      <c r="C45" s="8" t="str">
        <f aca="false">TEXT('Estimates-split'!F23,"0.000")&amp;IF('Estimates-split'!I23="","",IF('Estimates-split'!I23&lt;0.01,"***",IF('Estimates-split'!I23&lt;0.05,"**",IF('Estimates-split'!I23&lt;0.1,"*",""))))</f>
        <v>-0.373</v>
      </c>
      <c r="D45" s="8" t="str">
        <f aca="false">TEXT('Estimates-split'!J23,"0.000")&amp;IF('Estimates-split'!M23="","",IF('Estimates-split'!M23&lt;0.01,"***",IF('Estimates-split'!M23&lt;0.05,"**",IF('Estimates-split'!M23&lt;0.1,"*",""))))</f>
        <v>-0.068</v>
      </c>
      <c r="E45" s="8" t="str">
        <f aca="false">TEXT('Estimates-split'!N23,"0.000")&amp;IF('Estimates-split'!Q23="","",IF('Estimates-split'!Q23&lt;0.01,"***",IF('Estimates-split'!Q23&lt;0.05,"**",IF('Estimates-split'!Q23&lt;0.1,"*",""))))</f>
        <v>-0.466</v>
      </c>
    </row>
    <row r="46" customFormat="false" ht="15" hidden="false" customHeight="false" outlineLevel="0" collapsed="false">
      <c r="C46" s="8" t="str">
        <f aca="false">IF('Estimates-split'!H23="","(n/a)","("&amp;TEXT('Estimates-split'!H23,"0.00")&amp;")")</f>
        <v>(-1.53)</v>
      </c>
      <c r="D46" s="8" t="str">
        <f aca="false">IF('Estimates-split'!L23="","(n/a)","("&amp;TEXT('Estimates-split'!L23,"0.00")&amp;")")</f>
        <v>(-0.04)</v>
      </c>
      <c r="E46" s="8" t="str">
        <f aca="false">IF('Estimates-split'!P23="","(n/a)","("&amp;TEXT('Estimates-split'!P23,"0.00")&amp;")")</f>
        <v>(-0.28)</v>
      </c>
    </row>
    <row r="48" customFormat="false" ht="15" hidden="false" customHeight="false" outlineLevel="0" collapsed="false">
      <c r="A48" s="7" t="s">
        <v>28</v>
      </c>
      <c r="B48" s="9" t="n">
        <f aca="false">'Estimates-split'!B26</f>
        <v>1727</v>
      </c>
      <c r="C48" s="9" t="n">
        <f aca="false">'Estimates-split'!F26</f>
        <v>1483</v>
      </c>
      <c r="D48" s="9" t="n">
        <f aca="false">'Estimates-split'!J26</f>
        <v>1482</v>
      </c>
      <c r="E48" s="9" t="n">
        <f aca="false">'Estimates-split'!N26</f>
        <v>1482</v>
      </c>
    </row>
    <row r="49" customFormat="false" ht="15" hidden="false" customHeight="false" outlineLevel="0" collapsed="false">
      <c r="A49" s="7" t="s">
        <v>29</v>
      </c>
      <c r="B49" s="10" t="n">
        <f aca="false">'Estimates-split'!B29</f>
        <v>0.048732205240218</v>
      </c>
      <c r="C49" s="10" t="n">
        <f aca="false">'Estimates-split'!F29</f>
        <v>0.0583512387267881</v>
      </c>
      <c r="D49" s="10" t="n">
        <f aca="false">'Estimates-split'!J29</f>
        <v>0.0805095842434804</v>
      </c>
      <c r="E49" s="10" t="n">
        <f aca="false">'Estimates-split'!N29</f>
        <v>0.0952588261959438</v>
      </c>
    </row>
    <row r="50" customFormat="false" ht="15" hidden="false" customHeight="false" outlineLevel="0" collapsed="false">
      <c r="A50" s="7" t="s">
        <v>30</v>
      </c>
      <c r="B50" s="11" t="s">
        <v>31</v>
      </c>
      <c r="C50" s="11" t="s">
        <v>31</v>
      </c>
      <c r="D50" s="11" t="s">
        <v>32</v>
      </c>
      <c r="E50" s="11" t="s">
        <v>32</v>
      </c>
    </row>
    <row r="51" customFormat="false" ht="15" hidden="false" customHeight="false" outlineLevel="0" collapsed="false">
      <c r="A51" s="7" t="s">
        <v>33</v>
      </c>
      <c r="B51" s="11" t="s">
        <v>32</v>
      </c>
      <c r="C51" s="11" t="s">
        <v>32</v>
      </c>
      <c r="D51" s="11" t="s">
        <v>31</v>
      </c>
      <c r="E51" s="11" t="s">
        <v>32</v>
      </c>
    </row>
    <row r="52" customFormat="false" ht="15" hidden="false" customHeight="false" outlineLevel="0" collapsed="false">
      <c r="A52" s="12" t="s">
        <v>34</v>
      </c>
      <c r="B52" s="13" t="n">
        <f aca="false">'Estimates-split'!E24</f>
        <v>0.657335027852644</v>
      </c>
      <c r="C52" s="13" t="n">
        <f aca="false">'Estimates-split'!I24</f>
        <v>0.911531118919469</v>
      </c>
      <c r="D52" s="13" t="n">
        <f aca="false">'Estimates-split'!M24</f>
        <v>0.320694339145249</v>
      </c>
      <c r="E52" s="13" t="n">
        <f aca="false">'Estimates-split'!Q24</f>
        <v>0.241981682651842</v>
      </c>
    </row>
    <row r="54" customFormat="false" ht="15" hidden="false" customHeight="false" outlineLevel="0" collapsed="false">
      <c r="A54" s="1" t="s">
        <v>35</v>
      </c>
    </row>
    <row r="55" customFormat="false" ht="15" hidden="false" customHeight="false" outlineLevel="0" collapsed="false">
      <c r="A55" s="3"/>
      <c r="B55" s="4" t="s">
        <v>3</v>
      </c>
      <c r="C55" s="4" t="s">
        <v>4</v>
      </c>
      <c r="D55" s="4" t="s">
        <v>5</v>
      </c>
      <c r="E55" s="4" t="s">
        <v>6</v>
      </c>
    </row>
    <row r="56" customFormat="false" ht="15" hidden="false" customHeight="false" outlineLevel="0" collapsed="false">
      <c r="A56" s="5"/>
      <c r="B56" s="6" t="s">
        <v>36</v>
      </c>
      <c r="C56" s="6" t="s">
        <v>36</v>
      </c>
      <c r="D56" s="6" t="s">
        <v>36</v>
      </c>
      <c r="E56" s="6" t="s">
        <v>36</v>
      </c>
    </row>
    <row r="57" customFormat="false" ht="15" hidden="false" customHeight="false" outlineLevel="0" collapsed="false">
      <c r="A57" s="7" t="s">
        <v>8</v>
      </c>
      <c r="B57" s="8" t="str">
        <f aca="false">TEXT('Estimates-split'!R4,"0.000")&amp;IF('Estimates-split'!U4="","",IF('Estimates-split'!U4&lt;0.01,"***",IF('Estimates-split'!U4&lt;0.05,"**",IF('Estimates-split'!U4&lt;0.1,"*",""))))</f>
        <v>0.004</v>
      </c>
      <c r="C57" s="8" t="str">
        <f aca="false">TEXT('Estimates-split'!V4,"0.000")&amp;IF('Estimates-split'!Y4="","",IF('Estimates-split'!Y4&lt;0.01,"***",IF('Estimates-split'!Y4&lt;0.05,"**",IF('Estimates-split'!Y4&lt;0.1,"*",""))))</f>
        <v>-0.232</v>
      </c>
      <c r="D57" s="8" t="str">
        <f aca="false">TEXT('Estimates-split'!Z4,"0.000")&amp;IF('Estimates-split'!AC4="","",IF('Estimates-split'!AC4&lt;0.01,"***",IF('Estimates-split'!AC4&lt;0.05,"**",IF('Estimates-split'!AC4&lt;0.1,"*",""))))</f>
        <v>-0.574</v>
      </c>
      <c r="E57" s="8" t="str">
        <f aca="false">TEXT('Estimates-split'!AD4,"0.000")&amp;IF('Estimates-split'!AG4="","",IF('Estimates-split'!AG4&lt;0.01,"***",IF('Estimates-split'!AG4&lt;0.05,"**",IF('Estimates-split'!AG4&lt;0.1,"*",""))))</f>
        <v>-0.432</v>
      </c>
    </row>
    <row r="58" customFormat="false" ht="15" hidden="false" customHeight="false" outlineLevel="0" collapsed="false">
      <c r="B58" s="8" t="str">
        <f aca="false">IF('Estimates-split'!T4="","(n/a)","("&amp;TEXT('Estimates-split'!T4,"0.00")&amp;")")</f>
        <v>(0.02)</v>
      </c>
      <c r="C58" s="8" t="str">
        <f aca="false">IF('Estimates-split'!X4="","(n/a)","("&amp;TEXT('Estimates-split'!X4,"0.00")&amp;")")</f>
        <v>(-0.78)</v>
      </c>
      <c r="D58" s="8" t="str">
        <f aca="false">IF('Estimates-split'!AB4="","(n/a)","("&amp;TEXT('Estimates-split'!AB4,"0.00")&amp;")")</f>
        <v>(-0.99)</v>
      </c>
      <c r="E58" s="8" t="str">
        <f aca="false">IF('Estimates-split'!AF4="","(n/a)","("&amp;TEXT('Estimates-split'!AF4,"0.00")&amp;")")</f>
        <v>(-0.72)</v>
      </c>
    </row>
    <row r="59" customFormat="false" ht="15" hidden="false" customHeight="false" outlineLevel="0" collapsed="false">
      <c r="A59" s="7" t="s">
        <v>9</v>
      </c>
      <c r="B59" s="8" t="str">
        <f aca="false">TEXT('Estimates-split'!R5,"0.000")&amp;IF('Estimates-split'!U5="","",IF('Estimates-split'!U5&lt;0.01,"***",IF('Estimates-split'!U5&lt;0.05,"**",IF('Estimates-split'!U5&lt;0.1,"*",""))))</f>
        <v>-1.106**</v>
      </c>
      <c r="C59" s="8" t="str">
        <f aca="false">TEXT('Estimates-split'!V5,"0.000")&amp;IF('Estimates-split'!Y5="","",IF('Estimates-split'!Y5&lt;0.01,"***",IF('Estimates-split'!Y5&lt;0.05,"**",IF('Estimates-split'!Y5&lt;0.1,"*",""))))</f>
        <v>-0.956***</v>
      </c>
      <c r="D59" s="8" t="str">
        <f aca="false">TEXT('Estimates-split'!Z5,"0.000")&amp;IF('Estimates-split'!AC5="","",IF('Estimates-split'!AC5&lt;0.01,"***",IF('Estimates-split'!AC5&lt;0.05,"**",IF('Estimates-split'!AC5&lt;0.1,"*",""))))</f>
        <v>-1.265**</v>
      </c>
      <c r="E59" s="8" t="str">
        <f aca="false">TEXT('Estimates-split'!AD5,"0.000")&amp;IF('Estimates-split'!AG5="","",IF('Estimates-split'!AG5&lt;0.01,"***",IF('Estimates-split'!AG5&lt;0.05,"**",IF('Estimates-split'!AG5&lt;0.1,"*",""))))</f>
        <v>-1.275***</v>
      </c>
    </row>
    <row r="60" customFormat="false" ht="15" hidden="false" customHeight="false" outlineLevel="0" collapsed="false">
      <c r="B60" s="8" t="str">
        <f aca="false">IF('Estimates-split'!T5="","(n/a)","("&amp;TEXT('Estimates-split'!T5,"0.00")&amp;")")</f>
        <v>(-2.37)</v>
      </c>
      <c r="C60" s="8" t="str">
        <f aca="false">IF('Estimates-split'!X5="","(n/a)","("&amp;TEXT('Estimates-split'!X5,"0.00")&amp;")")</f>
        <v>(-3.56)</v>
      </c>
      <c r="D60" s="8" t="str">
        <f aca="false">IF('Estimates-split'!AB5="","(n/a)","("&amp;TEXT('Estimates-split'!AB5,"0.00")&amp;")")</f>
        <v>(-2.71)</v>
      </c>
      <c r="E60" s="8" t="str">
        <f aca="false">IF('Estimates-split'!AF5="","(n/a)","("&amp;TEXT('Estimates-split'!AF5,"0.00")&amp;")")</f>
        <v>(-3.01)</v>
      </c>
    </row>
    <row r="61" customFormat="false" ht="15" hidden="false" customHeight="false" outlineLevel="0" collapsed="false">
      <c r="A61" s="7" t="s">
        <v>10</v>
      </c>
      <c r="B61" s="8" t="str">
        <f aca="false">TEXT('Estimates-split'!R6,"0.000")&amp;IF('Estimates-split'!U6="","",IF('Estimates-split'!U6&lt;0.01,"***",IF('Estimates-split'!U6&lt;0.05,"**",IF('Estimates-split'!U6&lt;0.1,"*",""))))</f>
        <v>-0.008</v>
      </c>
      <c r="C61" s="8" t="str">
        <f aca="false">TEXT('Estimates-split'!V6,"0.000")&amp;IF('Estimates-split'!Y6="","",IF('Estimates-split'!Y6&lt;0.01,"***",IF('Estimates-split'!Y6&lt;0.05,"**",IF('Estimates-split'!Y6&lt;0.1,"*",""))))</f>
        <v>-0.014</v>
      </c>
      <c r="D61" s="8" t="str">
        <f aca="false">TEXT('Estimates-split'!Z6,"0.000")&amp;IF('Estimates-split'!AC6="","",IF('Estimates-split'!AC6&lt;0.01,"***",IF('Estimates-split'!AC6&lt;0.05,"**",IF('Estimates-split'!AC6&lt;0.1,"*",""))))</f>
        <v>0.013</v>
      </c>
      <c r="E61" s="8" t="str">
        <f aca="false">TEXT('Estimates-split'!AD6,"0.000")&amp;IF('Estimates-split'!AG6="","",IF('Estimates-split'!AG6&lt;0.01,"***",IF('Estimates-split'!AG6&lt;0.05,"**",IF('Estimates-split'!AG6&lt;0.1,"*",""))))</f>
        <v>-0.013</v>
      </c>
    </row>
    <row r="62" customFormat="false" ht="15" hidden="false" customHeight="false" outlineLevel="0" collapsed="false">
      <c r="B62" s="8" t="str">
        <f aca="false">IF('Estimates-split'!T6="","(n/a)","("&amp;TEXT('Estimates-split'!T6,"0.00")&amp;")")</f>
        <v>(-0.44)</v>
      </c>
      <c r="C62" s="8" t="str">
        <f aca="false">IF('Estimates-split'!X6="","(n/a)","("&amp;TEXT('Estimates-split'!X6,"0.00")&amp;")")</f>
        <v>(-0.67)</v>
      </c>
      <c r="D62" s="8" t="str">
        <f aca="false">IF('Estimates-split'!AB6="","(n/a)","("&amp;TEXT('Estimates-split'!AB6,"0.00")&amp;")")</f>
        <v>(0.61)</v>
      </c>
      <c r="E62" s="8" t="str">
        <f aca="false">IF('Estimates-split'!AF6="","(n/a)","("&amp;TEXT('Estimates-split'!AF6,"0.00")&amp;")")</f>
        <v>(-1.00)</v>
      </c>
    </row>
    <row r="63" customFormat="false" ht="15" hidden="false" customHeight="false" outlineLevel="0" collapsed="false">
      <c r="A63" s="7" t="s">
        <v>11</v>
      </c>
      <c r="B63" s="8" t="str">
        <f aca="false">TEXT('Estimates-split'!R7,"0.000")&amp;IF('Estimates-split'!U7="","",IF('Estimates-split'!U7&lt;0.01,"***",IF('Estimates-split'!U7&lt;0.05,"**",IF('Estimates-split'!U7&lt;0.1,"*",""))))</f>
        <v>-0.059</v>
      </c>
      <c r="C63" s="8" t="str">
        <f aca="false">TEXT('Estimates-split'!V7,"0.000")&amp;IF('Estimates-split'!Y7="","",IF('Estimates-split'!Y7&lt;0.01,"***",IF('Estimates-split'!Y7&lt;0.05,"**",IF('Estimates-split'!Y7&lt;0.1,"*",""))))</f>
        <v>-0.053</v>
      </c>
      <c r="D63" s="8" t="str">
        <f aca="false">TEXT('Estimates-split'!Z7,"0.000")&amp;IF('Estimates-split'!AC7="","",IF('Estimates-split'!AC7&lt;0.01,"***",IF('Estimates-split'!AC7&lt;0.05,"**",IF('Estimates-split'!AC7&lt;0.1,"*",""))))</f>
        <v>-1.299*</v>
      </c>
      <c r="E63" s="8" t="str">
        <f aca="false">TEXT('Estimates-split'!AD7,"0.000")&amp;IF('Estimates-split'!AG7="","",IF('Estimates-split'!AG7&lt;0.01,"***",IF('Estimates-split'!AG7&lt;0.05,"**",IF('Estimates-split'!AG7&lt;0.1,"*",""))))</f>
        <v>-1.843*</v>
      </c>
    </row>
    <row r="64" customFormat="false" ht="15" hidden="false" customHeight="false" outlineLevel="0" collapsed="false">
      <c r="B64" s="8" t="str">
        <f aca="false">IF('Estimates-split'!T7="","(n/a)","("&amp;TEXT('Estimates-split'!T7,"0.00")&amp;")")</f>
        <v>(-0.98)</v>
      </c>
      <c r="C64" s="8" t="str">
        <f aca="false">IF('Estimates-split'!X7="","(n/a)","("&amp;TEXT('Estimates-split'!X7,"0.00")&amp;")")</f>
        <v>(-0.86)</v>
      </c>
      <c r="D64" s="8" t="str">
        <f aca="false">IF('Estimates-split'!AB7="","(n/a)","("&amp;TEXT('Estimates-split'!AB7,"0.00")&amp;")")</f>
        <v>(-1.98)</v>
      </c>
      <c r="E64" s="8" t="str">
        <f aca="false">IF('Estimates-split'!AF7="","(n/a)","("&amp;TEXT('Estimates-split'!AF7,"0.00")&amp;")")</f>
        <v>(-1.89)</v>
      </c>
    </row>
    <row r="65" customFormat="false" ht="15" hidden="false" customHeight="false" outlineLevel="0" collapsed="false">
      <c r="A65" s="7" t="s">
        <v>12</v>
      </c>
      <c r="B65" s="8" t="str">
        <f aca="false">TEXT('Estimates-split'!R8,"0.000")&amp;IF('Estimates-split'!U8="","",IF('Estimates-split'!U8&lt;0.01,"***",IF('Estimates-split'!U8&lt;0.05,"**",IF('Estimates-split'!U8&lt;0.1,"*",""))))</f>
        <v>0.000</v>
      </c>
      <c r="C65" s="8" t="str">
        <f aca="false">TEXT('Estimates-split'!V8,"0.000")&amp;IF('Estimates-split'!Y8="","",IF('Estimates-split'!Y8&lt;0.01,"***",IF('Estimates-split'!Y8&lt;0.05,"**",IF('Estimates-split'!Y8&lt;0.1,"*",""))))</f>
        <v>0.001</v>
      </c>
      <c r="D65" s="8" t="str">
        <f aca="false">TEXT('Estimates-split'!Z8,"0.000")&amp;IF('Estimates-split'!AC8="","",IF('Estimates-split'!AC8&lt;0.01,"***",IF('Estimates-split'!AC8&lt;0.05,"**",IF('Estimates-split'!AC8&lt;0.1,"*",""))))</f>
        <v>-0.027</v>
      </c>
      <c r="E65" s="8" t="str">
        <f aca="false">TEXT('Estimates-split'!AD8,"0.000")&amp;IF('Estimates-split'!AG8="","",IF('Estimates-split'!AG8&lt;0.01,"***",IF('Estimates-split'!AG8&lt;0.05,"**",IF('Estimates-split'!AG8&lt;0.1,"*",""))))</f>
        <v>-0.011</v>
      </c>
    </row>
    <row r="66" customFormat="false" ht="15" hidden="false" customHeight="false" outlineLevel="0" collapsed="false">
      <c r="B66" s="8" t="str">
        <f aca="false">IF('Estimates-split'!T8="","(n/a)","("&amp;TEXT('Estimates-split'!T8,"0.00")&amp;")")</f>
        <v>(0.06)</v>
      </c>
      <c r="C66" s="8" t="str">
        <f aca="false">IF('Estimates-split'!X8="","(n/a)","("&amp;TEXT('Estimates-split'!X8,"0.00")&amp;")")</f>
        <v>(0.16)</v>
      </c>
      <c r="D66" s="8" t="str">
        <f aca="false">IF('Estimates-split'!AB8="","(n/a)","("&amp;TEXT('Estimates-split'!AB8,"0.00")&amp;")")</f>
        <v>(-1.45)</v>
      </c>
      <c r="E66" s="8" t="str">
        <f aca="false">IF('Estimates-split'!AF8="","(n/a)","("&amp;TEXT('Estimates-split'!AF8,"0.00")&amp;")")</f>
        <v>(-0.65)</v>
      </c>
    </row>
    <row r="67" customFormat="false" ht="15" hidden="false" customHeight="false" outlineLevel="0" collapsed="false">
      <c r="A67" s="7" t="s">
        <v>13</v>
      </c>
      <c r="B67" s="8" t="str">
        <f aca="false">TEXT('Estimates-split'!R9,"0.000")&amp;IF('Estimates-split'!U9="","",IF('Estimates-split'!U9&lt;0.01,"***",IF('Estimates-split'!U9&lt;0.05,"**",IF('Estimates-split'!U9&lt;0.1,"*",""))))</f>
        <v>-0.334**</v>
      </c>
      <c r="C67" s="8" t="str">
        <f aca="false">TEXT('Estimates-split'!V9,"0.000")&amp;IF('Estimates-split'!Y9="","",IF('Estimates-split'!Y9&lt;0.01,"***",IF('Estimates-split'!Y9&lt;0.05,"**",IF('Estimates-split'!Y9&lt;0.1,"*",""))))</f>
        <v>-0.245*</v>
      </c>
      <c r="D67" s="8" t="str">
        <f aca="false">TEXT('Estimates-split'!Z9,"0.000")&amp;IF('Estimates-split'!AC9="","",IF('Estimates-split'!AC9&lt;0.01,"***",IF('Estimates-split'!AC9&lt;0.05,"**",IF('Estimates-split'!AC9&lt;0.1,"*",""))))</f>
        <v>-0.328</v>
      </c>
      <c r="E67" s="8" t="str">
        <f aca="false">TEXT('Estimates-split'!AD9,"0.000")&amp;IF('Estimates-split'!AG9="","",IF('Estimates-split'!AG9&lt;0.01,"***",IF('Estimates-split'!AG9&lt;0.05,"**",IF('Estimates-split'!AG9&lt;0.1,"*",""))))</f>
        <v>-0.242</v>
      </c>
    </row>
    <row r="68" customFormat="false" ht="15" hidden="false" customHeight="false" outlineLevel="0" collapsed="false">
      <c r="B68" s="8" t="str">
        <f aca="false">IF('Estimates-split'!T9="","(n/a)","("&amp;TEXT('Estimates-split'!T9,"0.00")&amp;")")</f>
        <v>(-2.73)</v>
      </c>
      <c r="C68" s="8" t="str">
        <f aca="false">IF('Estimates-split'!X9="","(n/a)","("&amp;TEXT('Estimates-split'!X9,"0.00")&amp;")")</f>
        <v>(-1.84)</v>
      </c>
      <c r="D68" s="8" t="str">
        <f aca="false">IF('Estimates-split'!AB9="","(n/a)","("&amp;TEXT('Estimates-split'!AB9,"0.00")&amp;")")</f>
        <v>(-1.73)</v>
      </c>
      <c r="E68" s="8" t="str">
        <f aca="false">IF('Estimates-split'!AF9="","(n/a)","("&amp;TEXT('Estimates-split'!AF9,"0.00")&amp;")")</f>
        <v>(-1.14)</v>
      </c>
    </row>
    <row r="69" customFormat="false" ht="15" hidden="false" customHeight="false" outlineLevel="0" collapsed="false">
      <c r="A69" s="7" t="s">
        <v>14</v>
      </c>
      <c r="B69" s="8" t="str">
        <f aca="false">TEXT('Estimates-split'!R10,"0.000")&amp;IF('Estimates-split'!U10="","",IF('Estimates-split'!U10&lt;0.01,"***",IF('Estimates-split'!U10&lt;0.05,"**",IF('Estimates-split'!U10&lt;0.1,"*",""))))</f>
        <v>-0.322**</v>
      </c>
      <c r="C69" s="8" t="str">
        <f aca="false">TEXT('Estimates-split'!V10,"0.000")&amp;IF('Estimates-split'!Y10="","",IF('Estimates-split'!Y10&lt;0.01,"***",IF('Estimates-split'!Y10&lt;0.05,"**",IF('Estimates-split'!Y10&lt;0.1,"*",""))))</f>
        <v>-0.245*</v>
      </c>
      <c r="D69" s="8" t="str">
        <f aca="false">TEXT('Estimates-split'!Z10,"0.000")&amp;IF('Estimates-split'!AC10="","",IF('Estimates-split'!AC10&lt;0.01,"***",IF('Estimates-split'!AC10&lt;0.05,"**",IF('Estimates-split'!AC10&lt;0.1,"*",""))))</f>
        <v>-0.360*</v>
      </c>
      <c r="E69" s="8" t="str">
        <f aca="false">TEXT('Estimates-split'!AD10,"0.000")&amp;IF('Estimates-split'!AG10="","",IF('Estimates-split'!AG10&lt;0.01,"***",IF('Estimates-split'!AG10&lt;0.05,"**",IF('Estimates-split'!AG10&lt;0.1,"*",""))))</f>
        <v>-0.262</v>
      </c>
    </row>
    <row r="70" customFormat="false" ht="15" hidden="false" customHeight="false" outlineLevel="0" collapsed="false">
      <c r="B70" s="8" t="str">
        <f aca="false">IF('Estimates-split'!T10="","(n/a)","("&amp;TEXT('Estimates-split'!T10,"0.00")&amp;")")</f>
        <v>(-2.57)</v>
      </c>
      <c r="C70" s="8" t="str">
        <f aca="false">IF('Estimates-split'!X10="","(n/a)","("&amp;TEXT('Estimates-split'!X10,"0.00")&amp;")")</f>
        <v>(-1.78)</v>
      </c>
      <c r="D70" s="8" t="str">
        <f aca="false">IF('Estimates-split'!AB10="","(n/a)","("&amp;TEXT('Estimates-split'!AB10,"0.00")&amp;")")</f>
        <v>(-1.81)</v>
      </c>
      <c r="E70" s="8" t="str">
        <f aca="false">IF('Estimates-split'!AF10="","(n/a)","("&amp;TEXT('Estimates-split'!AF10,"0.00")&amp;")")</f>
        <v>(-1.17)</v>
      </c>
    </row>
    <row r="71" customFormat="false" ht="15" hidden="false" customHeight="false" outlineLevel="0" collapsed="false">
      <c r="A71" s="7" t="s">
        <v>15</v>
      </c>
      <c r="B71" s="8" t="str">
        <f aca="false">TEXT('Estimates-split'!R11,"0.000")&amp;IF('Estimates-split'!U11="","",IF('Estimates-split'!U11&lt;0.01,"***",IF('Estimates-split'!U11&lt;0.05,"**",IF('Estimates-split'!U11&lt;0.1,"*",""))))</f>
        <v>-0.331**</v>
      </c>
      <c r="C71" s="8" t="str">
        <f aca="false">TEXT('Estimates-split'!V11,"0.000")&amp;IF('Estimates-split'!Y11="","",IF('Estimates-split'!Y11&lt;0.01,"***",IF('Estimates-split'!Y11&lt;0.05,"**",IF('Estimates-split'!Y11&lt;0.1,"*",""))))</f>
        <v>-0.240*</v>
      </c>
      <c r="D71" s="8" t="str">
        <f aca="false">TEXT('Estimates-split'!Z11,"0.000")&amp;IF('Estimates-split'!AC11="","",IF('Estimates-split'!AC11&lt;0.01,"***",IF('Estimates-split'!AC11&lt;0.05,"**",IF('Estimates-split'!AC11&lt;0.1,"*",""))))</f>
        <v>-0.330</v>
      </c>
      <c r="E71" s="8" t="str">
        <f aca="false">TEXT('Estimates-split'!AD11,"0.000")&amp;IF('Estimates-split'!AG11="","",IF('Estimates-split'!AG11&lt;0.01,"***",IF('Estimates-split'!AG11&lt;0.05,"**",IF('Estimates-split'!AG11&lt;0.1,"*",""))))</f>
        <v>-0.230</v>
      </c>
    </row>
    <row r="72" customFormat="false" ht="15" hidden="false" customHeight="false" outlineLevel="0" collapsed="false">
      <c r="B72" s="8" t="str">
        <f aca="false">IF('Estimates-split'!T11="","(n/a)","("&amp;TEXT('Estimates-split'!T11,"0.00")&amp;")")</f>
        <v>(-2.68)</v>
      </c>
      <c r="C72" s="8" t="str">
        <f aca="false">IF('Estimates-split'!X11="","(n/a)","("&amp;TEXT('Estimates-split'!X11,"0.00")&amp;")")</f>
        <v>(-1.78)</v>
      </c>
      <c r="D72" s="8" t="str">
        <f aca="false">IF('Estimates-split'!AB11="","(n/a)","("&amp;TEXT('Estimates-split'!AB11,"0.00")&amp;")")</f>
        <v>(-1.66)</v>
      </c>
      <c r="E72" s="8" t="str">
        <f aca="false">IF('Estimates-split'!AF11="","(n/a)","("&amp;TEXT('Estimates-split'!AF11,"0.00")&amp;")")</f>
        <v>(-1.04)</v>
      </c>
    </row>
    <row r="73" customFormat="false" ht="15" hidden="false" customHeight="false" outlineLevel="0" collapsed="false">
      <c r="A73" s="7" t="s">
        <v>16</v>
      </c>
      <c r="B73" s="8" t="str">
        <f aca="false">TEXT('Estimates-split'!R12,"0.000")&amp;IF('Estimates-split'!U12="","",IF('Estimates-split'!U12&lt;0.01,"***",IF('Estimates-split'!U12&lt;0.05,"**",IF('Estimates-split'!U12&lt;0.1,"*",""))))</f>
        <v>-0.315**</v>
      </c>
      <c r="C73" s="8" t="str">
        <f aca="false">TEXT('Estimates-split'!V12,"0.000")&amp;IF('Estimates-split'!Y12="","",IF('Estimates-split'!Y12&lt;0.01,"***",IF('Estimates-split'!Y12&lt;0.05,"**",IF('Estimates-split'!Y12&lt;0.1,"*",""))))</f>
        <v>-0.232</v>
      </c>
      <c r="D73" s="8" t="str">
        <f aca="false">TEXT('Estimates-split'!Z12,"0.000")&amp;IF('Estimates-split'!AC12="","",IF('Estimates-split'!AC12&lt;0.01,"***",IF('Estimates-split'!AC12&lt;0.05,"**",IF('Estimates-split'!AC12&lt;0.1,"*",""))))</f>
        <v>-0.343</v>
      </c>
      <c r="E73" s="8" t="str">
        <f aca="false">TEXT('Estimates-split'!AD12,"0.000")&amp;IF('Estimates-split'!AG12="","",IF('Estimates-split'!AG12&lt;0.01,"***",IF('Estimates-split'!AG12&lt;0.05,"**",IF('Estimates-split'!AG12&lt;0.1,"*",""))))</f>
        <v>-0.228</v>
      </c>
    </row>
    <row r="74" customFormat="false" ht="15" hidden="false" customHeight="false" outlineLevel="0" collapsed="false">
      <c r="B74" s="8" t="str">
        <f aca="false">IF('Estimates-split'!T12="","(n/a)","("&amp;TEXT('Estimates-split'!T12,"0.00")&amp;")")</f>
        <v>(-2.39)</v>
      </c>
      <c r="C74" s="8" t="str">
        <f aca="false">IF('Estimates-split'!X12="","(n/a)","("&amp;TEXT('Estimates-split'!X12,"0.00")&amp;")")</f>
        <v>(-1.66)</v>
      </c>
      <c r="D74" s="8" t="str">
        <f aca="false">IF('Estimates-split'!AB12="","(n/a)","("&amp;TEXT('Estimates-split'!AB12,"0.00")&amp;")")</f>
        <v>(-1.70)</v>
      </c>
      <c r="E74" s="8" t="str">
        <f aca="false">IF('Estimates-split'!AF12="","(n/a)","("&amp;TEXT('Estimates-split'!AF12,"0.00")&amp;")")</f>
        <v>(-1.00)</v>
      </c>
    </row>
    <row r="75" customFormat="false" ht="15" hidden="false" customHeight="false" outlineLevel="0" collapsed="false">
      <c r="A75" s="7" t="s">
        <v>17</v>
      </c>
      <c r="B75" s="8" t="str">
        <f aca="false">TEXT('Estimates-split'!R13,"0.000")&amp;IF('Estimates-split'!U13="","",IF('Estimates-split'!U13&lt;0.01,"***",IF('Estimates-split'!U13&lt;0.05,"**",IF('Estimates-split'!U13&lt;0.1,"*",""))))</f>
        <v>-0.343**</v>
      </c>
      <c r="C75" s="8" t="str">
        <f aca="false">TEXT('Estimates-split'!V13,"0.000")&amp;IF('Estimates-split'!Y13="","",IF('Estimates-split'!Y13&lt;0.01,"***",IF('Estimates-split'!Y13&lt;0.05,"**",IF('Estimates-split'!Y13&lt;0.1,"*",""))))</f>
        <v>-0.253*</v>
      </c>
      <c r="D75" s="8" t="str">
        <f aca="false">TEXT('Estimates-split'!Z13,"0.000")&amp;IF('Estimates-split'!AC13="","",IF('Estimates-split'!AC13&lt;0.01,"***",IF('Estimates-split'!AC13&lt;0.05,"**",IF('Estimates-split'!AC13&lt;0.1,"*",""))))</f>
        <v>-0.331</v>
      </c>
      <c r="E75" s="8" t="str">
        <f aca="false">TEXT('Estimates-split'!AD13,"0.000")&amp;IF('Estimates-split'!AG13="","",IF('Estimates-split'!AG13&lt;0.01,"***",IF('Estimates-split'!AG13&lt;0.05,"**",IF('Estimates-split'!AG13&lt;0.1,"*",""))))</f>
        <v>-0.262</v>
      </c>
    </row>
    <row r="76" customFormat="false" ht="15" hidden="false" customHeight="false" outlineLevel="0" collapsed="false">
      <c r="B76" s="8" t="str">
        <f aca="false">IF('Estimates-split'!T13="","(n/a)","("&amp;TEXT('Estimates-split'!T13,"0.00")&amp;")")</f>
        <v>(-2.79)</v>
      </c>
      <c r="C76" s="8" t="str">
        <f aca="false">IF('Estimates-split'!X13="","(n/a)","("&amp;TEXT('Estimates-split'!X13,"0.00")&amp;")")</f>
        <v>(-1.85)</v>
      </c>
      <c r="D76" s="8" t="str">
        <f aca="false">IF('Estimates-split'!AB13="","(n/a)","("&amp;TEXT('Estimates-split'!AB13,"0.00")&amp;")")</f>
        <v>(-1.68)</v>
      </c>
      <c r="E76" s="8" t="str">
        <f aca="false">IF('Estimates-split'!AF13="","(n/a)","("&amp;TEXT('Estimates-split'!AF13,"0.00")&amp;")")</f>
        <v>(-1.21)</v>
      </c>
    </row>
    <row r="77" customFormat="false" ht="15" hidden="false" customHeight="false" outlineLevel="0" collapsed="false">
      <c r="A77" s="7" t="s">
        <v>18</v>
      </c>
      <c r="B77" s="8" t="str">
        <f aca="false">TEXT('Estimates-split'!R14,"0.000")&amp;IF('Estimates-split'!U14="","",IF('Estimates-split'!U14&lt;0.01,"***",IF('Estimates-split'!U14&lt;0.05,"**",IF('Estimates-split'!U14&lt;0.1,"*",""))))</f>
        <v>-0.305**</v>
      </c>
      <c r="C77" s="8" t="str">
        <f aca="false">TEXT('Estimates-split'!V14,"0.000")&amp;IF('Estimates-split'!Y14="","",IF('Estimates-split'!Y14&lt;0.01,"***",IF('Estimates-split'!Y14&lt;0.05,"**",IF('Estimates-split'!Y14&lt;0.1,"*",""))))</f>
        <v>-0.217</v>
      </c>
      <c r="D77" s="8" t="str">
        <f aca="false">TEXT('Estimates-split'!Z14,"0.000")&amp;IF('Estimates-split'!AC14="","",IF('Estimates-split'!AC14&lt;0.01,"***",IF('Estimates-split'!AC14&lt;0.05,"**",IF('Estimates-split'!AC14&lt;0.1,"*",""))))</f>
        <v>-0.339</v>
      </c>
      <c r="E77" s="8" t="str">
        <f aca="false">TEXT('Estimates-split'!AD14,"0.000")&amp;IF('Estimates-split'!AG14="","",IF('Estimates-split'!AG14&lt;0.01,"***",IF('Estimates-split'!AG14&lt;0.05,"**",IF('Estimates-split'!AG14&lt;0.1,"*",""))))</f>
        <v>-0.221</v>
      </c>
    </row>
    <row r="78" customFormat="false" ht="15" hidden="false" customHeight="false" outlineLevel="0" collapsed="false">
      <c r="B78" s="8" t="str">
        <f aca="false">IF('Estimates-split'!T14="","(n/a)","("&amp;TEXT('Estimates-split'!T14,"0.00")&amp;")")</f>
        <v>(-2.55)</v>
      </c>
      <c r="C78" s="8" t="str">
        <f aca="false">IF('Estimates-split'!X14="","(n/a)","("&amp;TEXT('Estimates-split'!X14,"0.00")&amp;")")</f>
        <v>(-1.59)</v>
      </c>
      <c r="D78" s="8" t="str">
        <f aca="false">IF('Estimates-split'!AB14="","(n/a)","("&amp;TEXT('Estimates-split'!AB14,"0.00")&amp;")")</f>
        <v>(-1.64)</v>
      </c>
      <c r="E78" s="8" t="str">
        <f aca="false">IF('Estimates-split'!AF14="","(n/a)","("&amp;TEXT('Estimates-split'!AF14,"0.00")&amp;")")</f>
        <v>(-0.97)</v>
      </c>
    </row>
    <row r="79" customFormat="false" ht="15" hidden="false" customHeight="false" outlineLevel="0" collapsed="false">
      <c r="A79" s="7" t="s">
        <v>19</v>
      </c>
      <c r="B79" s="8" t="str">
        <f aca="false">TEXT('Estimates-split'!R15,"0.000")&amp;IF('Estimates-split'!U15="","",IF('Estimates-split'!U15&lt;0.01,"***",IF('Estimates-split'!U15&lt;0.05,"**",IF('Estimates-split'!U15&lt;0.1,"*",""))))</f>
        <v>-0.357**</v>
      </c>
      <c r="C79" s="8" t="str">
        <f aca="false">TEXT('Estimates-split'!V15,"0.000")&amp;IF('Estimates-split'!Y15="","",IF('Estimates-split'!Y15&lt;0.01,"***",IF('Estimates-split'!Y15&lt;0.05,"**",IF('Estimates-split'!Y15&lt;0.1,"*",""))))</f>
        <v>-0.263*</v>
      </c>
      <c r="D79" s="8" t="str">
        <f aca="false">TEXT('Estimates-split'!Z15,"0.000")&amp;IF('Estimates-split'!AC15="","",IF('Estimates-split'!AC15&lt;0.01,"***",IF('Estimates-split'!AC15&lt;0.05,"**",IF('Estimates-split'!AC15&lt;0.1,"*",""))))</f>
        <v>-0.349</v>
      </c>
      <c r="E79" s="8" t="str">
        <f aca="false">TEXT('Estimates-split'!AD15,"0.000")&amp;IF('Estimates-split'!AG15="","",IF('Estimates-split'!AG15&lt;0.01,"***",IF('Estimates-split'!AG15&lt;0.05,"**",IF('Estimates-split'!AG15&lt;0.1,"*",""))))</f>
        <v>-0.253</v>
      </c>
    </row>
    <row r="80" customFormat="false" ht="15" hidden="false" customHeight="false" outlineLevel="0" collapsed="false">
      <c r="B80" s="8" t="str">
        <f aca="false">IF('Estimates-split'!T15="","(n/a)","("&amp;TEXT('Estimates-split'!T15,"0.00")&amp;")")</f>
        <v>(-2.76)</v>
      </c>
      <c r="C80" s="8" t="str">
        <f aca="false">IF('Estimates-split'!X15="","(n/a)","("&amp;TEXT('Estimates-split'!X15,"0.00")&amp;")")</f>
        <v>(-1.89)</v>
      </c>
      <c r="D80" s="8" t="str">
        <f aca="false">IF('Estimates-split'!AB15="","(n/a)","("&amp;TEXT('Estimates-split'!AB15,"0.00")&amp;")")</f>
        <v>(-1.68)</v>
      </c>
      <c r="E80" s="8" t="str">
        <f aca="false">IF('Estimates-split'!AF15="","(n/a)","("&amp;TEXT('Estimates-split'!AF15,"0.00")&amp;")")</f>
        <v>(-1.11)</v>
      </c>
    </row>
    <row r="81" customFormat="false" ht="15" hidden="false" customHeight="false" outlineLevel="0" collapsed="false">
      <c r="A81" s="7" t="s">
        <v>20</v>
      </c>
      <c r="B81" s="8" t="str">
        <f aca="false">TEXT('Estimates-split'!R16,"0.000")&amp;IF('Estimates-split'!U16="","",IF('Estimates-split'!U16&lt;0.01,"***",IF('Estimates-split'!U16&lt;0.05,"**",IF('Estimates-split'!U16&lt;0.1,"*",""))))</f>
        <v>-0.299**</v>
      </c>
      <c r="C81" s="8" t="str">
        <f aca="false">TEXT('Estimates-split'!V16,"0.000")&amp;IF('Estimates-split'!Y16="","",IF('Estimates-split'!Y16&lt;0.01,"***",IF('Estimates-split'!Y16&lt;0.05,"**",IF('Estimates-split'!Y16&lt;0.1,"*",""))))</f>
        <v>-0.220</v>
      </c>
      <c r="D81" s="8" t="str">
        <f aca="false">TEXT('Estimates-split'!Z16,"0.000")&amp;IF('Estimates-split'!AC16="","",IF('Estimates-split'!AC16&lt;0.01,"***",IF('Estimates-split'!AC16&lt;0.05,"**",IF('Estimates-split'!AC16&lt;0.1,"*",""))))</f>
        <v>-0.313</v>
      </c>
      <c r="E81" s="8" t="str">
        <f aca="false">TEXT('Estimates-split'!AD16,"0.000")&amp;IF('Estimates-split'!AG16="","",IF('Estimates-split'!AG16&lt;0.01,"***",IF('Estimates-split'!AG16&lt;0.05,"**",IF('Estimates-split'!AG16&lt;0.1,"*",""))))</f>
        <v>-0.237</v>
      </c>
    </row>
    <row r="82" customFormat="false" ht="15" hidden="false" customHeight="false" outlineLevel="0" collapsed="false">
      <c r="B82" s="8" t="str">
        <f aca="false">IF('Estimates-split'!T16="","(n/a)","("&amp;TEXT('Estimates-split'!T16,"0.00")&amp;")")</f>
        <v>(-2.20)</v>
      </c>
      <c r="C82" s="8" t="str">
        <f aca="false">IF('Estimates-split'!X16="","(n/a)","("&amp;TEXT('Estimates-split'!X16,"0.00")&amp;")")</f>
        <v>(-1.51)</v>
      </c>
      <c r="D82" s="8" t="str">
        <f aca="false">IF('Estimates-split'!AB16="","(n/a)","("&amp;TEXT('Estimates-split'!AB16,"0.00")&amp;")")</f>
        <v>(-1.63)</v>
      </c>
      <c r="E82" s="8" t="str">
        <f aca="false">IF('Estimates-split'!AF16="","(n/a)","("&amp;TEXT('Estimates-split'!AF16,"0.00")&amp;")")</f>
        <v>(-1.11)</v>
      </c>
    </row>
    <row r="83" customFormat="false" ht="15" hidden="false" customHeight="false" outlineLevel="0" collapsed="false">
      <c r="A83" s="7" t="s">
        <v>21</v>
      </c>
      <c r="B83" s="8" t="str">
        <f aca="false">TEXT('Estimates-split'!R17,"0.000")&amp;IF('Estimates-split'!U17="","",IF('Estimates-split'!U17&lt;0.01,"***",IF('Estimates-split'!U17&lt;0.05,"**",IF('Estimates-split'!U17&lt;0.1,"*",""))))</f>
        <v>-0.229</v>
      </c>
      <c r="C83" s="8" t="str">
        <f aca="false">TEXT('Estimates-split'!V17,"0.000")&amp;IF('Estimates-split'!Y17="","",IF('Estimates-split'!Y17&lt;0.01,"***",IF('Estimates-split'!Y17&lt;0.05,"**",IF('Estimates-split'!Y17&lt;0.1,"*",""))))</f>
        <v>-0.186</v>
      </c>
    </row>
    <row r="84" customFormat="false" ht="15" hidden="false" customHeight="false" outlineLevel="0" collapsed="false">
      <c r="B84" s="8" t="str">
        <f aca="false">IF('Estimates-split'!T17="","(n/a)","("&amp;TEXT('Estimates-split'!T17,"0.00")&amp;")")</f>
        <v>(-0.73)</v>
      </c>
      <c r="C84" s="8" t="str">
        <f aca="false">IF('Estimates-split'!X17="","(n/a)","("&amp;TEXT('Estimates-split'!X17,"0.00")&amp;")")</f>
        <v>(-0.84)</v>
      </c>
    </row>
    <row r="85" customFormat="false" ht="15" hidden="false" customHeight="false" outlineLevel="0" collapsed="false">
      <c r="A85" s="7" t="s">
        <v>22</v>
      </c>
      <c r="C85" s="8" t="str">
        <f aca="false">TEXT('Estimates-split'!V18,"0.000")&amp;IF('Estimates-split'!Y18="","",IF('Estimates-split'!Y18&lt;0.01,"***",IF('Estimates-split'!Y18&lt;0.05,"**",IF('Estimates-split'!Y18&lt;0.1,"*",""))))</f>
        <v>-0.699</v>
      </c>
      <c r="D85" s="8" t="str">
        <f aca="false">TEXT('Estimates-split'!Z18,"0.000")&amp;IF('Estimates-split'!AC18="","",IF('Estimates-split'!AC18&lt;0.01,"***",IF('Estimates-split'!AC18&lt;0.05,"**",IF('Estimates-split'!AC18&lt;0.1,"*",""))))</f>
        <v>-0.882</v>
      </c>
      <c r="E85" s="8" t="str">
        <f aca="false">TEXT('Estimates-split'!AD18,"0.000")&amp;IF('Estimates-split'!AG18="","",IF('Estimates-split'!AG18&lt;0.01,"***",IF('Estimates-split'!AG18&lt;0.05,"**",IF('Estimates-split'!AG18&lt;0.1,"*",""))))</f>
        <v>-1.028</v>
      </c>
    </row>
    <row r="86" customFormat="false" ht="15" hidden="false" customHeight="false" outlineLevel="0" collapsed="false">
      <c r="C86" s="8" t="str">
        <f aca="false">IF('Estimates-split'!X18="","(n/a)","("&amp;TEXT('Estimates-split'!X18,"0.00")&amp;")")</f>
        <v>(-1.66)</v>
      </c>
      <c r="D86" s="8" t="str">
        <f aca="false">IF('Estimates-split'!AB18="","(n/a)","("&amp;TEXT('Estimates-split'!AB18,"0.00")&amp;")")</f>
        <v>(-1.14)</v>
      </c>
      <c r="E86" s="8" t="str">
        <f aca="false">IF('Estimates-split'!AF18="","(n/a)","("&amp;TEXT('Estimates-split'!AF18,"0.00")&amp;")")</f>
        <v>(-1.37)</v>
      </c>
    </row>
    <row r="87" customFormat="false" ht="15" hidden="false" customHeight="false" outlineLevel="0" collapsed="false">
      <c r="A87" s="7" t="s">
        <v>23</v>
      </c>
      <c r="C87" s="8" t="str">
        <f aca="false">TEXT('Estimates-split'!V19,"0.000")&amp;IF('Estimates-split'!Y19="","",IF('Estimates-split'!Y19&lt;0.01,"***",IF('Estimates-split'!Y19&lt;0.05,"**",IF('Estimates-split'!Y19&lt;0.1,"*",""))))</f>
        <v>-0.006</v>
      </c>
      <c r="D87" s="8" t="str">
        <f aca="false">TEXT('Estimates-split'!Z19,"0.000")&amp;IF('Estimates-split'!AC19="","",IF('Estimates-split'!AC19&lt;0.01,"***",IF('Estimates-split'!AC19&lt;0.05,"**",IF('Estimates-split'!AC19&lt;0.1,"*",""))))</f>
        <v>0.192</v>
      </c>
      <c r="E87" s="8" t="str">
        <f aca="false">TEXT('Estimates-split'!AD19,"0.000")&amp;IF('Estimates-split'!AG19="","",IF('Estimates-split'!AG19&lt;0.01,"***",IF('Estimates-split'!AG19&lt;0.05,"**",IF('Estimates-split'!AG19&lt;0.1,"*",""))))</f>
        <v>0.082</v>
      </c>
    </row>
    <row r="88" customFormat="false" ht="15" hidden="false" customHeight="false" outlineLevel="0" collapsed="false">
      <c r="C88" s="8" t="str">
        <f aca="false">IF('Estimates-split'!X19="","(n/a)","("&amp;TEXT('Estimates-split'!X19,"0.00")&amp;")")</f>
        <v>(-0.05)</v>
      </c>
      <c r="D88" s="8" t="str">
        <f aca="false">IF('Estimates-split'!AB19="","(n/a)","("&amp;TEXT('Estimates-split'!AB19,"0.00")&amp;")")</f>
        <v>(1.02)</v>
      </c>
      <c r="E88" s="8" t="str">
        <f aca="false">IF('Estimates-split'!AF19="","(n/a)","("&amp;TEXT('Estimates-split'!AF19,"0.00")&amp;")")</f>
        <v>(0.43)</v>
      </c>
    </row>
    <row r="89" customFormat="false" ht="15" hidden="false" customHeight="false" outlineLevel="0" collapsed="false">
      <c r="A89" s="7" t="s">
        <v>24</v>
      </c>
      <c r="C89" s="8" t="str">
        <f aca="false">TEXT('Estimates-split'!V20,"0.000")&amp;IF('Estimates-split'!Y20="","",IF('Estimates-split'!Y20&lt;0.01,"***",IF('Estimates-split'!Y20&lt;0.05,"**",IF('Estimates-split'!Y20&lt;0.1,"*",""))))</f>
        <v>-0.036</v>
      </c>
      <c r="D89" s="8" t="str">
        <f aca="false">TEXT('Estimates-split'!Z20,"0.000")&amp;IF('Estimates-split'!AC20="","",IF('Estimates-split'!AC20&lt;0.01,"***",IF('Estimates-split'!AC20&lt;0.05,"**",IF('Estimates-split'!AC20&lt;0.1,"*",""))))</f>
        <v>-0.094</v>
      </c>
      <c r="E89" s="8" t="str">
        <f aca="false">TEXT('Estimates-split'!AD20,"0.000")&amp;IF('Estimates-split'!AG20="","",IF('Estimates-split'!AG20&lt;0.01,"***",IF('Estimates-split'!AG20&lt;0.05,"**",IF('Estimates-split'!AG20&lt;0.1,"*",""))))</f>
        <v>-0.192</v>
      </c>
    </row>
    <row r="90" customFormat="false" ht="15" hidden="false" customHeight="false" outlineLevel="0" collapsed="false">
      <c r="C90" s="8" t="str">
        <f aca="false">IF('Estimates-split'!X20="","(n/a)","("&amp;TEXT('Estimates-split'!X20,"0.00")&amp;")")</f>
        <v>(-0.26)</v>
      </c>
      <c r="D90" s="8" t="str">
        <f aca="false">IF('Estimates-split'!AB20="","(n/a)","("&amp;TEXT('Estimates-split'!AB20,"0.00")&amp;")")</f>
        <v>(-0.40)</v>
      </c>
      <c r="E90" s="8" t="str">
        <f aca="false">IF('Estimates-split'!AF20="","(n/a)","("&amp;TEXT('Estimates-split'!AF20,"0.00")&amp;")")</f>
        <v>(-0.82)</v>
      </c>
    </row>
    <row r="91" customFormat="false" ht="15" hidden="false" customHeight="false" outlineLevel="0" collapsed="false">
      <c r="A91" s="7" t="s">
        <v>25</v>
      </c>
      <c r="C91" s="8" t="str">
        <f aca="false">TEXT('Estimates-split'!V21,"0.000")&amp;IF('Estimates-split'!Y21="","",IF('Estimates-split'!Y21&lt;0.01,"***",IF('Estimates-split'!Y21&lt;0.05,"**",IF('Estimates-split'!Y21&lt;0.1,"*",""))))</f>
        <v>0.026</v>
      </c>
      <c r="D91" s="8" t="str">
        <f aca="false">TEXT('Estimates-split'!Z21,"0.000")&amp;IF('Estimates-split'!AC21="","",IF('Estimates-split'!AC21&lt;0.01,"***",IF('Estimates-split'!AC21&lt;0.05,"**",IF('Estimates-split'!AC21&lt;0.1,"*",""))))</f>
        <v>0.330**</v>
      </c>
      <c r="E91" s="8" t="str">
        <f aca="false">TEXT('Estimates-split'!AD21,"0.000")&amp;IF('Estimates-split'!AG21="","",IF('Estimates-split'!AG21&lt;0.01,"***",IF('Estimates-split'!AG21&lt;0.05,"**",IF('Estimates-split'!AG21&lt;0.1,"*",""))))</f>
        <v>0.129</v>
      </c>
    </row>
    <row r="92" customFormat="false" ht="15" hidden="false" customHeight="false" outlineLevel="0" collapsed="false">
      <c r="C92" s="8" t="str">
        <f aca="false">IF('Estimates-split'!X21="","(n/a)","("&amp;TEXT('Estimates-split'!X21,"0.00")&amp;")")</f>
        <v>(0.14)</v>
      </c>
      <c r="D92" s="8" t="str">
        <f aca="false">IF('Estimates-split'!AB21="","(n/a)","("&amp;TEXT('Estimates-split'!AB21,"0.00")&amp;")")</f>
        <v>(2.16)</v>
      </c>
      <c r="E92" s="8" t="str">
        <f aca="false">IF('Estimates-split'!AF21="","(n/a)","("&amp;TEXT('Estimates-split'!AF21,"0.00")&amp;")")</f>
        <v>(0.62)</v>
      </c>
    </row>
    <row r="93" customFormat="false" ht="15" hidden="false" customHeight="false" outlineLevel="0" collapsed="false">
      <c r="A93" s="7" t="s">
        <v>26</v>
      </c>
      <c r="C93" s="8" t="str">
        <f aca="false">TEXT('Estimates-split'!V22,"0.000")&amp;IF('Estimates-split'!Y22="","",IF('Estimates-split'!Y22&lt;0.01,"***",IF('Estimates-split'!Y22&lt;0.05,"**",IF('Estimates-split'!Y22&lt;0.1,"*",""))))</f>
        <v>0.232</v>
      </c>
      <c r="D93" s="8" t="str">
        <f aca="false">TEXT('Estimates-split'!Z22,"0.000")&amp;IF('Estimates-split'!AC22="","",IF('Estimates-split'!AC22&lt;0.01,"***",IF('Estimates-split'!AC22&lt;0.05,"**",IF('Estimates-split'!AC22&lt;0.1,"*",""))))</f>
        <v>-3.254***</v>
      </c>
      <c r="E93" s="8" t="str">
        <f aca="false">TEXT('Estimates-split'!AD22,"0.000")&amp;IF('Estimates-split'!AG22="","",IF('Estimates-split'!AG22&lt;0.01,"***",IF('Estimates-split'!AG22&lt;0.05,"**",IF('Estimates-split'!AG22&lt;0.1,"*",""))))</f>
        <v>-1.875**</v>
      </c>
    </row>
    <row r="94" customFormat="false" ht="15" hidden="false" customHeight="false" outlineLevel="0" collapsed="false">
      <c r="C94" s="8" t="str">
        <f aca="false">IF('Estimates-split'!X22="","(n/a)","("&amp;TEXT('Estimates-split'!X22,"0.00")&amp;")")</f>
        <v>(1.21)</v>
      </c>
      <c r="D94" s="8" t="str">
        <f aca="false">IF('Estimates-split'!AB22="","(n/a)","("&amp;TEXT('Estimates-split'!AB22,"0.00")&amp;")")</f>
        <v>(-3.50)</v>
      </c>
      <c r="E94" s="8" t="str">
        <f aca="false">IF('Estimates-split'!AF22="","(n/a)","("&amp;TEXT('Estimates-split'!AF22,"0.00")&amp;")")</f>
        <v>(-2.19)</v>
      </c>
    </row>
    <row r="95" customFormat="false" ht="15" hidden="false" customHeight="false" outlineLevel="0" collapsed="false">
      <c r="A95" s="7" t="s">
        <v>27</v>
      </c>
      <c r="C95" s="8" t="str">
        <f aca="false">TEXT('Estimates-split'!V23,"0.000")&amp;IF('Estimates-split'!Y23="","",IF('Estimates-split'!Y23&lt;0.01,"***",IF('Estimates-split'!Y23&lt;0.05,"**",IF('Estimates-split'!Y23&lt;0.1,"*",""))))</f>
        <v>0.385</v>
      </c>
      <c r="D95" s="8" t="str">
        <f aca="false">TEXT('Estimates-split'!Z23,"0.000")&amp;IF('Estimates-split'!AC23="","",IF('Estimates-split'!AC23&lt;0.01,"***",IF('Estimates-split'!AC23&lt;0.05,"**",IF('Estimates-split'!AC23&lt;0.1,"*",""))))</f>
        <v>-0.129</v>
      </c>
      <c r="E95" s="8" t="str">
        <f aca="false">TEXT('Estimates-split'!AD23,"0.000")&amp;IF('Estimates-split'!AG23="","",IF('Estimates-split'!AG23&lt;0.01,"***",IF('Estimates-split'!AG23&lt;0.05,"**",IF('Estimates-split'!AG23&lt;0.1,"*",""))))</f>
        <v>-0.689</v>
      </c>
    </row>
    <row r="96" customFormat="false" ht="15" hidden="false" customHeight="false" outlineLevel="0" collapsed="false">
      <c r="C96" s="8" t="str">
        <f aca="false">IF('Estimates-split'!X23="","(n/a)","("&amp;TEXT('Estimates-split'!X23,"0.00")&amp;")")</f>
        <v>(0.83)</v>
      </c>
      <c r="D96" s="8" t="str">
        <f aca="false">IF('Estimates-split'!AB23="","(n/a)","("&amp;TEXT('Estimates-split'!AB23,"0.00")&amp;")")</f>
        <v>(-0.08)</v>
      </c>
      <c r="E96" s="8" t="str">
        <f aca="false">IF('Estimates-split'!AF23="","(n/a)","("&amp;TEXT('Estimates-split'!AF23,"0.00")&amp;")")</f>
        <v>(-0.47)</v>
      </c>
    </row>
    <row r="98" customFormat="false" ht="15" hidden="false" customHeight="false" outlineLevel="0" collapsed="false">
      <c r="A98" s="7" t="s">
        <v>28</v>
      </c>
      <c r="B98" s="9" t="n">
        <f aca="false">'Estimates-split'!R26</f>
        <v>1240</v>
      </c>
      <c r="C98" s="9" t="n">
        <f aca="false">'Estimates-split'!V26</f>
        <v>1072</v>
      </c>
      <c r="D98" s="9" t="n">
        <f aca="false">'Estimates-split'!Z26</f>
        <v>1069</v>
      </c>
      <c r="E98" s="9" t="n">
        <f aca="false">'Estimates-split'!AD26</f>
        <v>1069</v>
      </c>
    </row>
    <row r="99" customFormat="false" ht="15" hidden="false" customHeight="false" outlineLevel="0" collapsed="false">
      <c r="A99" s="7" t="s">
        <v>29</v>
      </c>
      <c r="B99" s="10" t="n">
        <f aca="false">'Estimates-split'!R29</f>
        <v>0.137788735832478</v>
      </c>
      <c r="C99" s="10" t="n">
        <f aca="false">'Estimates-split'!V29</f>
        <v>0.12487805749188</v>
      </c>
      <c r="D99" s="10" t="n">
        <f aca="false">'Estimates-split'!Z29</f>
        <v>0.0126046929722075</v>
      </c>
      <c r="E99" s="10" t="n">
        <f aca="false">'Estimates-split'!AD29</f>
        <v>0.109733285172217</v>
      </c>
    </row>
    <row r="100" customFormat="false" ht="15" hidden="false" customHeight="false" outlineLevel="0" collapsed="false">
      <c r="A100" s="7" t="s">
        <v>30</v>
      </c>
      <c r="B100" s="11" t="s">
        <v>31</v>
      </c>
      <c r="C100" s="11" t="s">
        <v>31</v>
      </c>
      <c r="D100" s="11" t="s">
        <v>32</v>
      </c>
      <c r="E100" s="11" t="s">
        <v>32</v>
      </c>
    </row>
    <row r="101" customFormat="false" ht="15" hidden="false" customHeight="false" outlineLevel="0" collapsed="false">
      <c r="A101" s="7" t="s">
        <v>33</v>
      </c>
      <c r="B101" s="11" t="s">
        <v>32</v>
      </c>
      <c r="C101" s="11" t="s">
        <v>32</v>
      </c>
      <c r="D101" s="11" t="s">
        <v>31</v>
      </c>
      <c r="E101" s="11" t="s">
        <v>32</v>
      </c>
    </row>
    <row r="102" customFormat="false" ht="15" hidden="false" customHeight="false" outlineLevel="0" collapsed="false">
      <c r="A102" s="12" t="s">
        <v>34</v>
      </c>
      <c r="B102" s="13" t="n">
        <f aca="false">'Estimates-split'!U24</f>
        <v>0.0953512083372153</v>
      </c>
      <c r="C102" s="13" t="n">
        <f aca="false">'Estimates-split'!Y24</f>
        <v>0.128919557266808</v>
      </c>
      <c r="D102" s="13" t="n">
        <f aca="false">'Estimates-split'!AC24</f>
        <v>0.215204219300812</v>
      </c>
      <c r="E102" s="13" t="n">
        <f aca="false">'Estimates-split'!AG24</f>
        <v>0.117340066441959</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s>
  <sheetData>
    <row r="1" customFormat="false" ht="15" hidden="false" customHeight="false" outlineLevel="0" collapsed="false">
      <c r="A1" s="1" t="s">
        <v>37</v>
      </c>
    </row>
    <row r="2" customFormat="false" ht="135" hidden="false" customHeight="true" outlineLevel="0" collapsed="false">
      <c r="A2" s="2" t="s">
        <v>38</v>
      </c>
      <c r="B2" s="2"/>
      <c r="C2" s="2"/>
      <c r="D2" s="2"/>
      <c r="E2" s="2"/>
    </row>
    <row r="4" customFormat="false" ht="15" hidden="false" customHeight="false" outlineLevel="0" collapsed="false">
      <c r="A4" s="3"/>
      <c r="B4" s="4" t="s">
        <v>3</v>
      </c>
      <c r="C4" s="4" t="s">
        <v>4</v>
      </c>
      <c r="D4" s="4" t="s">
        <v>5</v>
      </c>
      <c r="E4" s="4" t="s">
        <v>6</v>
      </c>
    </row>
    <row r="5" customFormat="false" ht="15" hidden="false" customHeight="false" outlineLevel="0" collapsed="false">
      <c r="A5" s="5"/>
      <c r="B5" s="6" t="s">
        <v>39</v>
      </c>
      <c r="C5" s="6" t="s">
        <v>39</v>
      </c>
      <c r="D5" s="6" t="s">
        <v>39</v>
      </c>
      <c r="E5" s="6" t="s">
        <v>39</v>
      </c>
    </row>
    <row r="6" customFormat="false" ht="15" hidden="false" customHeight="false" outlineLevel="0" collapsed="false">
      <c r="A6" s="7" t="s">
        <v>8</v>
      </c>
      <c r="B6" s="8" t="str">
        <f aca="false">TEXT('Estimates-split'!AH4,"0.000")&amp;IF('Estimates-split'!AK4="","",IF('Estimates-split'!AK4&lt;0.01,"***",IF('Estimates-split'!AK4&lt;0.05,"**",IF('Estimates-split'!AK4&lt;0.1,"*",""))))</f>
        <v>-0.045</v>
      </c>
      <c r="C6" s="8" t="str">
        <f aca="false">TEXT('Estimates-split'!AL4,"0.000")&amp;IF('Estimates-split'!AO4="","",IF('Estimates-split'!AO4&lt;0.01,"***",IF('Estimates-split'!AO4&lt;0.05,"**",IF('Estimates-split'!AO4&lt;0.1,"*",""))))</f>
        <v>-0.028</v>
      </c>
      <c r="D6" s="8" t="str">
        <f aca="false">TEXT('Estimates-split'!AP4,"0.000")&amp;IF('Estimates-split'!AS4="","",IF('Estimates-split'!AS4&lt;0.01,"***",IF('Estimates-split'!AS4&lt;0.05,"**",IF('Estimates-split'!AS4&lt;0.1,"*",""))))</f>
        <v>0.039</v>
      </c>
      <c r="E6" s="8" t="str">
        <f aca="false">TEXT('Estimates-split'!AT4,"0.000")&amp;IF('Estimates-split'!AW4="","",IF('Estimates-split'!AW4&lt;0.01,"***",IF('Estimates-split'!AW4&lt;0.05,"**",IF('Estimates-split'!AW4&lt;0.1,"*",""))))</f>
        <v>0.037</v>
      </c>
    </row>
    <row r="7" customFormat="false" ht="15" hidden="false" customHeight="false" outlineLevel="0" collapsed="false">
      <c r="B7" s="8" t="str">
        <f aca="false">IF('Estimates-split'!AJ4="","(n/a)","("&amp;TEXT('Estimates-split'!AJ4,"0.00")&amp;")")</f>
        <v>(-1.30)</v>
      </c>
      <c r="C7" s="8" t="str">
        <f aca="false">IF('Estimates-split'!AN4="","(n/a)","("&amp;TEXT('Estimates-split'!AN4,"0.00")&amp;")")</f>
        <v>(-0.62)</v>
      </c>
      <c r="D7" s="8" t="str">
        <f aca="false">IF('Estimates-split'!AR4="","(n/a)","("&amp;TEXT('Estimates-split'!AR4,"0.00")&amp;")")</f>
        <v>(0.71)</v>
      </c>
      <c r="E7" s="8" t="str">
        <f aca="false">IF('Estimates-split'!AV4="","(n/a)","("&amp;TEXT('Estimates-split'!AV4,"0.00")&amp;")")</f>
        <v>(0.67)</v>
      </c>
    </row>
    <row r="8" customFormat="false" ht="15" hidden="false" customHeight="false" outlineLevel="0" collapsed="false">
      <c r="A8" s="7" t="s">
        <v>9</v>
      </c>
      <c r="B8" s="8" t="str">
        <f aca="false">TEXT('Estimates-split'!AH5,"0.000")&amp;IF('Estimates-split'!AK5="","",IF('Estimates-split'!AK5&lt;0.01,"***",IF('Estimates-split'!AK5&lt;0.05,"**",IF('Estimates-split'!AK5&lt;0.1,"*",""))))</f>
        <v>-0.047</v>
      </c>
      <c r="C8" s="8" t="str">
        <f aca="false">TEXT('Estimates-split'!AL5,"0.000")&amp;IF('Estimates-split'!AO5="","",IF('Estimates-split'!AO5&lt;0.01,"***",IF('Estimates-split'!AO5&lt;0.05,"**",IF('Estimates-split'!AO5&lt;0.1,"*",""))))</f>
        <v>-0.035</v>
      </c>
      <c r="D8" s="8" t="str">
        <f aca="false">TEXT('Estimates-split'!AP5,"0.000")&amp;IF('Estimates-split'!AS5="","",IF('Estimates-split'!AS5&lt;0.01,"***",IF('Estimates-split'!AS5&lt;0.05,"**",IF('Estimates-split'!AS5&lt;0.1,"*",""))))</f>
        <v>0.031</v>
      </c>
      <c r="E8" s="8" t="str">
        <f aca="false">TEXT('Estimates-split'!AT5,"0.000")&amp;IF('Estimates-split'!AW5="","",IF('Estimates-split'!AW5&lt;0.01,"***",IF('Estimates-split'!AW5&lt;0.05,"**",IF('Estimates-split'!AW5&lt;0.1,"*",""))))</f>
        <v>0.028</v>
      </c>
    </row>
    <row r="9" customFormat="false" ht="15" hidden="false" customHeight="false" outlineLevel="0" collapsed="false">
      <c r="B9" s="8" t="str">
        <f aca="false">IF('Estimates-split'!AJ5="","(n/a)","("&amp;TEXT('Estimates-split'!AJ5,"0.00")&amp;")")</f>
        <v>(-1.17)</v>
      </c>
      <c r="C9" s="8" t="str">
        <f aca="false">IF('Estimates-split'!AN5="","(n/a)","("&amp;TEXT('Estimates-split'!AN5,"0.00")&amp;")")</f>
        <v>(-0.90)</v>
      </c>
      <c r="D9" s="8" t="str">
        <f aca="false">IF('Estimates-split'!AR5="","(n/a)","("&amp;TEXT('Estimates-split'!AR5,"0.00")&amp;")")</f>
        <v>(0.53)</v>
      </c>
      <c r="E9" s="8" t="str">
        <f aca="false">IF('Estimates-split'!AV5="","(n/a)","("&amp;TEXT('Estimates-split'!AV5,"0.00")&amp;")")</f>
        <v>(0.50)</v>
      </c>
    </row>
    <row r="10" customFormat="false" ht="15" hidden="false" customHeight="false" outlineLevel="0" collapsed="false">
      <c r="A10" s="7" t="s">
        <v>10</v>
      </c>
      <c r="B10" s="8" t="str">
        <f aca="false">TEXT('Estimates-split'!AH6,"0.000")&amp;IF('Estimates-split'!AK6="","",IF('Estimates-split'!AK6&lt;0.01,"***",IF('Estimates-split'!AK6&lt;0.05,"**",IF('Estimates-split'!AK6&lt;0.1,"*",""))))</f>
        <v>0.000</v>
      </c>
      <c r="C10" s="8" t="str">
        <f aca="false">TEXT('Estimates-split'!AL6,"0.000")&amp;IF('Estimates-split'!AO6="","",IF('Estimates-split'!AO6&lt;0.01,"***",IF('Estimates-split'!AO6&lt;0.05,"**",IF('Estimates-split'!AO6&lt;0.1,"*",""))))</f>
        <v>0.000</v>
      </c>
      <c r="D10" s="8" t="str">
        <f aca="false">TEXT('Estimates-split'!AP6,"0.000")&amp;IF('Estimates-split'!AS6="","",IF('Estimates-split'!AS6&lt;0.01,"***",IF('Estimates-split'!AS6&lt;0.05,"**",IF('Estimates-split'!AS6&lt;0.1,"*",""))))</f>
        <v>-0.001</v>
      </c>
      <c r="E10" s="8" t="str">
        <f aca="false">TEXT('Estimates-split'!AT6,"0.000")&amp;IF('Estimates-split'!AW6="","",IF('Estimates-split'!AW6&lt;0.01,"***",IF('Estimates-split'!AW6&lt;0.05,"**",IF('Estimates-split'!AW6&lt;0.1,"*",""))))</f>
        <v>-0.001**</v>
      </c>
    </row>
    <row r="11" customFormat="false" ht="15" hidden="false" customHeight="false" outlineLevel="0" collapsed="false">
      <c r="B11" s="8" t="str">
        <f aca="false">IF('Estimates-split'!AJ6="","(n/a)","("&amp;TEXT('Estimates-split'!AJ6,"0.00")&amp;")")</f>
        <v>(-0.40)</v>
      </c>
      <c r="C11" s="8" t="str">
        <f aca="false">IF('Estimates-split'!AN6="","(n/a)","("&amp;TEXT('Estimates-split'!AN6,"0.00")&amp;")")</f>
        <v>(-0.56)</v>
      </c>
      <c r="D11" s="8" t="str">
        <f aca="false">IF('Estimates-split'!AR6="","(n/a)","("&amp;TEXT('Estimates-split'!AR6,"0.00")&amp;")")</f>
        <v>(-1.20)</v>
      </c>
      <c r="E11" s="8" t="str">
        <f aca="false">IF('Estimates-split'!AV6="","(n/a)","("&amp;TEXT('Estimates-split'!AV6,"0.00")&amp;")")</f>
        <v>(-2.39)</v>
      </c>
    </row>
    <row r="12" customFormat="false" ht="15" hidden="false" customHeight="false" outlineLevel="0" collapsed="false">
      <c r="A12" s="7" t="s">
        <v>11</v>
      </c>
      <c r="B12" s="8" t="str">
        <f aca="false">TEXT('Estimates-split'!AH7,"0.000")&amp;IF('Estimates-split'!AK7="","",IF('Estimates-split'!AK7&lt;0.01,"***",IF('Estimates-split'!AK7&lt;0.05,"**",IF('Estimates-split'!AK7&lt;0.1,"*",""))))</f>
        <v>-0.022</v>
      </c>
      <c r="C12" s="8" t="str">
        <f aca="false">TEXT('Estimates-split'!AL7,"0.000")&amp;IF('Estimates-split'!AO7="","",IF('Estimates-split'!AO7&lt;0.01,"***",IF('Estimates-split'!AO7&lt;0.05,"**",IF('Estimates-split'!AO7&lt;0.1,"*",""))))</f>
        <v>-0.019</v>
      </c>
      <c r="D12" s="8" t="str">
        <f aca="false">TEXT('Estimates-split'!AP7,"0.000")&amp;IF('Estimates-split'!AS7="","",IF('Estimates-split'!AS7&lt;0.01,"***",IF('Estimates-split'!AS7&lt;0.05,"**",IF('Estimates-split'!AS7&lt;0.1,"*",""))))</f>
        <v>0.008</v>
      </c>
      <c r="E12" s="8" t="str">
        <f aca="false">TEXT('Estimates-split'!AT7,"0.000")&amp;IF('Estimates-split'!AW7="","",IF('Estimates-split'!AW7&lt;0.01,"***",IF('Estimates-split'!AW7&lt;0.05,"**",IF('Estimates-split'!AW7&lt;0.1,"*",""))))</f>
        <v>0.042</v>
      </c>
    </row>
    <row r="13" customFormat="false" ht="15" hidden="false" customHeight="false" outlineLevel="0" collapsed="false">
      <c r="B13" s="8" t="str">
        <f aca="false">IF('Estimates-split'!AJ7="","(n/a)","("&amp;TEXT('Estimates-split'!AJ7,"0.00")&amp;")")</f>
        <v>(-1.62)</v>
      </c>
      <c r="C13" s="8" t="str">
        <f aca="false">IF('Estimates-split'!AN7="","(n/a)","("&amp;TEXT('Estimates-split'!AN7,"0.00")&amp;")")</f>
        <v>(-1.32)</v>
      </c>
      <c r="D13" s="8" t="str">
        <f aca="false">IF('Estimates-split'!AR7="","(n/a)","("&amp;TEXT('Estimates-split'!AR7,"0.00")&amp;")")</f>
        <v>(0.16)</v>
      </c>
      <c r="E13" s="8" t="str">
        <f aca="false">IF('Estimates-split'!AV7="","(n/a)","("&amp;TEXT('Estimates-split'!AV7,"0.00")&amp;")")</f>
        <v>(0.41)</v>
      </c>
    </row>
    <row r="14" customFormat="false" ht="15" hidden="false" customHeight="false" outlineLevel="0" collapsed="false">
      <c r="A14" s="7" t="s">
        <v>12</v>
      </c>
      <c r="B14" s="8" t="str">
        <f aca="false">TEXT('Estimates-split'!AH8,"0.000")&amp;IF('Estimates-split'!AK8="","",IF('Estimates-split'!AK8&lt;0.01,"***",IF('Estimates-split'!AK8&lt;0.05,"**",IF('Estimates-split'!AK8&lt;0.1,"*",""))))</f>
        <v>-0.001</v>
      </c>
      <c r="C14" s="8" t="str">
        <f aca="false">TEXT('Estimates-split'!AL8,"0.000")&amp;IF('Estimates-split'!AO8="","",IF('Estimates-split'!AO8&lt;0.01,"***",IF('Estimates-split'!AO8&lt;0.05,"**",IF('Estimates-split'!AO8&lt;0.1,"*",""))))</f>
        <v>-0.001</v>
      </c>
      <c r="D14" s="8" t="str">
        <f aca="false">TEXT('Estimates-split'!AP8,"0.000")&amp;IF('Estimates-split'!AS8="","",IF('Estimates-split'!AS8&lt;0.01,"***",IF('Estimates-split'!AS8&lt;0.05,"**",IF('Estimates-split'!AS8&lt;0.1,"*",""))))</f>
        <v>-0.001</v>
      </c>
      <c r="E14" s="8" t="str">
        <f aca="false">TEXT('Estimates-split'!AT8,"0.000")&amp;IF('Estimates-split'!AW8="","",IF('Estimates-split'!AW8&lt;0.01,"***",IF('Estimates-split'!AW8&lt;0.05,"**",IF('Estimates-split'!AW8&lt;0.1,"*",""))))</f>
        <v>-0.002**</v>
      </c>
    </row>
    <row r="15" customFormat="false" ht="15" hidden="false" customHeight="false" outlineLevel="0" collapsed="false">
      <c r="B15" s="8" t="str">
        <f aca="false">IF('Estimates-split'!AJ8="","(n/a)","("&amp;TEXT('Estimates-split'!AJ8,"0.00")&amp;")")</f>
        <v>(-0.94)</v>
      </c>
      <c r="C15" s="8" t="str">
        <f aca="false">IF('Estimates-split'!AN8="","(n/a)","("&amp;TEXT('Estimates-split'!AN8,"0.00")&amp;")")</f>
        <v>(-1.18)</v>
      </c>
      <c r="D15" s="8" t="str">
        <f aca="false">IF('Estimates-split'!AR8="","(n/a)","("&amp;TEXT('Estimates-split'!AR8,"0.00")&amp;")")</f>
        <v>(-1.14)</v>
      </c>
      <c r="E15" s="8" t="str">
        <f aca="false">IF('Estimates-split'!AV8="","(n/a)","("&amp;TEXT('Estimates-split'!AV8,"0.00")&amp;")")</f>
        <v>(-2.38)</v>
      </c>
    </row>
    <row r="16" customFormat="false" ht="15" hidden="false" customHeight="false" outlineLevel="0" collapsed="false">
      <c r="A16" s="7" t="s">
        <v>13</v>
      </c>
      <c r="B16" s="8" t="str">
        <f aca="false">TEXT('Estimates-split'!AH9,"0.000")&amp;IF('Estimates-split'!AK9="","",IF('Estimates-split'!AK9&lt;0.01,"***",IF('Estimates-split'!AK9&lt;0.05,"**",IF('Estimates-split'!AK9&lt;0.1,"*",""))))</f>
        <v>-0.039</v>
      </c>
      <c r="C16" s="8" t="str">
        <f aca="false">TEXT('Estimates-split'!AL9,"0.000")&amp;IF('Estimates-split'!AO9="","",IF('Estimates-split'!AO9&lt;0.01,"***",IF('Estimates-split'!AO9&lt;0.05,"**",IF('Estimates-split'!AO9&lt;0.1,"*",""))))</f>
        <v>-0.082</v>
      </c>
      <c r="D16" s="8" t="str">
        <f aca="false">TEXT('Estimates-split'!AP9,"0.000")&amp;IF('Estimates-split'!AS9="","",IF('Estimates-split'!AS9&lt;0.01,"***",IF('Estimates-split'!AS9&lt;0.05,"**",IF('Estimates-split'!AS9&lt;0.1,"*",""))))</f>
        <v>-0.085</v>
      </c>
      <c r="E16" s="8" t="str">
        <f aca="false">TEXT('Estimates-split'!AT9,"0.000")&amp;IF('Estimates-split'!AW9="","",IF('Estimates-split'!AW9&lt;0.01,"***",IF('Estimates-split'!AW9&lt;0.05,"**",IF('Estimates-split'!AW9&lt;0.1,"*",""))))</f>
        <v>-0.086</v>
      </c>
    </row>
    <row r="17" customFormat="false" ht="15" hidden="false" customHeight="false" outlineLevel="0" collapsed="false">
      <c r="B17" s="8" t="str">
        <f aca="false">IF('Estimates-split'!AJ9="","(n/a)","("&amp;TEXT('Estimates-split'!AJ9,"0.00")&amp;")")</f>
        <v>(-1.12)</v>
      </c>
      <c r="C17" s="8" t="str">
        <f aca="false">IF('Estimates-split'!AN9="","(n/a)","("&amp;TEXT('Estimates-split'!AN9,"0.00")&amp;")")</f>
        <v>(-1.19)</v>
      </c>
      <c r="D17" s="8" t="str">
        <f aca="false">IF('Estimates-split'!AR9="","(n/a)","("&amp;TEXT('Estimates-split'!AR9,"0.00")&amp;")")</f>
        <v>(-1.44)</v>
      </c>
      <c r="E17" s="8" t="str">
        <f aca="false">IF('Estimates-split'!AV9="","(n/a)","("&amp;TEXT('Estimates-split'!AV9,"0.00")&amp;")")</f>
        <v>(-1.55)</v>
      </c>
    </row>
    <row r="18" customFormat="false" ht="15" hidden="false" customHeight="false" outlineLevel="0" collapsed="false">
      <c r="A18" s="7" t="s">
        <v>14</v>
      </c>
      <c r="B18" s="8" t="str">
        <f aca="false">TEXT('Estimates-split'!AH10,"0.000")&amp;IF('Estimates-split'!AK10="","",IF('Estimates-split'!AK10&lt;0.01,"***",IF('Estimates-split'!AK10&lt;0.05,"**",IF('Estimates-split'!AK10&lt;0.1,"*",""))))</f>
        <v>-0.043</v>
      </c>
      <c r="C18" s="8" t="str">
        <f aca="false">TEXT('Estimates-split'!AL10,"0.000")&amp;IF('Estimates-split'!AO10="","",IF('Estimates-split'!AO10&lt;0.01,"***",IF('Estimates-split'!AO10&lt;0.05,"**",IF('Estimates-split'!AO10&lt;0.1,"*",""))))</f>
        <v>-0.087</v>
      </c>
      <c r="D18" s="8" t="str">
        <f aca="false">TEXT('Estimates-split'!AP10,"0.000")&amp;IF('Estimates-split'!AS10="","",IF('Estimates-split'!AS10&lt;0.01,"***",IF('Estimates-split'!AS10&lt;0.05,"**",IF('Estimates-split'!AS10&lt;0.1,"*",""))))</f>
        <v>-0.090</v>
      </c>
      <c r="E18" s="8" t="str">
        <f aca="false">TEXT('Estimates-split'!AT10,"0.000")&amp;IF('Estimates-split'!AW10="","",IF('Estimates-split'!AW10&lt;0.01,"***",IF('Estimates-split'!AW10&lt;0.05,"**",IF('Estimates-split'!AW10&lt;0.1,"*",""))))</f>
        <v>-0.091</v>
      </c>
    </row>
    <row r="19" customFormat="false" ht="15" hidden="false" customHeight="false" outlineLevel="0" collapsed="false">
      <c r="B19" s="8" t="str">
        <f aca="false">IF('Estimates-split'!AJ10="","(n/a)","("&amp;TEXT('Estimates-split'!AJ10,"0.00")&amp;")")</f>
        <v>(-1.23)</v>
      </c>
      <c r="C19" s="8" t="str">
        <f aca="false">IF('Estimates-split'!AN10="","(n/a)","("&amp;TEXT('Estimates-split'!AN10,"0.00")&amp;")")</f>
        <v>(-1.25)</v>
      </c>
      <c r="D19" s="8" t="str">
        <f aca="false">IF('Estimates-split'!AR10="","(n/a)","("&amp;TEXT('Estimates-split'!AR10,"0.00")&amp;")")</f>
        <v>(-1.52)</v>
      </c>
      <c r="E19" s="8" t="str">
        <f aca="false">IF('Estimates-split'!AV10="","(n/a)","("&amp;TEXT('Estimates-split'!AV10,"0.00")&amp;")")</f>
        <v>(-1.64)</v>
      </c>
    </row>
    <row r="20" customFormat="false" ht="15" hidden="false" customHeight="false" outlineLevel="0" collapsed="false">
      <c r="A20" s="7" t="s">
        <v>15</v>
      </c>
      <c r="B20" s="8" t="str">
        <f aca="false">TEXT('Estimates-split'!AH11,"0.000")&amp;IF('Estimates-split'!AK11="","",IF('Estimates-split'!AK11&lt;0.01,"***",IF('Estimates-split'!AK11&lt;0.05,"**",IF('Estimates-split'!AK11&lt;0.1,"*",""))))</f>
        <v>-0.032</v>
      </c>
      <c r="C20" s="8" t="str">
        <f aca="false">TEXT('Estimates-split'!AL11,"0.000")&amp;IF('Estimates-split'!AO11="","",IF('Estimates-split'!AO11&lt;0.01,"***",IF('Estimates-split'!AO11&lt;0.05,"**",IF('Estimates-split'!AO11&lt;0.1,"*",""))))</f>
        <v>-0.075</v>
      </c>
      <c r="D20" s="8" t="str">
        <f aca="false">TEXT('Estimates-split'!AP11,"0.000")&amp;IF('Estimates-split'!AS11="","",IF('Estimates-split'!AS11&lt;0.01,"***",IF('Estimates-split'!AS11&lt;0.05,"**",IF('Estimates-split'!AS11&lt;0.1,"*",""))))</f>
        <v>-0.085</v>
      </c>
      <c r="E20" s="8" t="str">
        <f aca="false">TEXT('Estimates-split'!AT11,"0.000")&amp;IF('Estimates-split'!AW11="","",IF('Estimates-split'!AW11&lt;0.01,"***",IF('Estimates-split'!AW11&lt;0.05,"**",IF('Estimates-split'!AW11&lt;0.1,"*",""))))</f>
        <v>-0.087</v>
      </c>
    </row>
    <row r="21" customFormat="false" ht="15" hidden="false" customHeight="false" outlineLevel="0" collapsed="false">
      <c r="B21" s="8" t="str">
        <f aca="false">IF('Estimates-split'!AJ11="","(n/a)","("&amp;TEXT('Estimates-split'!AJ11,"0.00")&amp;")")</f>
        <v>(-0.90)</v>
      </c>
      <c r="C21" s="8" t="str">
        <f aca="false">IF('Estimates-split'!AN11="","(n/a)","("&amp;TEXT('Estimates-split'!AN11,"0.00")&amp;")")</f>
        <v>(-1.08)</v>
      </c>
      <c r="D21" s="8" t="str">
        <f aca="false">IF('Estimates-split'!AR11="","(n/a)","("&amp;TEXT('Estimates-split'!AR11,"0.00")&amp;")")</f>
        <v>(-1.45)</v>
      </c>
      <c r="E21" s="8" t="str">
        <f aca="false">IF('Estimates-split'!AV11="","(n/a)","("&amp;TEXT('Estimates-split'!AV11,"0.00")&amp;")")</f>
        <v>(-1.59)</v>
      </c>
    </row>
    <row r="22" customFormat="false" ht="15" hidden="false" customHeight="false" outlineLevel="0" collapsed="false">
      <c r="A22" s="7" t="s">
        <v>16</v>
      </c>
      <c r="B22" s="8" t="str">
        <f aca="false">TEXT('Estimates-split'!AH12,"0.000")&amp;IF('Estimates-split'!AK12="","",IF('Estimates-split'!AK12&lt;0.01,"***",IF('Estimates-split'!AK12&lt;0.05,"**",IF('Estimates-split'!AK12&lt;0.1,"*",""))))</f>
        <v>-0.034</v>
      </c>
      <c r="C22" s="8" t="str">
        <f aca="false">TEXT('Estimates-split'!AL12,"0.000")&amp;IF('Estimates-split'!AO12="","",IF('Estimates-split'!AO12&lt;0.01,"***",IF('Estimates-split'!AO12&lt;0.05,"**",IF('Estimates-split'!AO12&lt;0.1,"*",""))))</f>
        <v>-0.077</v>
      </c>
      <c r="D22" s="8" t="str">
        <f aca="false">TEXT('Estimates-split'!AP12,"0.000")&amp;IF('Estimates-split'!AS12="","",IF('Estimates-split'!AS12&lt;0.01,"***",IF('Estimates-split'!AS12&lt;0.05,"**",IF('Estimates-split'!AS12&lt;0.1,"*",""))))</f>
        <v>-0.067</v>
      </c>
      <c r="E22" s="8" t="str">
        <f aca="false">TEXT('Estimates-split'!AT12,"0.000")&amp;IF('Estimates-split'!AW12="","",IF('Estimates-split'!AW12&lt;0.01,"***",IF('Estimates-split'!AW12&lt;0.05,"**",IF('Estimates-split'!AW12&lt;0.1,"*",""))))</f>
        <v>-0.065</v>
      </c>
    </row>
    <row r="23" customFormat="false" ht="15" hidden="false" customHeight="false" outlineLevel="0" collapsed="false">
      <c r="B23" s="8" t="str">
        <f aca="false">IF('Estimates-split'!AJ12="","(n/a)","("&amp;TEXT('Estimates-split'!AJ12,"0.00")&amp;")")</f>
        <v>(-0.98)</v>
      </c>
      <c r="C23" s="8" t="str">
        <f aca="false">IF('Estimates-split'!AN12="","(n/a)","("&amp;TEXT('Estimates-split'!AN12,"0.00")&amp;")")</f>
        <v>(-1.11)</v>
      </c>
      <c r="D23" s="8" t="str">
        <f aca="false">IF('Estimates-split'!AR12="","(n/a)","("&amp;TEXT('Estimates-split'!AR12,"0.00")&amp;")")</f>
        <v>(-1.13)</v>
      </c>
      <c r="E23" s="8" t="str">
        <f aca="false">IF('Estimates-split'!AV12="","(n/a)","("&amp;TEXT('Estimates-split'!AV12,"0.00")&amp;")")</f>
        <v>(-1.16)</v>
      </c>
    </row>
    <row r="24" customFormat="false" ht="15" hidden="false" customHeight="false" outlineLevel="0" collapsed="false">
      <c r="A24" s="7" t="s">
        <v>17</v>
      </c>
      <c r="B24" s="8" t="str">
        <f aca="false">TEXT('Estimates-split'!AH13,"0.000")&amp;IF('Estimates-split'!AK13="","",IF('Estimates-split'!AK13&lt;0.01,"***",IF('Estimates-split'!AK13&lt;0.05,"**",IF('Estimates-split'!AK13&lt;0.1,"*",""))))</f>
        <v>-0.022</v>
      </c>
      <c r="C24" s="8" t="str">
        <f aca="false">TEXT('Estimates-split'!AL13,"0.000")&amp;IF('Estimates-split'!AO13="","",IF('Estimates-split'!AO13&lt;0.01,"***",IF('Estimates-split'!AO13&lt;0.05,"**",IF('Estimates-split'!AO13&lt;0.1,"*",""))))</f>
        <v>-0.064</v>
      </c>
      <c r="D24" s="8" t="str">
        <f aca="false">TEXT('Estimates-split'!AP13,"0.000")&amp;IF('Estimates-split'!AS13="","",IF('Estimates-split'!AS13&lt;0.01,"***",IF('Estimates-split'!AS13&lt;0.05,"**",IF('Estimates-split'!AS13&lt;0.1,"*",""))))</f>
        <v>-0.069</v>
      </c>
      <c r="E24" s="8" t="str">
        <f aca="false">TEXT('Estimates-split'!AT13,"0.000")&amp;IF('Estimates-split'!AW13="","",IF('Estimates-split'!AW13&lt;0.01,"***",IF('Estimates-split'!AW13&lt;0.05,"**",IF('Estimates-split'!AW13&lt;0.1,"*",""))))</f>
        <v>-0.069</v>
      </c>
    </row>
    <row r="25" customFormat="false" ht="15" hidden="false" customHeight="false" outlineLevel="0" collapsed="false">
      <c r="B25" s="8" t="str">
        <f aca="false">IF('Estimates-split'!AJ13="","(n/a)","("&amp;TEXT('Estimates-split'!AJ13,"0.00")&amp;")")</f>
        <v>(-0.62)</v>
      </c>
      <c r="C25" s="8" t="str">
        <f aca="false">IF('Estimates-split'!AN13="","(n/a)","("&amp;TEXT('Estimates-split'!AN13,"0.00")&amp;")")</f>
        <v>(-0.92)</v>
      </c>
      <c r="D25" s="8" t="str">
        <f aca="false">IF('Estimates-split'!AR13="","(n/a)","("&amp;TEXT('Estimates-split'!AR13,"0.00")&amp;")")</f>
        <v>(-1.17)</v>
      </c>
      <c r="E25" s="8" t="str">
        <f aca="false">IF('Estimates-split'!AV13="","(n/a)","("&amp;TEXT('Estimates-split'!AV13,"0.00")&amp;")")</f>
        <v>(-1.25)</v>
      </c>
    </row>
    <row r="26" customFormat="false" ht="15" hidden="false" customHeight="false" outlineLevel="0" collapsed="false">
      <c r="A26" s="7" t="s">
        <v>18</v>
      </c>
      <c r="B26" s="8" t="str">
        <f aca="false">TEXT('Estimates-split'!AH14,"0.000")&amp;IF('Estimates-split'!AK14="","",IF('Estimates-split'!AK14&lt;0.01,"***",IF('Estimates-split'!AK14&lt;0.05,"**",IF('Estimates-split'!AK14&lt;0.1,"*",""))))</f>
        <v>-0.034</v>
      </c>
      <c r="C26" s="8" t="str">
        <f aca="false">TEXT('Estimates-split'!AL14,"0.000")&amp;IF('Estimates-split'!AO14="","",IF('Estimates-split'!AO14&lt;0.01,"***",IF('Estimates-split'!AO14&lt;0.05,"**",IF('Estimates-split'!AO14&lt;0.1,"*",""))))</f>
        <v>-0.075</v>
      </c>
      <c r="D26" s="8" t="str">
        <f aca="false">TEXT('Estimates-split'!AP14,"0.000")&amp;IF('Estimates-split'!AS14="","",IF('Estimates-split'!AS14&lt;0.01,"***",IF('Estimates-split'!AS14&lt;0.05,"**",IF('Estimates-split'!AS14&lt;0.1,"*",""))))</f>
        <v>-0.074</v>
      </c>
      <c r="E26" s="8" t="str">
        <f aca="false">TEXT('Estimates-split'!AT14,"0.000")&amp;IF('Estimates-split'!AW14="","",IF('Estimates-split'!AW14&lt;0.01,"***",IF('Estimates-split'!AW14&lt;0.05,"**",IF('Estimates-split'!AW14&lt;0.1,"*",""))))</f>
        <v>-0.073</v>
      </c>
    </row>
    <row r="27" customFormat="false" ht="15" hidden="false" customHeight="false" outlineLevel="0" collapsed="false">
      <c r="B27" s="8" t="str">
        <f aca="false">IF('Estimates-split'!AJ14="","(n/a)","("&amp;TEXT('Estimates-split'!AJ14,"0.00")&amp;")")</f>
        <v>(-0.99)</v>
      </c>
      <c r="C27" s="8" t="str">
        <f aca="false">IF('Estimates-split'!AN14="","(n/a)","("&amp;TEXT('Estimates-split'!AN14,"0.00")&amp;")")</f>
        <v>(-1.10)</v>
      </c>
      <c r="D27" s="8" t="str">
        <f aca="false">IF('Estimates-split'!AR14="","(n/a)","("&amp;TEXT('Estimates-split'!AR14,"0.00")&amp;")")</f>
        <v>(-1.26)</v>
      </c>
      <c r="E27" s="8" t="str">
        <f aca="false">IF('Estimates-split'!AV14="","(n/a)","("&amp;TEXT('Estimates-split'!AV14,"0.00")&amp;")")</f>
        <v>(-1.33)</v>
      </c>
    </row>
    <row r="28" customFormat="false" ht="15" hidden="false" customHeight="false" outlineLevel="0" collapsed="false">
      <c r="A28" s="7" t="s">
        <v>19</v>
      </c>
      <c r="B28" s="8" t="str">
        <f aca="false">TEXT('Estimates-split'!AH15,"0.000")&amp;IF('Estimates-split'!AK15="","",IF('Estimates-split'!AK15&lt;0.01,"***",IF('Estimates-split'!AK15&lt;0.05,"**",IF('Estimates-split'!AK15&lt;0.1,"*",""))))</f>
        <v>-0.032</v>
      </c>
      <c r="C28" s="8" t="str">
        <f aca="false">TEXT('Estimates-split'!AL15,"0.000")&amp;IF('Estimates-split'!AO15="","",IF('Estimates-split'!AO15&lt;0.01,"***",IF('Estimates-split'!AO15&lt;0.05,"**",IF('Estimates-split'!AO15&lt;0.1,"*",""))))</f>
        <v>-0.073</v>
      </c>
      <c r="D28" s="8" t="str">
        <f aca="false">TEXT('Estimates-split'!AP15,"0.000")&amp;IF('Estimates-split'!AS15="","",IF('Estimates-split'!AS15&lt;0.01,"***",IF('Estimates-split'!AS15&lt;0.05,"**",IF('Estimates-split'!AS15&lt;0.1,"*",""))))</f>
        <v>-0.082</v>
      </c>
      <c r="E28" s="8" t="str">
        <f aca="false">TEXT('Estimates-split'!AT15,"0.000")&amp;IF('Estimates-split'!AW15="","",IF('Estimates-split'!AW15&lt;0.01,"***",IF('Estimates-split'!AW15&lt;0.05,"**",IF('Estimates-split'!AW15&lt;0.1,"*",""))))</f>
        <v>-0.083</v>
      </c>
    </row>
    <row r="29" customFormat="false" ht="15" hidden="false" customHeight="false" outlineLevel="0" collapsed="false">
      <c r="B29" s="8" t="str">
        <f aca="false">IF('Estimates-split'!AJ15="","(n/a)","("&amp;TEXT('Estimates-split'!AJ15,"0.00")&amp;")")</f>
        <v>(-0.91)</v>
      </c>
      <c r="C29" s="8" t="str">
        <f aca="false">IF('Estimates-split'!AN15="","(n/a)","("&amp;TEXT('Estimates-split'!AN15,"0.00")&amp;")")</f>
        <v>(-1.07)</v>
      </c>
      <c r="D29" s="8" t="str">
        <f aca="false">IF('Estimates-split'!AR15="","(n/a)","("&amp;TEXT('Estimates-split'!AR15,"0.00")&amp;")")</f>
        <v>(-1.41)</v>
      </c>
      <c r="E29" s="8" t="str">
        <f aca="false">IF('Estimates-split'!AV15="","(n/a)","("&amp;TEXT('Estimates-split'!AV15,"0.00")&amp;")")</f>
        <v>(-1.52)</v>
      </c>
    </row>
    <row r="30" customFormat="false" ht="15" hidden="false" customHeight="false" outlineLevel="0" collapsed="false">
      <c r="A30" s="7" t="s">
        <v>20</v>
      </c>
      <c r="B30" s="8" t="str">
        <f aca="false">TEXT('Estimates-split'!AH16,"0.000")&amp;IF('Estimates-split'!AK16="","",IF('Estimates-split'!AK16&lt;0.01,"***",IF('Estimates-split'!AK16&lt;0.05,"**",IF('Estimates-split'!AK16&lt;0.1,"*",""))))</f>
        <v>-0.036</v>
      </c>
      <c r="C30" s="8" t="str">
        <f aca="false">TEXT('Estimates-split'!AL16,"0.000")&amp;IF('Estimates-split'!AO16="","",IF('Estimates-split'!AO16&lt;0.01,"***",IF('Estimates-split'!AO16&lt;0.05,"**",IF('Estimates-split'!AO16&lt;0.1,"*",""))))</f>
        <v>-0.082</v>
      </c>
      <c r="D30" s="8" t="str">
        <f aca="false">TEXT('Estimates-split'!AP16,"0.000")&amp;IF('Estimates-split'!AS16="","",IF('Estimates-split'!AS16&lt;0.01,"***",IF('Estimates-split'!AS16&lt;0.05,"**",IF('Estimates-split'!AS16&lt;0.1,"*",""))))</f>
        <v>-0.080</v>
      </c>
      <c r="E30" s="8" t="str">
        <f aca="false">TEXT('Estimates-split'!AT16,"0.000")&amp;IF('Estimates-split'!AW16="","",IF('Estimates-split'!AW16&lt;0.01,"***",IF('Estimates-split'!AW16&lt;0.05,"**",IF('Estimates-split'!AW16&lt;0.1,"*",""))))</f>
        <v>-0.080</v>
      </c>
    </row>
    <row r="31" customFormat="false" ht="15" hidden="false" customHeight="false" outlineLevel="0" collapsed="false">
      <c r="B31" s="8" t="str">
        <f aca="false">IF('Estimates-split'!AJ16="","(n/a)","("&amp;TEXT('Estimates-split'!AJ16,"0.00")&amp;")")</f>
        <v>(-1.04)</v>
      </c>
      <c r="C31" s="8" t="str">
        <f aca="false">IF('Estimates-split'!AN16="","(n/a)","("&amp;TEXT('Estimates-split'!AN16,"0.00")&amp;")")</f>
        <v>(-1.17)</v>
      </c>
      <c r="D31" s="8" t="str">
        <f aca="false">IF('Estimates-split'!AR16="","(n/a)","("&amp;TEXT('Estimates-split'!AR16,"0.00")&amp;")")</f>
        <v>(-1.35)</v>
      </c>
      <c r="E31" s="8" t="str">
        <f aca="false">IF('Estimates-split'!AV16="","(n/a)","("&amp;TEXT('Estimates-split'!AV16,"0.00")&amp;")")</f>
        <v>(-1.44)</v>
      </c>
    </row>
    <row r="32" customFormat="false" ht="15" hidden="false" customHeight="false" outlineLevel="0" collapsed="false">
      <c r="A32" s="7" t="s">
        <v>21</v>
      </c>
      <c r="B32" s="8" t="str">
        <f aca="false">TEXT('Estimates-split'!AH17,"0.000")&amp;IF('Estimates-split'!AK17="","",IF('Estimates-split'!AK17&lt;0.01,"***",IF('Estimates-split'!AK17&lt;0.05,"**",IF('Estimates-split'!AK17&lt;0.1,"*",""))))</f>
        <v>-0.012</v>
      </c>
      <c r="C32" s="8" t="str">
        <f aca="false">TEXT('Estimates-split'!AL17,"0.000")&amp;IF('Estimates-split'!AO17="","",IF('Estimates-split'!AO17&lt;0.01,"***",IF('Estimates-split'!AO17&lt;0.05,"**",IF('Estimates-split'!AO17&lt;0.1,"*",""))))</f>
        <v>0.033</v>
      </c>
    </row>
    <row r="33" customFormat="false" ht="15" hidden="false" customHeight="false" outlineLevel="0" collapsed="false">
      <c r="B33" s="8" t="str">
        <f aca="false">IF('Estimates-split'!AJ17="","(n/a)","("&amp;TEXT('Estimates-split'!AJ17,"0.00")&amp;")")</f>
        <v>(-0.29)</v>
      </c>
      <c r="C33" s="8" t="str">
        <f aca="false">IF('Estimates-split'!AN17="","(n/a)","("&amp;TEXT('Estimates-split'!AN17,"0.00")&amp;")")</f>
        <v>(0.81)</v>
      </c>
    </row>
    <row r="34" customFormat="false" ht="15" hidden="false" customHeight="false" outlineLevel="0" collapsed="false">
      <c r="A34" s="7" t="s">
        <v>22</v>
      </c>
      <c r="C34" s="8" t="str">
        <f aca="false">TEXT('Estimates-split'!AL18,"0.000")&amp;IF('Estimates-split'!AO18="","",IF('Estimates-split'!AO18&lt;0.01,"***",IF('Estimates-split'!AO18&lt;0.05,"**",IF('Estimates-split'!AO18&lt;0.1,"*",""))))</f>
        <v>0.001</v>
      </c>
      <c r="D34" s="8" t="str">
        <f aca="false">TEXT('Estimates-split'!AP18,"0.000")&amp;IF('Estimates-split'!AS18="","",IF('Estimates-split'!AS18&lt;0.01,"***",IF('Estimates-split'!AS18&lt;0.05,"**",IF('Estimates-split'!AS18&lt;0.1,"*",""))))</f>
        <v>-0.185*</v>
      </c>
      <c r="E34" s="8" t="str">
        <f aca="false">TEXT('Estimates-split'!AT18,"0.000")&amp;IF('Estimates-split'!AW18="","",IF('Estimates-split'!AW18&lt;0.01,"***",IF('Estimates-split'!AW18&lt;0.05,"**",IF('Estimates-split'!AW18&lt;0.1,"*",""))))</f>
        <v>-0.155</v>
      </c>
    </row>
    <row r="35" customFormat="false" ht="15" hidden="false" customHeight="false" outlineLevel="0" collapsed="false">
      <c r="C35" s="8" t="str">
        <f aca="false">IF('Estimates-split'!AN18="","(n/a)","("&amp;TEXT('Estimates-split'!AN18,"0.00")&amp;")")</f>
        <v>(0.01)</v>
      </c>
      <c r="D35" s="8" t="str">
        <f aca="false">IF('Estimates-split'!AR18="","(n/a)","("&amp;TEXT('Estimates-split'!AR18,"0.00")&amp;")")</f>
        <v>(-1.78)</v>
      </c>
      <c r="E35" s="8" t="str">
        <f aca="false">IF('Estimates-split'!AV18="","(n/a)","("&amp;TEXT('Estimates-split'!AV18,"0.00")&amp;")")</f>
        <v>(-1.49)</v>
      </c>
    </row>
    <row r="36" customFormat="false" ht="15" hidden="false" customHeight="false" outlineLevel="0" collapsed="false">
      <c r="A36" s="7" t="s">
        <v>23</v>
      </c>
      <c r="C36" s="8" t="str">
        <f aca="false">TEXT('Estimates-split'!AL19,"0.000")&amp;IF('Estimates-split'!AO19="","",IF('Estimates-split'!AO19&lt;0.01,"***",IF('Estimates-split'!AO19&lt;0.05,"**",IF('Estimates-split'!AO19&lt;0.1,"*",""))))</f>
        <v>-0.015</v>
      </c>
      <c r="D36" s="8" t="str">
        <f aca="false">TEXT('Estimates-split'!AP19,"0.000")&amp;IF('Estimates-split'!AS19="","",IF('Estimates-split'!AS19&lt;0.01,"***",IF('Estimates-split'!AS19&lt;0.05,"**",IF('Estimates-split'!AS19&lt;0.1,"*",""))))</f>
        <v>0.017</v>
      </c>
      <c r="E36" s="8" t="str">
        <f aca="false">TEXT('Estimates-split'!AT19,"0.000")&amp;IF('Estimates-split'!AW19="","",IF('Estimates-split'!AW19&lt;0.01,"***",IF('Estimates-split'!AW19&lt;0.05,"**",IF('Estimates-split'!AW19&lt;0.1,"*",""))))</f>
        <v>0.014</v>
      </c>
    </row>
    <row r="37" customFormat="false" ht="15" hidden="false" customHeight="false" outlineLevel="0" collapsed="false">
      <c r="C37" s="8" t="str">
        <f aca="false">IF('Estimates-split'!AN19="","(n/a)","("&amp;TEXT('Estimates-split'!AN19,"0.00")&amp;")")</f>
        <v>(-1.11)</v>
      </c>
      <c r="D37" s="8" t="str">
        <f aca="false">IF('Estimates-split'!AR19="","(n/a)","("&amp;TEXT('Estimates-split'!AR19,"0.00")&amp;")")</f>
        <v>(1.57)</v>
      </c>
      <c r="E37" s="8" t="str">
        <f aca="false">IF('Estimates-split'!AV19="","(n/a)","("&amp;TEXT('Estimates-split'!AV19,"0.00")&amp;")")</f>
        <v>(1.36)</v>
      </c>
    </row>
    <row r="38" customFormat="false" ht="15" hidden="false" customHeight="false" outlineLevel="0" collapsed="false">
      <c r="A38" s="7" t="s">
        <v>24</v>
      </c>
      <c r="C38" s="8" t="str">
        <f aca="false">TEXT('Estimates-split'!AL20,"0.000")&amp;IF('Estimates-split'!AO20="","",IF('Estimates-split'!AO20&lt;0.01,"***",IF('Estimates-split'!AO20&lt;0.05,"**",IF('Estimates-split'!AO20&lt;0.1,"*",""))))</f>
        <v>-0.056</v>
      </c>
      <c r="D38" s="8" t="str">
        <f aca="false">TEXT('Estimates-split'!AP20,"0.000")&amp;IF('Estimates-split'!AS20="","",IF('Estimates-split'!AS20&lt;0.01,"***",IF('Estimates-split'!AS20&lt;0.05,"**",IF('Estimates-split'!AS20&lt;0.1,"*",""))))</f>
        <v>-0.073</v>
      </c>
      <c r="E38" s="8" t="str">
        <f aca="false">TEXT('Estimates-split'!AT20,"0.000")&amp;IF('Estimates-split'!AW20="","",IF('Estimates-split'!AW20&lt;0.01,"***",IF('Estimates-split'!AW20&lt;0.05,"**",IF('Estimates-split'!AW20&lt;0.1,"*",""))))</f>
        <v>-0.067</v>
      </c>
    </row>
    <row r="39" customFormat="false" ht="15" hidden="false" customHeight="false" outlineLevel="0" collapsed="false">
      <c r="C39" s="8" t="str">
        <f aca="false">IF('Estimates-split'!AN20="","(n/a)","("&amp;TEXT('Estimates-split'!AN20,"0.00")&amp;")")</f>
        <v>(-1.44)</v>
      </c>
      <c r="D39" s="8" t="str">
        <f aca="false">IF('Estimates-split'!AR20="","(n/a)","("&amp;TEXT('Estimates-split'!AR20,"0.00")&amp;")")</f>
        <v>(-1.36)</v>
      </c>
      <c r="E39" s="8" t="str">
        <f aca="false">IF('Estimates-split'!AV20="","(n/a)","("&amp;TEXT('Estimates-split'!AV20,"0.00")&amp;")")</f>
        <v>(-1.32)</v>
      </c>
    </row>
    <row r="40" customFormat="false" ht="15" hidden="false" customHeight="false" outlineLevel="0" collapsed="false">
      <c r="A40" s="7" t="s">
        <v>25</v>
      </c>
      <c r="C40" s="8" t="str">
        <f aca="false">TEXT('Estimates-split'!AL21,"0.000")&amp;IF('Estimates-split'!AO21="","",IF('Estimates-split'!AO21&lt;0.01,"***",IF('Estimates-split'!AO21&lt;0.05,"**",IF('Estimates-split'!AO21&lt;0.1,"*",""))))</f>
        <v>0.033</v>
      </c>
      <c r="D40" s="8" t="str">
        <f aca="false">TEXT('Estimates-split'!AP21,"0.000")&amp;IF('Estimates-split'!AS21="","",IF('Estimates-split'!AS21&lt;0.01,"***",IF('Estimates-split'!AS21&lt;0.05,"**",IF('Estimates-split'!AS21&lt;0.1,"*",""))))</f>
        <v>-0.059</v>
      </c>
      <c r="E40" s="8" t="str">
        <f aca="false">TEXT('Estimates-split'!AT21,"0.000")&amp;IF('Estimates-split'!AW21="","",IF('Estimates-split'!AW21&lt;0.01,"***",IF('Estimates-split'!AW21&lt;0.05,"**",IF('Estimates-split'!AW21&lt;0.1,"*",""))))</f>
        <v>-0.059</v>
      </c>
    </row>
    <row r="41" customFormat="false" ht="15" hidden="false" customHeight="false" outlineLevel="0" collapsed="false">
      <c r="C41" s="8" t="str">
        <f aca="false">IF('Estimates-split'!AN21="","(n/a)","("&amp;TEXT('Estimates-split'!AN21,"0.00")&amp;")")</f>
        <v>(0.81)</v>
      </c>
      <c r="D41" s="8" t="str">
        <f aca="false">IF('Estimates-split'!AR21="","(n/a)","("&amp;TEXT('Estimates-split'!AR21,"0.00")&amp;")")</f>
        <v>(-1.56)</v>
      </c>
      <c r="E41" s="8" t="str">
        <f aca="false">IF('Estimates-split'!AV21="","(n/a)","("&amp;TEXT('Estimates-split'!AV21,"0.00")&amp;")")</f>
        <v>(-1.63)</v>
      </c>
    </row>
    <row r="42" customFormat="false" ht="15" hidden="false" customHeight="false" outlineLevel="0" collapsed="false">
      <c r="A42" s="7" t="s">
        <v>26</v>
      </c>
      <c r="C42" s="8" t="str">
        <f aca="false">TEXT('Estimates-split'!AL22,"0.000")&amp;IF('Estimates-split'!AO22="","",IF('Estimates-split'!AO22&lt;0.01,"***",IF('Estimates-split'!AO22&lt;0.05,"**",IF('Estimates-split'!AO22&lt;0.1,"*",""))))</f>
        <v>0.002</v>
      </c>
      <c r="D42" s="8" t="str">
        <f aca="false">TEXT('Estimates-split'!AP22,"0.000")&amp;IF('Estimates-split'!AS22="","",IF('Estimates-split'!AS22&lt;0.01,"***",IF('Estimates-split'!AS22&lt;0.05,"**",IF('Estimates-split'!AS22&lt;0.1,"*",""))))</f>
        <v>-0.277***</v>
      </c>
      <c r="E42" s="8" t="str">
        <f aca="false">TEXT('Estimates-split'!AT22,"0.000")&amp;IF('Estimates-split'!AW22="","",IF('Estimates-split'!AW22&lt;0.01,"***",IF('Estimates-split'!AW22&lt;0.05,"**",IF('Estimates-split'!AW22&lt;0.1,"*",""))))</f>
        <v>-0.256***</v>
      </c>
    </row>
    <row r="43" customFormat="false" ht="15" hidden="false" customHeight="false" outlineLevel="0" collapsed="false">
      <c r="C43" s="8" t="str">
        <f aca="false">IF('Estimates-split'!AN22="","(n/a)","("&amp;TEXT('Estimates-split'!AN22,"0.00")&amp;")")</f>
        <v>(0.06)</v>
      </c>
      <c r="D43" s="8" t="str">
        <f aca="false">IF('Estimates-split'!AR22="","(n/a)","("&amp;TEXT('Estimates-split'!AR22,"0.00")&amp;")")</f>
        <v>(-3.54)</v>
      </c>
      <c r="E43" s="8" t="str">
        <f aca="false">IF('Estimates-split'!AV22="","(n/a)","("&amp;TEXT('Estimates-split'!AV22,"0.00")&amp;")")</f>
        <v>(-3.22)</v>
      </c>
    </row>
    <row r="44" customFormat="false" ht="15" hidden="false" customHeight="false" outlineLevel="0" collapsed="false">
      <c r="A44" s="7" t="s">
        <v>27</v>
      </c>
      <c r="C44" s="8" t="str">
        <f aca="false">TEXT('Estimates-split'!AL23,"0.000")&amp;IF('Estimates-split'!AO23="","",IF('Estimates-split'!AO23&lt;0.01,"***",IF('Estimates-split'!AO23&lt;0.05,"**",IF('Estimates-split'!AO23&lt;0.1,"*",""))))</f>
        <v>-0.077</v>
      </c>
      <c r="D44" s="8" t="str">
        <f aca="false">TEXT('Estimates-split'!AP23,"0.000")&amp;IF('Estimates-split'!AS23="","",IF('Estimates-split'!AS23&lt;0.01,"***",IF('Estimates-split'!AS23&lt;0.05,"**",IF('Estimates-split'!AS23&lt;0.1,"*",""))))</f>
        <v>-0.070</v>
      </c>
      <c r="E44" s="8" t="str">
        <f aca="false">TEXT('Estimates-split'!AT23,"0.000")&amp;IF('Estimates-split'!AW23="","",IF('Estimates-split'!AW23&lt;0.01,"***",IF('Estimates-split'!AW23&lt;0.05,"**",IF('Estimates-split'!AW23&lt;0.1,"*",""))))</f>
        <v>-0.118</v>
      </c>
    </row>
    <row r="45" customFormat="false" ht="15" hidden="false" customHeight="false" outlineLevel="0" collapsed="false">
      <c r="C45" s="8" t="str">
        <f aca="false">IF('Estimates-split'!AN23="","(n/a)","("&amp;TEXT('Estimates-split'!AN23,"0.00")&amp;")")</f>
        <v>(-1.48)</v>
      </c>
      <c r="D45" s="8" t="str">
        <f aca="false">IF('Estimates-split'!AR23="","(n/a)","("&amp;TEXT('Estimates-split'!AR23,"0.00")&amp;")")</f>
        <v>(-0.54)</v>
      </c>
      <c r="E45" s="8" t="str">
        <f aca="false">IF('Estimates-split'!AV23="","(n/a)","("&amp;TEXT('Estimates-split'!AV23,"0.00")&amp;")")</f>
        <v>(-0.88)</v>
      </c>
    </row>
    <row r="47" customFormat="false" ht="15" hidden="false" customHeight="false" outlineLevel="0" collapsed="false">
      <c r="A47" s="7" t="s">
        <v>28</v>
      </c>
      <c r="B47" s="9" t="n">
        <f aca="false">'Estimates-split'!AH26</f>
        <v>1485</v>
      </c>
      <c r="C47" s="9" t="n">
        <f aca="false">'Estimates-split'!AL26</f>
        <v>1301</v>
      </c>
      <c r="D47" s="9" t="n">
        <f aca="false">'Estimates-split'!AP26</f>
        <v>1299</v>
      </c>
      <c r="E47" s="9" t="n">
        <f aca="false">'Estimates-split'!AT26</f>
        <v>1299</v>
      </c>
    </row>
    <row r="48" customFormat="false" ht="15" hidden="false" customHeight="false" outlineLevel="0" collapsed="false">
      <c r="A48" s="7" t="s">
        <v>29</v>
      </c>
      <c r="B48" s="10" t="n">
        <f aca="false">'Estimates-split'!AH29</f>
        <v>0.342677598096958</v>
      </c>
      <c r="C48" s="10" t="n">
        <f aca="false">'Estimates-split'!AL29</f>
        <v>0.360686893191692</v>
      </c>
      <c r="D48" s="10" t="n">
        <f aca="false">'Estimates-split'!AP29</f>
        <v>0.661655111871864</v>
      </c>
      <c r="E48" s="10" t="n">
        <f aca="false">'Estimates-split'!AT29</f>
        <v>0.670564522582896</v>
      </c>
    </row>
    <row r="49" customFormat="false" ht="15" hidden="false" customHeight="false" outlineLevel="0" collapsed="false">
      <c r="A49" s="7" t="s">
        <v>30</v>
      </c>
      <c r="B49" s="11" t="s">
        <v>31</v>
      </c>
      <c r="C49" s="11" t="s">
        <v>31</v>
      </c>
      <c r="D49" s="11" t="s">
        <v>32</v>
      </c>
      <c r="E49" s="11" t="s">
        <v>32</v>
      </c>
    </row>
    <row r="50" customFormat="false" ht="15" hidden="false" customHeight="false" outlineLevel="0" collapsed="false">
      <c r="A50" s="7" t="s">
        <v>33</v>
      </c>
      <c r="B50" s="11" t="s">
        <v>32</v>
      </c>
      <c r="C50" s="11" t="s">
        <v>32</v>
      </c>
      <c r="D50" s="11" t="s">
        <v>31</v>
      </c>
      <c r="E50" s="11" t="s">
        <v>32</v>
      </c>
    </row>
    <row r="51" customFormat="false" ht="15" hidden="false" customHeight="false" outlineLevel="0" collapsed="false">
      <c r="A51" s="12" t="s">
        <v>34</v>
      </c>
      <c r="B51" s="13" t="n">
        <f aca="false">'Estimates-split'!AK24</f>
        <v>0.960925372575723</v>
      </c>
      <c r="C51" s="13" t="n">
        <f aca="false">'Estimates-split'!AO24</f>
        <v>0.878043839960362</v>
      </c>
      <c r="D51" s="13" t="n">
        <f aca="false">'Estimates-split'!AS24</f>
        <v>0.849413111405078</v>
      </c>
      <c r="E51" s="13" t="n">
        <f aca="false">'Estimates-split'!AW24</f>
        <v>0.821651149356285</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4" width="34"/>
    <col collapsed="false" customWidth="true" hidden="false" outlineLevel="0" max="7" min="2" style="14" width="14"/>
  </cols>
  <sheetData>
    <row r="1" customFormat="false" ht="15" hidden="false" customHeight="true" outlineLevel="0" collapsed="false">
      <c r="A1" s="15" t="s">
        <v>0</v>
      </c>
    </row>
    <row r="2" customFormat="false" ht="210" hidden="false" customHeight="true" outlineLevel="0" collapsed="false">
      <c r="A2" s="2" t="s">
        <v>40</v>
      </c>
      <c r="B2" s="2"/>
      <c r="C2" s="2"/>
      <c r="D2" s="2"/>
      <c r="E2" s="2"/>
      <c r="F2" s="2"/>
      <c r="G2" s="2"/>
    </row>
    <row r="4" customFormat="false" ht="15" hidden="false" customHeight="true" outlineLevel="0" collapsed="false">
      <c r="A4" s="15" t="s">
        <v>2</v>
      </c>
    </row>
    <row r="5" customFormat="false" ht="15" hidden="false" customHeight="true" outlineLevel="0" collapsed="false">
      <c r="A5" s="16"/>
      <c r="B5" s="4" t="s">
        <v>3</v>
      </c>
      <c r="C5" s="4" t="s">
        <v>4</v>
      </c>
      <c r="D5" s="4" t="s">
        <v>5</v>
      </c>
      <c r="E5" s="4" t="s">
        <v>6</v>
      </c>
      <c r="F5" s="4" t="s">
        <v>41</v>
      </c>
      <c r="G5" s="4" t="s">
        <v>42</v>
      </c>
    </row>
    <row r="6" customFormat="false" ht="15" hidden="false" customHeight="true" outlineLevel="0" collapsed="false">
      <c r="A6" s="17"/>
      <c r="B6" s="6" t="s">
        <v>7</v>
      </c>
      <c r="C6" s="6" t="s">
        <v>7</v>
      </c>
      <c r="D6" s="6" t="s">
        <v>7</v>
      </c>
      <c r="E6" s="6" t="s">
        <v>7</v>
      </c>
      <c r="F6" s="6" t="s">
        <v>7</v>
      </c>
      <c r="G6" s="6" t="s">
        <v>7</v>
      </c>
    </row>
    <row r="7" customFormat="false" ht="15" hidden="false" customHeight="true" outlineLevel="0" collapsed="false">
      <c r="A7" s="18" t="s">
        <v>43</v>
      </c>
      <c r="B7" s="8" t="str">
        <f aca="false">TEXT(Estimates!B4,"0.000")&amp;IF(Estimates!E4="","",IF(Estimates!E4&lt;0.01,"***",IF(Estimates!E4&lt;0.05,"**",IF(Estimates!E4&lt;0.1,"*",""))))</f>
        <v>-0.229</v>
      </c>
      <c r="C7" s="8" t="str">
        <f aca="false">TEXT(Estimates!F4,"0.000")&amp;IF(Estimates!I4="","",IF(Estimates!I4&lt;0.01,"***",IF(Estimates!I4&lt;0.05,"**",IF(Estimates!I4&lt;0.1,"*",""))))</f>
        <v>-0.144</v>
      </c>
      <c r="D7" s="8" t="str">
        <f aca="false">TEXT(Estimates!J4,"0.000")&amp;IF(Estimates!M4="","",IF(Estimates!M4&lt;0.01,"***",IF(Estimates!M4&lt;0.05,"**",IF(Estimates!M4&lt;0.1,"*",""))))</f>
        <v>0.044</v>
      </c>
      <c r="E7" s="8" t="str">
        <f aca="false">TEXT(Estimates!N4,"0.000")&amp;IF(Estimates!Q4="","",IF(Estimates!Q4&lt;0.01,"***",IF(Estimates!Q4&lt;0.05,"**",IF(Estimates!Q4&lt;0.1,"*",""))))</f>
        <v>-0.083</v>
      </c>
      <c r="F7" s="8" t="str">
        <f aca="false">TEXT(Estimates!R4,"0.000")&amp;IF(Estimates!U4="","",IF(Estimates!U4&lt;0.01,"***",IF(Estimates!U4&lt;0.05,"**",IF(Estimates!U4&lt;0.1,"*",""))))</f>
        <v>-0.969*</v>
      </c>
      <c r="G7" s="8" t="str">
        <f aca="false">TEXT(Estimates!V4,"0.000")&amp;IF(Estimates!Y4="","",IF(Estimates!Y4&lt;0.01,"***",IF(Estimates!Y4&lt;0.05,"**",IF(Estimates!Y4&lt;0.1,"*",""))))</f>
        <v>-0.309</v>
      </c>
    </row>
    <row r="8" customFormat="false" ht="15" hidden="false" customHeight="true" outlineLevel="0" collapsed="false">
      <c r="B8" s="8" t="str">
        <f aca="false">IF(Estimates!D4="","(n/a)","("&amp;TEXT(Estimates!D4,"0.00")&amp;")")</f>
        <v>(-1.25)</v>
      </c>
      <c r="C8" s="8" t="str">
        <f aca="false">IF(Estimates!H4="","(n/a)","("&amp;TEXT(Estimates!H4,"0.00")&amp;")")</f>
        <v>(-0.68)</v>
      </c>
      <c r="D8" s="8" t="str">
        <f aca="false">IF(Estimates!L4="","(n/a)","("&amp;TEXT(Estimates!L4,"0.00")&amp;")")</f>
        <v>(0.17)</v>
      </c>
      <c r="E8" s="8" t="str">
        <f aca="false">IF(Estimates!P4="","(n/a)","("&amp;TEXT(Estimates!P4,"0.00")&amp;")")</f>
        <v>(-0.27)</v>
      </c>
      <c r="F8" s="8" t="str">
        <f aca="false">IF(Estimates!T4="","(n/a)","("&amp;TEXT(Estimates!T4,"0.00")&amp;")")</f>
        <v>(-1.93)</v>
      </c>
      <c r="G8" s="8" t="str">
        <f aca="false">IF(Estimates!X4="","(n/a)","("&amp;TEXT(Estimates!X4,"0.00")&amp;")")</f>
        <v>(-0.33)</v>
      </c>
    </row>
    <row r="9" customFormat="false" ht="15" hidden="false" customHeight="true" outlineLevel="0" collapsed="false">
      <c r="A9" s="18" t="s">
        <v>10</v>
      </c>
      <c r="B9" s="8" t="str">
        <f aca="false">TEXT(Estimates!B5,"0.000")&amp;IF(Estimates!E5="","",IF(Estimates!E5&lt;0.01,"***",IF(Estimates!E5&lt;0.05,"**",IF(Estimates!E5&lt;0.1,"*",""))))</f>
        <v>0.061</v>
      </c>
      <c r="C9" s="8" t="str">
        <f aca="false">TEXT(Estimates!F5,"0.000")&amp;IF(Estimates!I5="","",IF(Estimates!I5&lt;0.01,"***",IF(Estimates!I5&lt;0.05,"**",IF(Estimates!I5&lt;0.1,"*",""))))</f>
        <v>0.032</v>
      </c>
      <c r="D9" s="8" t="str">
        <f aca="false">TEXT(Estimates!J5,"0.000")&amp;IF(Estimates!M5="","",IF(Estimates!M5&lt;0.01,"***",IF(Estimates!M5&lt;0.05,"**",IF(Estimates!M5&lt;0.1,"*",""))))</f>
        <v>-0.003</v>
      </c>
      <c r="E9" s="8" t="str">
        <f aca="false">TEXT(Estimates!N5,"0.000")&amp;IF(Estimates!Q5="","",IF(Estimates!Q5&lt;0.01,"***",IF(Estimates!Q5&lt;0.05,"**",IF(Estimates!Q5&lt;0.1,"*",""))))</f>
        <v>0.015</v>
      </c>
      <c r="F9" s="8" t="str">
        <f aca="false">TEXT(Estimates!R5,"0.000")&amp;IF(Estimates!U5="","",IF(Estimates!U5&lt;0.01,"***",IF(Estimates!U5&lt;0.05,"**",IF(Estimates!U5&lt;0.1,"*",""))))</f>
        <v>-0.002</v>
      </c>
      <c r="G9" s="8" t="str">
        <f aca="false">TEXT(Estimates!V5,"0.000")&amp;IF(Estimates!Y5="","",IF(Estimates!Y5&lt;0.01,"***",IF(Estimates!Y5&lt;0.05,"**",IF(Estimates!Y5&lt;0.1,"*",""))))</f>
        <v>0.030</v>
      </c>
    </row>
    <row r="10" customFormat="false" ht="15" hidden="false" customHeight="true" outlineLevel="0" collapsed="false">
      <c r="B10" s="8" t="str">
        <f aca="false">IF(Estimates!D5="","(n/a)","("&amp;TEXT(Estimates!D5,"0.00")&amp;")")</f>
        <v>(0.88)</v>
      </c>
      <c r="C10" s="8" t="str">
        <f aca="false">IF(Estimates!H5="","(n/a)","("&amp;TEXT(Estimates!H5,"0.00")&amp;")")</f>
        <v>(0.58)</v>
      </c>
      <c r="D10" s="8" t="str">
        <f aca="false">IF(Estimates!L5="","(n/a)","("&amp;TEXT(Estimates!L5,"0.00")&amp;")")</f>
        <v>(-0.15)</v>
      </c>
      <c r="E10" s="8" t="str">
        <f aca="false">IF(Estimates!P5="","(n/a)","("&amp;TEXT(Estimates!P5,"0.00")&amp;")")</f>
        <v>(0.41)</v>
      </c>
      <c r="F10" s="8" t="str">
        <f aca="false">IF(Estimates!T5="","(n/a)","("&amp;TEXT(Estimates!T5,"0.00")&amp;")")</f>
        <v>(-0.05)</v>
      </c>
      <c r="G10" s="8" t="str">
        <f aca="false">IF(Estimates!X5="","(n/a)","("&amp;TEXT(Estimates!X5,"0.00")&amp;")")</f>
        <v>(0.60)</v>
      </c>
    </row>
    <row r="11" customFormat="false" ht="15" hidden="false" customHeight="true" outlineLevel="0" collapsed="false">
      <c r="A11" s="18" t="s">
        <v>11</v>
      </c>
      <c r="B11" s="8" t="str">
        <f aca="false">TEXT(Estimates!B6,"0.000")&amp;IF(Estimates!E6="","",IF(Estimates!E6&lt;0.01,"***",IF(Estimates!E6&lt;0.05,"**",IF(Estimates!E6&lt;0.1,"*",""))))</f>
        <v>-0.046</v>
      </c>
      <c r="C11" s="8" t="str">
        <f aca="false">TEXT(Estimates!F6,"0.000")&amp;IF(Estimates!I6="","",IF(Estimates!I6&lt;0.01,"***",IF(Estimates!I6&lt;0.05,"**",IF(Estimates!I6&lt;0.1,"*",""))))</f>
        <v>-0.085</v>
      </c>
      <c r="D11" s="8" t="str">
        <f aca="false">TEXT(Estimates!J6,"0.000")&amp;IF(Estimates!M6="","",IF(Estimates!M6&lt;0.01,"***",IF(Estimates!M6&lt;0.05,"**",IF(Estimates!M6&lt;0.1,"*",""))))</f>
        <v>-0.405</v>
      </c>
      <c r="E11" s="8" t="str">
        <f aca="false">TEXT(Estimates!N6,"0.000")&amp;IF(Estimates!Q6="","",IF(Estimates!Q6&lt;0.01,"***",IF(Estimates!Q6&lt;0.05,"**",IF(Estimates!Q6&lt;0.1,"*",""))))</f>
        <v>0.130</v>
      </c>
      <c r="F11" s="8" t="str">
        <f aca="false">TEXT(Estimates!R6,"0.000")&amp;IF(Estimates!U6="","",IF(Estimates!U6&lt;0.01,"***",IF(Estimates!U6&lt;0.05,"**",IF(Estimates!U6&lt;0.1,"*",""))))</f>
        <v>1.409</v>
      </c>
      <c r="G11" s="8" t="str">
        <f aca="false">TEXT(Estimates!V6,"0.000")&amp;IF(Estimates!Y6="","",IF(Estimates!Y6&lt;0.01,"***",IF(Estimates!Y6&lt;0.05,"**",IF(Estimates!Y6&lt;0.1,"*",""))))</f>
        <v>1.201</v>
      </c>
    </row>
    <row r="12" customFormat="false" ht="15" hidden="false" customHeight="true" outlineLevel="0" collapsed="false">
      <c r="B12" s="8" t="str">
        <f aca="false">IF(Estimates!D6="","(n/a)","("&amp;TEXT(Estimates!D6,"0.00")&amp;")")</f>
        <v>(-0.42)</v>
      </c>
      <c r="C12" s="8" t="str">
        <f aca="false">IF(Estimates!H6="","(n/a)","("&amp;TEXT(Estimates!H6,"0.00")&amp;")")</f>
        <v>(-0.77)</v>
      </c>
      <c r="D12" s="8" t="str">
        <f aca="false">IF(Estimates!L6="","(n/a)","("&amp;TEXT(Estimates!L6,"0.00")&amp;")")</f>
        <v>(-0.43)</v>
      </c>
      <c r="E12" s="8" t="str">
        <f aca="false">IF(Estimates!P6="","(n/a)","("&amp;TEXT(Estimates!P6,"0.00")&amp;")")</f>
        <v>(0.12)</v>
      </c>
      <c r="F12" s="8" t="str">
        <f aca="false">IF(Estimates!T6="","(n/a)","("&amp;TEXT(Estimates!T6,"0.00")&amp;")")</f>
        <v>(0.64)</v>
      </c>
      <c r="G12" s="8" t="str">
        <f aca="false">IF(Estimates!X6="","(n/a)","("&amp;TEXT(Estimates!X6,"0.00")&amp;")")</f>
        <v>(0.52)</v>
      </c>
    </row>
    <row r="13" customFormat="false" ht="15" hidden="false" customHeight="true" outlineLevel="0" collapsed="false">
      <c r="A13" s="18" t="s">
        <v>12</v>
      </c>
      <c r="B13" s="8" t="str">
        <f aca="false">TEXT(Estimates!B7,"0.000")&amp;IF(Estimates!E7="","",IF(Estimates!E7&lt;0.01,"***",IF(Estimates!E7&lt;0.05,"**",IF(Estimates!E7&lt;0.1,"*",""))))</f>
        <v>-0.019*</v>
      </c>
      <c r="C13" s="8" t="str">
        <f aca="false">TEXT(Estimates!F7,"0.000")&amp;IF(Estimates!I7="","",IF(Estimates!I7&lt;0.01,"***",IF(Estimates!I7&lt;0.05,"**",IF(Estimates!I7&lt;0.1,"*",""))))</f>
        <v>-0.014</v>
      </c>
      <c r="D13" s="8" t="str">
        <f aca="false">TEXT(Estimates!J7,"0.000")&amp;IF(Estimates!M7="","",IF(Estimates!M7&lt;0.01,"***",IF(Estimates!M7&lt;0.05,"**",IF(Estimates!M7&lt;0.1,"*",""))))</f>
        <v>-0.016</v>
      </c>
      <c r="E13" s="8" t="str">
        <f aca="false">TEXT(Estimates!N7,"0.000")&amp;IF(Estimates!Q7="","",IF(Estimates!Q7&lt;0.01,"***",IF(Estimates!Q7&lt;0.05,"**",IF(Estimates!Q7&lt;0.1,"*",""))))</f>
        <v>-0.035</v>
      </c>
      <c r="F13" s="8" t="str">
        <f aca="false">TEXT(Estimates!R7,"0.000")&amp;IF(Estimates!U7="","",IF(Estimates!U7&lt;0.01,"***",IF(Estimates!U7&lt;0.05,"**",IF(Estimates!U7&lt;0.1,"*",""))))</f>
        <v>-0.093**</v>
      </c>
      <c r="G13" s="8" t="str">
        <f aca="false">TEXT(Estimates!V7,"0.000")&amp;IF(Estimates!Y7="","",IF(Estimates!Y7&lt;0.01,"***",IF(Estimates!Y7&lt;0.05,"**",IF(Estimates!Y7&lt;0.1,"*",""))))</f>
        <v>-0.093*</v>
      </c>
    </row>
    <row r="14" customFormat="false" ht="15" hidden="false" customHeight="true" outlineLevel="0" collapsed="false">
      <c r="B14" s="8" t="str">
        <f aca="false">IF(Estimates!D7="","(n/a)","("&amp;TEXT(Estimates!D7,"0.00")&amp;")")</f>
        <v>(-1.92)</v>
      </c>
      <c r="C14" s="8" t="str">
        <f aca="false">IF(Estimates!H7="","(n/a)","("&amp;TEXT(Estimates!H7,"0.00")&amp;")")</f>
        <v>(-1.59)</v>
      </c>
      <c r="D14" s="8" t="str">
        <f aca="false">IF(Estimates!L7="","(n/a)","("&amp;TEXT(Estimates!L7,"0.00")&amp;")")</f>
        <v>(-0.49)</v>
      </c>
      <c r="E14" s="8" t="str">
        <f aca="false">IF(Estimates!P7="","(n/a)","("&amp;TEXT(Estimates!P7,"0.00")&amp;")")</f>
        <v>(-0.89)</v>
      </c>
      <c r="F14" s="8" t="str">
        <f aca="false">IF(Estimates!T7="","(n/a)","("&amp;TEXT(Estimates!T7,"0.00")&amp;")")</f>
        <v>(-2.46)</v>
      </c>
      <c r="G14" s="8" t="str">
        <f aca="false">IF(Estimates!X7="","(n/a)","("&amp;TEXT(Estimates!X7,"0.00")&amp;")")</f>
        <v>(-2.00)</v>
      </c>
    </row>
    <row r="15" customFormat="false" ht="15" hidden="false" customHeight="true" outlineLevel="0" collapsed="false">
      <c r="A15" s="18" t="s">
        <v>13</v>
      </c>
      <c r="B15" s="8" t="str">
        <f aca="false">TEXT(Estimates!B8,"0.000")&amp;IF(Estimates!E8="","",IF(Estimates!E8&lt;0.01,"***",IF(Estimates!E8&lt;0.05,"**",IF(Estimates!E8&lt;0.1,"*",""))))</f>
        <v>0.076</v>
      </c>
      <c r="C15" s="8" t="str">
        <f aca="false">TEXT(Estimates!F8,"0.000")&amp;IF(Estimates!I8="","",IF(Estimates!I8&lt;0.01,"***",IF(Estimates!I8&lt;0.05,"**",IF(Estimates!I8&lt;0.1,"*",""))))</f>
        <v>0.103</v>
      </c>
      <c r="D15" s="8" t="str">
        <f aca="false">TEXT(Estimates!J8,"0.000")&amp;IF(Estimates!M8="","",IF(Estimates!M8&lt;0.01,"***",IF(Estimates!M8&lt;0.05,"**",IF(Estimates!M8&lt;0.1,"*",""))))</f>
        <v>-0.629**</v>
      </c>
      <c r="E15" s="8" t="str">
        <f aca="false">TEXT(Estimates!N8,"0.000")&amp;IF(Estimates!Q8="","",IF(Estimates!Q8&lt;0.01,"***",IF(Estimates!Q8&lt;0.05,"**",IF(Estimates!Q8&lt;0.1,"*",""))))</f>
        <v>-0.611</v>
      </c>
      <c r="F15" s="8" t="str">
        <f aca="false">TEXT(Estimates!R8,"0.000")&amp;IF(Estimates!U8="","",IF(Estimates!U8&lt;0.01,"***",IF(Estimates!U8&lt;0.05,"**",IF(Estimates!U8&lt;0.1,"*",""))))</f>
        <v>-1.558***</v>
      </c>
      <c r="G15" s="8" t="str">
        <f aca="false">TEXT(Estimates!V8,"0.000")&amp;IF(Estimates!Y8="","",IF(Estimates!Y8&lt;0.01,"***",IF(Estimates!Y8&lt;0.05,"**",IF(Estimates!Y8&lt;0.1,"*",""))))</f>
        <v>-2.156***</v>
      </c>
    </row>
    <row r="16" customFormat="false" ht="15" hidden="false" customHeight="true" outlineLevel="0" collapsed="false">
      <c r="B16" s="8" t="str">
        <f aca="false">IF(Estimates!D8="","(n/a)","("&amp;TEXT(Estimates!D8,"0.00")&amp;")")</f>
        <v>(0.67)</v>
      </c>
      <c r="C16" s="8" t="str">
        <f aca="false">IF(Estimates!H8="","(n/a)","("&amp;TEXT(Estimates!H8,"0.00")&amp;")")</f>
        <v>(0.89)</v>
      </c>
      <c r="D16" s="8" t="str">
        <f aca="false">IF(Estimates!L8="","(n/a)","("&amp;TEXT(Estimates!L8,"0.00")&amp;")")</f>
        <v>(-2.14)</v>
      </c>
      <c r="E16" s="8" t="str">
        <f aca="false">IF(Estimates!P8="","(n/a)","("&amp;TEXT(Estimates!P8,"0.00")&amp;")")</f>
        <v>(-1.63)</v>
      </c>
      <c r="F16" s="8" t="str">
        <f aca="false">IF(Estimates!T8="","(n/a)","("&amp;TEXT(Estimates!T8,"0.00")&amp;")")</f>
        <v>(-3.47)</v>
      </c>
      <c r="G16" s="8" t="str">
        <f aca="false">IF(Estimates!X8="","(n/a)","("&amp;TEXT(Estimates!X8,"0.00")&amp;")")</f>
        <v>(-3.71)</v>
      </c>
    </row>
    <row r="17" customFormat="false" ht="15" hidden="false" customHeight="true" outlineLevel="0" collapsed="false">
      <c r="A17" s="18" t="s">
        <v>14</v>
      </c>
      <c r="B17" s="8" t="str">
        <f aca="false">TEXT(Estimates!B9,"0.000")&amp;IF(Estimates!E9="","",IF(Estimates!E9&lt;0.01,"***",IF(Estimates!E9&lt;0.05,"**",IF(Estimates!E9&lt;0.1,"*",""))))</f>
        <v>0.037</v>
      </c>
      <c r="C17" s="8" t="str">
        <f aca="false">TEXT(Estimates!F9,"0.000")&amp;IF(Estimates!I9="","",IF(Estimates!I9&lt;0.01,"***",IF(Estimates!I9&lt;0.05,"**",IF(Estimates!I9&lt;0.1,"*",""))))</f>
        <v>0.056</v>
      </c>
      <c r="D17" s="8" t="str">
        <f aca="false">TEXT(Estimates!J9,"0.000")&amp;IF(Estimates!M9="","",IF(Estimates!M9&lt;0.01,"***",IF(Estimates!M9&lt;0.05,"**",IF(Estimates!M9&lt;0.1,"*",""))))</f>
        <v>-0.658**</v>
      </c>
      <c r="E17" s="8" t="str">
        <f aca="false">TEXT(Estimates!N9,"0.000")&amp;IF(Estimates!Q9="","",IF(Estimates!Q9&lt;0.01,"***",IF(Estimates!Q9&lt;0.05,"**",IF(Estimates!Q9&lt;0.1,"*",""))))</f>
        <v>-0.648*</v>
      </c>
      <c r="F17" s="8" t="str">
        <f aca="false">TEXT(Estimates!R9,"0.000")&amp;IF(Estimates!U9="","",IF(Estimates!U9&lt;0.01,"***",IF(Estimates!U9&lt;0.05,"**",IF(Estimates!U9&lt;0.1,"*",""))))</f>
        <v>-1.619***</v>
      </c>
      <c r="G17" s="8" t="str">
        <f aca="false">TEXT(Estimates!V9,"0.000")&amp;IF(Estimates!Y9="","",IF(Estimates!Y9&lt;0.01,"***",IF(Estimates!Y9&lt;0.05,"**",IF(Estimates!Y9&lt;0.1,"*",""))))</f>
        <v>-2.255***</v>
      </c>
    </row>
    <row r="18" customFormat="false" ht="15" hidden="false" customHeight="true" outlineLevel="0" collapsed="false">
      <c r="B18" s="8" t="str">
        <f aca="false">IF(Estimates!D9="","(n/a)","("&amp;TEXT(Estimates!D9,"0.00")&amp;")")</f>
        <v>(0.29)</v>
      </c>
      <c r="C18" s="8" t="str">
        <f aca="false">IF(Estimates!H9="","(n/a)","("&amp;TEXT(Estimates!H9,"0.00")&amp;")")</f>
        <v>(0.46)</v>
      </c>
      <c r="D18" s="8" t="str">
        <f aca="false">IF(Estimates!L9="","(n/a)","("&amp;TEXT(Estimates!L9,"0.00")&amp;")")</f>
        <v>(-2.15)</v>
      </c>
      <c r="E18" s="8" t="str">
        <f aca="false">IF(Estimates!P9="","(n/a)","("&amp;TEXT(Estimates!P9,"0.00")&amp;")")</f>
        <v>(-1.74)</v>
      </c>
      <c r="F18" s="8" t="str">
        <f aca="false">IF(Estimates!T9="","(n/a)","("&amp;TEXT(Estimates!T9,"0.00")&amp;")")</f>
        <v>(-3.54)</v>
      </c>
      <c r="G18" s="8" t="str">
        <f aca="false">IF(Estimates!X9="","(n/a)","("&amp;TEXT(Estimates!X9,"0.00")&amp;")")</f>
        <v>(-3.82)</v>
      </c>
    </row>
    <row r="19" customFormat="false" ht="15" hidden="false" customHeight="true" outlineLevel="0" collapsed="false">
      <c r="A19" s="18" t="s">
        <v>15</v>
      </c>
      <c r="B19" s="8" t="str">
        <f aca="false">TEXT(Estimates!B10,"0.000")&amp;IF(Estimates!E10="","",IF(Estimates!E10&lt;0.01,"***",IF(Estimates!E10&lt;0.05,"**",IF(Estimates!E10&lt;0.1,"*",""))))</f>
        <v>0.126</v>
      </c>
      <c r="C19" s="8" t="str">
        <f aca="false">TEXT(Estimates!F10,"0.000")&amp;IF(Estimates!I10="","",IF(Estimates!I10&lt;0.01,"***",IF(Estimates!I10&lt;0.05,"**",IF(Estimates!I10&lt;0.1,"*",""))))</f>
        <v>0.154</v>
      </c>
      <c r="D19" s="8" t="str">
        <f aca="false">TEXT(Estimates!J10,"0.000")&amp;IF(Estimates!M10="","",IF(Estimates!M10&lt;0.01,"***",IF(Estimates!M10&lt;0.05,"**",IF(Estimates!M10&lt;0.1,"*",""))))</f>
        <v>-0.718*</v>
      </c>
      <c r="E19" s="8" t="str">
        <f aca="false">TEXT(Estimates!N10,"0.000")&amp;IF(Estimates!Q10="","",IF(Estimates!Q10&lt;0.01,"***",IF(Estimates!Q10&lt;0.05,"**",IF(Estimates!Q10&lt;0.1,"*",""))))</f>
        <v>-0.658</v>
      </c>
      <c r="F19" s="8" t="str">
        <f aca="false">TEXT(Estimates!R10,"0.000")&amp;IF(Estimates!U10="","",IF(Estimates!U10&lt;0.01,"***",IF(Estimates!U10&lt;0.05,"**",IF(Estimates!U10&lt;0.1,"*",""))))</f>
        <v>-1.716**</v>
      </c>
      <c r="G19" s="8" t="str">
        <f aca="false">TEXT(Estimates!V10,"0.000")&amp;IF(Estimates!Y10="","",IF(Estimates!Y10&lt;0.01,"***",IF(Estimates!Y10&lt;0.05,"**",IF(Estimates!Y10&lt;0.1,"*",""))))</f>
        <v>-2.645***</v>
      </c>
    </row>
    <row r="20" customFormat="false" ht="15" hidden="false" customHeight="true" outlineLevel="0" collapsed="false">
      <c r="B20" s="8" t="str">
        <f aca="false">IF(Estimates!D10="","(n/a)","("&amp;TEXT(Estimates!D10,"0.00")&amp;")")</f>
        <v>(0.86)</v>
      </c>
      <c r="C20" s="8" t="str">
        <f aca="false">IF(Estimates!H10="","(n/a)","("&amp;TEXT(Estimates!H10,"0.00")&amp;")")</f>
        <v>(1.20)</v>
      </c>
      <c r="D20" s="8" t="str">
        <f aca="false">IF(Estimates!L10="","(n/a)","("&amp;TEXT(Estimates!L10,"0.00")&amp;")")</f>
        <v>(-2.06)</v>
      </c>
      <c r="E20" s="8" t="str">
        <f aca="false">IF(Estimates!P10="","(n/a)","("&amp;TEXT(Estimates!P10,"0.00")&amp;")")</f>
        <v>(-1.63)</v>
      </c>
      <c r="F20" s="8" t="str">
        <f aca="false">IF(Estimates!T10="","(n/a)","("&amp;TEXT(Estimates!T10,"0.00")&amp;")")</f>
        <v>(-2.56)</v>
      </c>
      <c r="G20" s="8" t="str">
        <f aca="false">IF(Estimates!X10="","(n/a)","("&amp;TEXT(Estimates!X10,"0.00")&amp;")")</f>
        <v>(-3.38)</v>
      </c>
    </row>
    <row r="21" customFormat="false" ht="15" hidden="false" customHeight="true" outlineLevel="0" collapsed="false">
      <c r="A21" s="18" t="s">
        <v>16</v>
      </c>
      <c r="B21" s="8" t="str">
        <f aca="false">TEXT(Estimates!B11,"0.000")&amp;IF(Estimates!E11="","",IF(Estimates!E11&lt;0.01,"***",IF(Estimates!E11&lt;0.05,"**",IF(Estimates!E11&lt;0.1,"*",""))))</f>
        <v>0.046</v>
      </c>
      <c r="C21" s="8" t="str">
        <f aca="false">TEXT(Estimates!F11,"0.000")&amp;IF(Estimates!I11="","",IF(Estimates!I11&lt;0.01,"***",IF(Estimates!I11&lt;0.05,"**",IF(Estimates!I11&lt;0.1,"*",""))))</f>
        <v>0.097</v>
      </c>
      <c r="D21" s="8" t="str">
        <f aca="false">TEXT(Estimates!J11,"0.000")&amp;IF(Estimates!M11="","",IF(Estimates!M11&lt;0.01,"***",IF(Estimates!M11&lt;0.05,"**",IF(Estimates!M11&lt;0.1,"*",""))))</f>
        <v>-0.513</v>
      </c>
      <c r="E21" s="8" t="str">
        <f aca="false">TEXT(Estimates!N11,"0.000")&amp;IF(Estimates!Q11="","",IF(Estimates!Q11&lt;0.01,"***",IF(Estimates!Q11&lt;0.05,"**",IF(Estimates!Q11&lt;0.1,"*",""))))</f>
        <v>-0.553</v>
      </c>
      <c r="F21" s="8" t="str">
        <f aca="false">TEXT(Estimates!R11,"0.000")&amp;IF(Estimates!U11="","",IF(Estimates!U11&lt;0.01,"***",IF(Estimates!U11&lt;0.05,"**",IF(Estimates!U11&lt;0.1,"*",""))))</f>
        <v>-1.471***</v>
      </c>
      <c r="G21" s="8" t="str">
        <f aca="false">TEXT(Estimates!V11,"0.000")&amp;IF(Estimates!Y11="","",IF(Estimates!Y11&lt;0.01,"***",IF(Estimates!Y11&lt;0.05,"**",IF(Estimates!Y11&lt;0.1,"*",""))))</f>
        <v>-1.960***</v>
      </c>
    </row>
    <row r="22" customFormat="false" ht="15" hidden="false" customHeight="true" outlineLevel="0" collapsed="false">
      <c r="B22" s="8" t="str">
        <f aca="false">IF(Estimates!D11="","(n/a)","("&amp;TEXT(Estimates!D11,"0.00")&amp;")")</f>
        <v>(0.33)</v>
      </c>
      <c r="C22" s="8" t="str">
        <f aca="false">IF(Estimates!H11="","(n/a)","("&amp;TEXT(Estimates!H11,"0.00")&amp;")")</f>
        <v>(0.80)</v>
      </c>
      <c r="D22" s="8" t="str">
        <f aca="false">IF(Estimates!L11="","(n/a)","("&amp;TEXT(Estimates!L11,"0.00")&amp;")")</f>
        <v>(-1.66)</v>
      </c>
      <c r="E22" s="8" t="str">
        <f aca="false">IF(Estimates!P11="","(n/a)","("&amp;TEXT(Estimates!P11,"0.00")&amp;")")</f>
        <v>(-1.40)</v>
      </c>
      <c r="F22" s="8" t="str">
        <f aca="false">IF(Estimates!T11="","(n/a)","("&amp;TEXT(Estimates!T11,"0.00")&amp;")")</f>
        <v>(-3.48)</v>
      </c>
      <c r="G22" s="8" t="str">
        <f aca="false">IF(Estimates!X11="","(n/a)","("&amp;TEXT(Estimates!X11,"0.00")&amp;")")</f>
        <v>(-3.64)</v>
      </c>
    </row>
    <row r="23" customFormat="false" ht="15" hidden="false" customHeight="true" outlineLevel="0" collapsed="false">
      <c r="A23" s="18" t="s">
        <v>17</v>
      </c>
      <c r="B23" s="8" t="str">
        <f aca="false">TEXT(Estimates!B12,"0.000")&amp;IF(Estimates!E12="","",IF(Estimates!E12&lt;0.01,"***",IF(Estimates!E12&lt;0.05,"**",IF(Estimates!E12&lt;0.1,"*",""))))</f>
        <v>0.043</v>
      </c>
      <c r="C23" s="8" t="str">
        <f aca="false">TEXT(Estimates!F12,"0.000")&amp;IF(Estimates!I12="","",IF(Estimates!I12&lt;0.01,"***",IF(Estimates!I12&lt;0.05,"**",IF(Estimates!I12&lt;0.1,"*",""))))</f>
        <v>0.047</v>
      </c>
      <c r="D23" s="8" t="str">
        <f aca="false">TEXT(Estimates!J12,"0.000")&amp;IF(Estimates!M12="","",IF(Estimates!M12&lt;0.01,"***",IF(Estimates!M12&lt;0.05,"**",IF(Estimates!M12&lt;0.1,"*",""))))</f>
        <v>-0.679**</v>
      </c>
      <c r="E23" s="8" t="str">
        <f aca="false">TEXT(Estimates!N12,"0.000")&amp;IF(Estimates!Q12="","",IF(Estimates!Q12&lt;0.01,"***",IF(Estimates!Q12&lt;0.05,"**",IF(Estimates!Q12&lt;0.1,"*",""))))</f>
        <v>-0.648*</v>
      </c>
      <c r="F23" s="8" t="str">
        <f aca="false">TEXT(Estimates!R12,"0.000")&amp;IF(Estimates!U12="","",IF(Estimates!U12&lt;0.01,"***",IF(Estimates!U12&lt;0.05,"**",IF(Estimates!U12&lt;0.1,"*",""))))</f>
        <v>-1.566***</v>
      </c>
      <c r="G23" s="8" t="str">
        <f aca="false">TEXT(Estimates!V12,"0.000")&amp;IF(Estimates!Y12="","",IF(Estimates!Y12&lt;0.01,"***",IF(Estimates!Y12&lt;0.05,"**",IF(Estimates!Y12&lt;0.1,"*",""))))</f>
        <v>-2.101***</v>
      </c>
    </row>
    <row r="24" customFormat="false" ht="15" hidden="false" customHeight="true" outlineLevel="0" collapsed="false">
      <c r="B24" s="8" t="str">
        <f aca="false">IF(Estimates!D12="","(n/a)","("&amp;TEXT(Estimates!D12,"0.00")&amp;")")</f>
        <v>(0.38)</v>
      </c>
      <c r="C24" s="8" t="str">
        <f aca="false">IF(Estimates!H12="","(n/a)","("&amp;TEXT(Estimates!H12,"0.00")&amp;")")</f>
        <v>(0.46)</v>
      </c>
      <c r="D24" s="8" t="str">
        <f aca="false">IF(Estimates!L12="","(n/a)","("&amp;TEXT(Estimates!L12,"0.00")&amp;")")</f>
        <v>(-2.42)</v>
      </c>
      <c r="E24" s="8" t="str">
        <f aca="false">IF(Estimates!P12="","(n/a)","("&amp;TEXT(Estimates!P12,"0.00")&amp;")")</f>
        <v>(-2.01)</v>
      </c>
      <c r="F24" s="8" t="str">
        <f aca="false">IF(Estimates!T12="","(n/a)","("&amp;TEXT(Estimates!T12,"0.00")&amp;")")</f>
        <v>(-3.43)</v>
      </c>
      <c r="G24" s="8" t="str">
        <f aca="false">IF(Estimates!X12="","(n/a)","("&amp;TEXT(Estimates!X12,"0.00")&amp;")")</f>
        <v>(-3.61)</v>
      </c>
    </row>
    <row r="25" customFormat="false" ht="15" hidden="false" customHeight="true" outlineLevel="0" collapsed="false">
      <c r="A25" s="18" t="s">
        <v>18</v>
      </c>
      <c r="B25" s="8" t="str">
        <f aca="false">TEXT(Estimates!B13,"0.000")&amp;IF(Estimates!E13="","",IF(Estimates!E13&lt;0.01,"***",IF(Estimates!E13&lt;0.05,"**",IF(Estimates!E13&lt;0.1,"*",""))))</f>
        <v>0.101</v>
      </c>
      <c r="C25" s="8" t="str">
        <f aca="false">TEXT(Estimates!F13,"0.000")&amp;IF(Estimates!I13="","",IF(Estimates!I13&lt;0.01,"***",IF(Estimates!I13&lt;0.05,"**",IF(Estimates!I13&lt;0.1,"*",""))))</f>
        <v>0.137</v>
      </c>
      <c r="D25" s="8" t="str">
        <f aca="false">TEXT(Estimates!J13,"0.000")&amp;IF(Estimates!M13="","",IF(Estimates!M13&lt;0.01,"***",IF(Estimates!M13&lt;0.05,"**",IF(Estimates!M13&lt;0.1,"*",""))))</f>
        <v>-0.252</v>
      </c>
      <c r="E25" s="8" t="str">
        <f aca="false">TEXT(Estimates!N13,"0.000")&amp;IF(Estimates!Q13="","",IF(Estimates!Q13&lt;0.01,"***",IF(Estimates!Q13&lt;0.05,"**",IF(Estimates!Q13&lt;0.1,"*",""))))</f>
        <v>-0.311</v>
      </c>
      <c r="F25" s="8" t="str">
        <f aca="false">TEXT(Estimates!R13,"0.000")&amp;IF(Estimates!U13="","",IF(Estimates!U13&lt;0.01,"***",IF(Estimates!U13&lt;0.05,"**",IF(Estimates!U13&lt;0.1,"*",""))))</f>
        <v>-1.697*</v>
      </c>
      <c r="G25" s="8" t="str">
        <f aca="false">TEXT(Estimates!V13,"0.000")&amp;IF(Estimates!Y13="","",IF(Estimates!Y13&lt;0.01,"***",IF(Estimates!Y13&lt;0.05,"**",IF(Estimates!Y13&lt;0.1,"*",""))))</f>
        <v>-2.538**</v>
      </c>
    </row>
    <row r="26" customFormat="false" ht="15" hidden="false" customHeight="true" outlineLevel="0" collapsed="false">
      <c r="B26" s="8" t="str">
        <f aca="false">IF(Estimates!D13="","(n/a)","("&amp;TEXT(Estimates!D13,"0.00")&amp;")")</f>
        <v>(0.77)</v>
      </c>
      <c r="C26" s="8" t="str">
        <f aca="false">IF(Estimates!H13="","(n/a)","("&amp;TEXT(Estimates!H13,"0.00")&amp;")")</f>
        <v>(1.62)</v>
      </c>
      <c r="D26" s="8" t="str">
        <f aca="false">IF(Estimates!L13="","(n/a)","("&amp;TEXT(Estimates!L13,"0.00")&amp;")")</f>
        <v>(-0.32)</v>
      </c>
      <c r="E26" s="8" t="str">
        <f aca="false">IF(Estimates!P13="","(n/a)","("&amp;TEXT(Estimates!P13,"0.00")&amp;")")</f>
        <v>(-0.30)</v>
      </c>
      <c r="F26" s="8" t="str">
        <f aca="false">IF(Estimates!T13="","(n/a)","("&amp;TEXT(Estimates!T13,"0.00")&amp;")")</f>
        <v>(-1.81)</v>
      </c>
      <c r="G26" s="8" t="str">
        <f aca="false">IF(Estimates!X13="","(n/a)","("&amp;TEXT(Estimates!X13,"0.00")&amp;")")</f>
        <v>(-2.74)</v>
      </c>
    </row>
    <row r="27" customFormat="false" ht="15" hidden="false" customHeight="true" outlineLevel="0" collapsed="false">
      <c r="A27" s="18" t="s">
        <v>19</v>
      </c>
      <c r="B27" s="8" t="str">
        <f aca="false">TEXT(Estimates!B14,"0.000")&amp;IF(Estimates!E14="","",IF(Estimates!E14&lt;0.01,"***",IF(Estimates!E14&lt;0.05,"**",IF(Estimates!E14&lt;0.1,"*",""))))</f>
        <v>-0.136</v>
      </c>
      <c r="C27" s="8" t="str">
        <f aca="false">TEXT(Estimates!F14,"0.000")&amp;IF(Estimates!I14="","",IF(Estimates!I14&lt;0.01,"***",IF(Estimates!I14&lt;0.05,"**",IF(Estimates!I14&lt;0.1,"*",""))))</f>
        <v>-0.021</v>
      </c>
      <c r="D27" s="8" t="str">
        <f aca="false">TEXT(Estimates!J14,"0.000")&amp;IF(Estimates!M14="","",IF(Estimates!M14&lt;0.01,"***",IF(Estimates!M14&lt;0.05,"**",IF(Estimates!M14&lt;0.1,"*",""))))</f>
        <v>-0.684**</v>
      </c>
      <c r="E27" s="8" t="str">
        <f aca="false">TEXT(Estimates!N14,"0.000")&amp;IF(Estimates!Q14="","",IF(Estimates!Q14&lt;0.01,"***",IF(Estimates!Q14&lt;0.05,"**",IF(Estimates!Q14&lt;0.1,"*",""))))</f>
        <v>-0.702*</v>
      </c>
      <c r="F27" s="8" t="str">
        <f aca="false">TEXT(Estimates!R14,"0.000")&amp;IF(Estimates!U14="","",IF(Estimates!U14&lt;0.01,"***",IF(Estimates!U14&lt;0.05,"**",IF(Estimates!U14&lt;0.1,"*",""))))</f>
        <v>-1.472***</v>
      </c>
      <c r="G27" s="8" t="str">
        <f aca="false">TEXT(Estimates!V14,"0.000")&amp;IF(Estimates!Y14="","",IF(Estimates!Y14&lt;0.01,"***",IF(Estimates!Y14&lt;0.05,"**",IF(Estimates!Y14&lt;0.1,"*",""))))</f>
        <v>-1.744***</v>
      </c>
    </row>
    <row r="28" customFormat="false" ht="15" hidden="false" customHeight="true" outlineLevel="0" collapsed="false">
      <c r="B28" s="8" t="str">
        <f aca="false">IF(Estimates!D14="","(n/a)","("&amp;TEXT(Estimates!D14,"0.00")&amp;")")</f>
        <v>(-0.93)</v>
      </c>
      <c r="C28" s="8" t="str">
        <f aca="false">IF(Estimates!H14="","(n/a)","("&amp;TEXT(Estimates!H14,"0.00")&amp;")")</f>
        <v>(-0.20)</v>
      </c>
      <c r="D28" s="8" t="str">
        <f aca="false">IF(Estimates!L14="","(n/a)","("&amp;TEXT(Estimates!L14,"0.00")&amp;")")</f>
        <v>(-2.17)</v>
      </c>
      <c r="E28" s="8" t="str">
        <f aca="false">IF(Estimates!P14="","(n/a)","("&amp;TEXT(Estimates!P14,"0.00")&amp;")")</f>
        <v>(-1.76)</v>
      </c>
      <c r="F28" s="8" t="str">
        <f aca="false">IF(Estimates!T14="","(n/a)","("&amp;TEXT(Estimates!T14,"0.00")&amp;")")</f>
        <v>(-3.58)</v>
      </c>
      <c r="G28" s="8" t="str">
        <f aca="false">IF(Estimates!X14="","(n/a)","("&amp;TEXT(Estimates!X14,"0.00")&amp;")")</f>
        <v>(-3.91)</v>
      </c>
    </row>
    <row r="29" customFormat="false" ht="15" hidden="false" customHeight="true" outlineLevel="0" collapsed="false">
      <c r="A29" s="18" t="s">
        <v>20</v>
      </c>
      <c r="B29" s="8" t="str">
        <f aca="false">TEXT(Estimates!B15,"0.000")&amp;IF(Estimates!E15="","",IF(Estimates!E15&lt;0.01,"***",IF(Estimates!E15&lt;0.05,"**",IF(Estimates!E15&lt;0.1,"*",""))))</f>
        <v>0.080</v>
      </c>
      <c r="C29" s="8" t="str">
        <f aca="false">TEXT(Estimates!F15,"0.000")&amp;IF(Estimates!I15="","",IF(Estimates!I15&lt;0.01,"***",IF(Estimates!I15&lt;0.05,"**",IF(Estimates!I15&lt;0.1,"*",""))))</f>
        <v>0.126</v>
      </c>
      <c r="D29" s="8" t="str">
        <f aca="false">TEXT(Estimates!J15,"0.000")&amp;IF(Estimates!M15="","",IF(Estimates!M15&lt;0.01,"***",IF(Estimates!M15&lt;0.05,"**",IF(Estimates!M15&lt;0.1,"*",""))))</f>
        <v>-0.518</v>
      </c>
      <c r="E29" s="8" t="str">
        <f aca="false">TEXT(Estimates!N15,"0.000")&amp;IF(Estimates!Q15="","",IF(Estimates!Q15&lt;0.01,"***",IF(Estimates!Q15&lt;0.05,"**",IF(Estimates!Q15&lt;0.1,"*",""))))</f>
        <v>-0.504</v>
      </c>
      <c r="F29" s="8" t="str">
        <f aca="false">TEXT(Estimates!R15,"0.000")&amp;IF(Estimates!U15="","",IF(Estimates!U15&lt;0.01,"***",IF(Estimates!U15&lt;0.05,"**",IF(Estimates!U15&lt;0.1,"*",""))))</f>
        <v>-1.425***</v>
      </c>
      <c r="G29" s="8" t="str">
        <f aca="false">TEXT(Estimates!V15,"0.000")&amp;IF(Estimates!Y15="","",IF(Estimates!Y15&lt;0.01,"***",IF(Estimates!Y15&lt;0.05,"**",IF(Estimates!Y15&lt;0.1,"*",""))))</f>
        <v>-2.206***</v>
      </c>
    </row>
    <row r="30" customFormat="false" ht="15" hidden="false" customHeight="true" outlineLevel="0" collapsed="false">
      <c r="B30" s="8" t="str">
        <f aca="false">IF(Estimates!D15="","(n/a)","("&amp;TEXT(Estimates!D15,"0.00")&amp;")")</f>
        <v>(0.63)</v>
      </c>
      <c r="C30" s="8" t="str">
        <f aca="false">IF(Estimates!H15="","(n/a)","("&amp;TEXT(Estimates!H15,"0.00")&amp;")")</f>
        <v>(0.84)</v>
      </c>
      <c r="D30" s="8" t="str">
        <f aca="false">IF(Estimates!L15="","(n/a)","("&amp;TEXT(Estimates!L15,"0.00")&amp;")")</f>
        <v>(-1.53)</v>
      </c>
      <c r="E30" s="8" t="str">
        <f aca="false">IF(Estimates!P15="","(n/a)","("&amp;TEXT(Estimates!P15,"0.00")&amp;")")</f>
        <v>(-1.22)</v>
      </c>
      <c r="F30" s="8" t="str">
        <f aca="false">IF(Estimates!T15="","(n/a)","("&amp;TEXT(Estimates!T15,"0.00")&amp;")")</f>
        <v>(-2.98)</v>
      </c>
      <c r="G30" s="8" t="str">
        <f aca="false">IF(Estimates!X15="","(n/a)","("&amp;TEXT(Estimates!X15,"0.00")&amp;")")</f>
        <v>(-3.63)</v>
      </c>
    </row>
    <row r="31" customFormat="false" ht="15" hidden="false" customHeight="true" outlineLevel="0" collapsed="false">
      <c r="A31" s="18" t="s">
        <v>21</v>
      </c>
      <c r="B31" s="8" t="str">
        <f aca="false">TEXT(Estimates!B16,"0.000")&amp;IF(Estimates!E16="","",IF(Estimates!E16&lt;0.01,"***",IF(Estimates!E16&lt;0.05,"**",IF(Estimates!E16&lt;0.1,"*",""))))</f>
        <v>0.488</v>
      </c>
      <c r="C31" s="8" t="str">
        <f aca="false">TEXT(Estimates!F16,"0.000")&amp;IF(Estimates!I16="","",IF(Estimates!I16&lt;0.01,"***",IF(Estimates!I16&lt;0.05,"**",IF(Estimates!I16&lt;0.1,"*",""))))</f>
        <v>0.475</v>
      </c>
    </row>
    <row r="32" customFormat="false" ht="15" hidden="false" customHeight="true" outlineLevel="0" collapsed="false">
      <c r="B32" s="8" t="str">
        <f aca="false">IF(Estimates!D16="","(n/a)","("&amp;TEXT(Estimates!D16,"0.00")&amp;")")</f>
        <v>(1.08)</v>
      </c>
      <c r="C32" s="8" t="str">
        <f aca="false">IF(Estimates!H16="","(n/a)","("&amp;TEXT(Estimates!H16,"0.00")&amp;")")</f>
        <v>(1.42)</v>
      </c>
    </row>
    <row r="33" customFormat="false" ht="15" hidden="false" customHeight="true" outlineLevel="0" collapsed="false">
      <c r="A33" s="18" t="s">
        <v>22</v>
      </c>
      <c r="C33" s="8" t="str">
        <f aca="false">TEXT(Estimates!F17,"0.000")&amp;IF(Estimates!I17="","",IF(Estimates!I17&lt;0.01,"***",IF(Estimates!I17&lt;0.05,"**",IF(Estimates!I17&lt;0.1,"*",""))))</f>
        <v>-0.369</v>
      </c>
      <c r="D33" s="8" t="str">
        <f aca="false">TEXT(Estimates!J17,"0.000")&amp;IF(Estimates!M17="","",IF(Estimates!M17&lt;0.01,"***",IF(Estimates!M17&lt;0.05,"**",IF(Estimates!M17&lt;0.1,"*",""))))</f>
        <v>1.685</v>
      </c>
      <c r="E33" s="8" t="str">
        <f aca="false">TEXT(Estimates!N17,"0.000")&amp;IF(Estimates!Q17="","",IF(Estimates!Q17&lt;0.01,"***",IF(Estimates!Q17&lt;0.05,"**",IF(Estimates!Q17&lt;0.1,"*",""))))</f>
        <v>0.858</v>
      </c>
    </row>
    <row r="34" customFormat="false" ht="15" hidden="false" customHeight="true" outlineLevel="0" collapsed="false">
      <c r="C34" s="8" t="str">
        <f aca="false">IF(Estimates!H17="","(n/a)","("&amp;TEXT(Estimates!H17,"0.00")&amp;")")</f>
        <v>(-0.44)</v>
      </c>
      <c r="D34" s="8" t="str">
        <f aca="false">IF(Estimates!L17="","(n/a)","("&amp;TEXT(Estimates!L17,"0.00")&amp;")")</f>
        <v>(1.08)</v>
      </c>
      <c r="E34" s="8" t="str">
        <f aca="false">IF(Estimates!P17="","(n/a)","("&amp;TEXT(Estimates!P17,"0.00")&amp;")")</f>
        <v>(0.46)</v>
      </c>
    </row>
    <row r="35" customFormat="false" ht="15" hidden="false" customHeight="true" outlineLevel="0" collapsed="false">
      <c r="A35" s="18" t="s">
        <v>23</v>
      </c>
      <c r="C35" s="8" t="str">
        <f aca="false">TEXT(Estimates!F18,"0.000")&amp;IF(Estimates!I18="","",IF(Estimates!I18&lt;0.01,"***",IF(Estimates!I18&lt;0.05,"**",IF(Estimates!I18&lt;0.1,"*",""))))</f>
        <v>0.070</v>
      </c>
      <c r="D35" s="8" t="str">
        <f aca="false">TEXT(Estimates!J18,"0.000")&amp;IF(Estimates!M18="","",IF(Estimates!M18&lt;0.01,"***",IF(Estimates!M18&lt;0.05,"**",IF(Estimates!M18&lt;0.1,"*",""))))</f>
        <v>-0.124</v>
      </c>
      <c r="E35" s="8" t="str">
        <f aca="false">TEXT(Estimates!N18,"0.000")&amp;IF(Estimates!Q18="","",IF(Estimates!Q18&lt;0.01,"***",IF(Estimates!Q18&lt;0.05,"**",IF(Estimates!Q18&lt;0.1,"*",""))))</f>
        <v>0.006</v>
      </c>
    </row>
    <row r="36" customFormat="false" ht="15" hidden="false" customHeight="true" outlineLevel="0" collapsed="false">
      <c r="C36" s="8" t="str">
        <f aca="false">IF(Estimates!H18="","(n/a)","("&amp;TEXT(Estimates!H18,"0.00")&amp;")")</f>
        <v>(0.41)</v>
      </c>
      <c r="D36" s="8" t="str">
        <f aca="false">IF(Estimates!L18="","(n/a)","("&amp;TEXT(Estimates!L18,"0.00")&amp;")")</f>
        <v>(-0.45)</v>
      </c>
      <c r="E36" s="8" t="str">
        <f aca="false">IF(Estimates!P18="","(n/a)","("&amp;TEXT(Estimates!P18,"0.00")&amp;")")</f>
        <v>(0.02)</v>
      </c>
    </row>
    <row r="37" customFormat="false" ht="15" hidden="false" customHeight="true" outlineLevel="0" collapsed="false">
      <c r="A37" s="18" t="s">
        <v>24</v>
      </c>
      <c r="C37" s="8" t="str">
        <f aca="false">TEXT(Estimates!F19,"0.000")&amp;IF(Estimates!I19="","",IF(Estimates!I19&lt;0.01,"***",IF(Estimates!I19&lt;0.05,"**",IF(Estimates!I19&lt;0.1,"*",""))))</f>
        <v>-0.028</v>
      </c>
      <c r="D37" s="8" t="str">
        <f aca="false">TEXT(Estimates!J19,"0.000")&amp;IF(Estimates!M19="","",IF(Estimates!M19&lt;0.01,"***",IF(Estimates!M19&lt;0.05,"**",IF(Estimates!M19&lt;0.1,"*",""))))</f>
        <v>-0.278</v>
      </c>
      <c r="E37" s="8" t="str">
        <f aca="false">TEXT(Estimates!N19,"0.000")&amp;IF(Estimates!Q19="","",IF(Estimates!Q19&lt;0.01,"***",IF(Estimates!Q19&lt;0.05,"**",IF(Estimates!Q19&lt;0.1,"*",""))))</f>
        <v>-0.067</v>
      </c>
    </row>
    <row r="38" customFormat="false" ht="15" hidden="false" customHeight="true" outlineLevel="0" collapsed="false">
      <c r="C38" s="8" t="str">
        <f aca="false">IF(Estimates!H19="","(n/a)","("&amp;TEXT(Estimates!H19,"0.00")&amp;")")</f>
        <v>(-0.13)</v>
      </c>
      <c r="D38" s="8" t="str">
        <f aca="false">IF(Estimates!L19="","(n/a)","("&amp;TEXT(Estimates!L19,"0.00")&amp;")")</f>
        <v>(-0.58)</v>
      </c>
      <c r="E38" s="8" t="str">
        <f aca="false">IF(Estimates!P19="","(n/a)","("&amp;TEXT(Estimates!P19,"0.00")&amp;")")</f>
        <v>(-0.07)</v>
      </c>
    </row>
    <row r="39" customFormat="false" ht="15" hidden="false" customHeight="true" outlineLevel="0" collapsed="false">
      <c r="A39" s="18" t="s">
        <v>25</v>
      </c>
      <c r="C39" s="8" t="str">
        <f aca="false">TEXT(Estimates!F20,"0.000")&amp;IF(Estimates!I20="","",IF(Estimates!I20&lt;0.01,"***",IF(Estimates!I20&lt;0.05,"**",IF(Estimates!I20&lt;0.1,"*",""))))</f>
        <v>-0.110</v>
      </c>
      <c r="D39" s="8" t="str">
        <f aca="false">TEXT(Estimates!J20,"0.000")&amp;IF(Estimates!M20="","",IF(Estimates!M20&lt;0.01,"***",IF(Estimates!M20&lt;0.05,"**",IF(Estimates!M20&lt;0.1,"*",""))))</f>
        <v>0.173</v>
      </c>
      <c r="E39" s="8" t="str">
        <f aca="false">TEXT(Estimates!N20,"0.000")&amp;IF(Estimates!Q20="","",IF(Estimates!Q20&lt;0.01,"***",IF(Estimates!Q20&lt;0.05,"**",IF(Estimates!Q20&lt;0.1,"*",""))))</f>
        <v>0.128</v>
      </c>
    </row>
    <row r="40" customFormat="false" ht="15" hidden="false" customHeight="true" outlineLevel="0" collapsed="false">
      <c r="C40" s="8" t="str">
        <f aca="false">IF(Estimates!H20="","(n/a)","("&amp;TEXT(Estimates!H20,"0.00")&amp;")")</f>
        <v>(-0.76)</v>
      </c>
      <c r="D40" s="8" t="str">
        <f aca="false">IF(Estimates!L20="","(n/a)","("&amp;TEXT(Estimates!L20,"0.00")&amp;")")</f>
        <v>(0.40)</v>
      </c>
      <c r="E40" s="8" t="str">
        <f aca="false">IF(Estimates!P20="","(n/a)","("&amp;TEXT(Estimates!P20,"0.00")&amp;")")</f>
        <v>(0.23)</v>
      </c>
    </row>
    <row r="41" customFormat="false" ht="15" hidden="false" customHeight="true" outlineLevel="0" collapsed="false">
      <c r="A41" s="18" t="s">
        <v>26</v>
      </c>
      <c r="C41" s="8" t="str">
        <f aca="false">TEXT(Estimates!F21,"0.000")&amp;IF(Estimates!I21="","",IF(Estimates!I21&lt;0.01,"***",IF(Estimates!I21&lt;0.05,"**",IF(Estimates!I21&lt;0.1,"*",""))))</f>
        <v>0.205</v>
      </c>
    </row>
    <row r="42" customFormat="false" ht="15" hidden="false" customHeight="true" outlineLevel="0" collapsed="false">
      <c r="C42" s="8" t="str">
        <f aca="false">IF(Estimates!H21="","(n/a)","("&amp;TEXT(Estimates!H21,"0.00")&amp;")")</f>
        <v>(0.61)</v>
      </c>
    </row>
    <row r="43" customFormat="false" ht="15" hidden="false" customHeight="true" outlineLevel="0" collapsed="false">
      <c r="A43" s="18" t="s">
        <v>27</v>
      </c>
      <c r="C43" s="8" t="str">
        <f aca="false">TEXT(Estimates!F22,"0.000")&amp;IF(Estimates!I22="","",IF(Estimates!I22&lt;0.01,"***",IF(Estimates!I22&lt;0.05,"**",IF(Estimates!I22&lt;0.1,"*",""))))</f>
        <v>-0.126</v>
      </c>
      <c r="D43" s="8" t="str">
        <f aca="false">TEXT(Estimates!J22,"0.000")&amp;IF(Estimates!M22="","",IF(Estimates!M22&lt;0.01,"***",IF(Estimates!M22&lt;0.05,"**",IF(Estimates!M22&lt;0.1,"*",""))))</f>
        <v>1.441</v>
      </c>
      <c r="E43" s="8" t="str">
        <f aca="false">TEXT(Estimates!N22,"0.000")&amp;IF(Estimates!Q22="","",IF(Estimates!Q22&lt;0.01,"***",IF(Estimates!Q22&lt;0.05,"**",IF(Estimates!Q22&lt;0.1,"*",""))))</f>
        <v>2.004</v>
      </c>
    </row>
    <row r="44" customFormat="false" ht="15" hidden="false" customHeight="true" outlineLevel="0" collapsed="false">
      <c r="C44" s="8" t="str">
        <f aca="false">IF(Estimates!H22="","(n/a)","("&amp;TEXT(Estimates!H22,"0.00")&amp;")")</f>
        <v>(-0.18)</v>
      </c>
      <c r="D44" s="8" t="str">
        <f aca="false">IF(Estimates!L22="","(n/a)","("&amp;TEXT(Estimates!L22,"0.00")&amp;")")</f>
        <v>(0.34)</v>
      </c>
      <c r="E44" s="8" t="str">
        <f aca="false">IF(Estimates!P22="","(n/a)","("&amp;TEXT(Estimates!P22,"0.00")&amp;")")</f>
        <v>(0.42)</v>
      </c>
    </row>
    <row r="46" customFormat="false" ht="15" hidden="false" customHeight="true" outlineLevel="0" collapsed="false">
      <c r="A46" s="18" t="s">
        <v>28</v>
      </c>
      <c r="B46" s="9" t="n">
        <f aca="false">Estimates!B24</f>
        <v>306</v>
      </c>
      <c r="C46" s="9" t="n">
        <f aca="false">Estimates!F24</f>
        <v>280</v>
      </c>
      <c r="D46" s="9" t="n">
        <f aca="false">Estimates!J24</f>
        <v>278</v>
      </c>
      <c r="E46" s="9" t="n">
        <f aca="false">Estimates!N24</f>
        <v>278</v>
      </c>
      <c r="F46" s="9" t="n">
        <f aca="false">Estimates!R24</f>
        <v>289</v>
      </c>
      <c r="G46" s="9" t="n">
        <f aca="false">Estimates!V24</f>
        <v>197</v>
      </c>
    </row>
    <row r="47" customFormat="false" ht="15" hidden="false" customHeight="true" outlineLevel="0" collapsed="false">
      <c r="A47" s="18" t="s">
        <v>29</v>
      </c>
      <c r="B47" s="10" t="n">
        <f aca="false">Estimates!B27</f>
        <v>0.10380089644835</v>
      </c>
      <c r="C47" s="10" t="n">
        <f aca="false">Estimates!F27</f>
        <v>0.0523772858330219</v>
      </c>
      <c r="D47" s="10" t="n">
        <f aca="false">Estimates!J27</f>
        <v>0.0268647562803273</v>
      </c>
      <c r="E47" s="10" t="n">
        <f aca="false">Estimates!N27</f>
        <v>0.019608249178517</v>
      </c>
      <c r="F47" s="10" t="n">
        <f aca="false">Estimates!R27</f>
        <v>0.139174378979848</v>
      </c>
      <c r="G47" s="10" t="n">
        <f aca="false">Estimates!V27</f>
        <v>0.104339387400113</v>
      </c>
    </row>
    <row r="48" customFormat="false" ht="15" hidden="false" customHeight="true" outlineLevel="0" collapsed="false">
      <c r="A48" s="18" t="s">
        <v>44</v>
      </c>
      <c r="B48" s="19" t="n">
        <f aca="false">Estimates!B28</f>
        <v>43</v>
      </c>
      <c r="C48" s="19" t="n">
        <f aca="false">Estimates!F28</f>
        <v>41</v>
      </c>
      <c r="D48" s="19" t="n">
        <f aca="false">Estimates!J28</f>
        <v>41</v>
      </c>
      <c r="E48" s="19" t="n">
        <f aca="false">Estimates!N28</f>
        <v>41</v>
      </c>
      <c r="F48" s="19" t="n">
        <f aca="false">Estimates!R28</f>
        <v>43</v>
      </c>
      <c r="G48" s="19" t="n">
        <f aca="false">Estimates!V28</f>
        <v>24</v>
      </c>
    </row>
    <row r="49" customFormat="false" ht="15" hidden="false" customHeight="true" outlineLevel="0" collapsed="false">
      <c r="A49" s="18" t="s">
        <v>30</v>
      </c>
      <c r="B49" s="11" t="s">
        <v>31</v>
      </c>
      <c r="C49" s="11" t="s">
        <v>31</v>
      </c>
      <c r="D49" s="11" t="s">
        <v>32</v>
      </c>
      <c r="E49" s="11" t="s">
        <v>32</v>
      </c>
      <c r="F49" s="11" t="s">
        <v>31</v>
      </c>
      <c r="G49" s="11" t="s">
        <v>31</v>
      </c>
    </row>
    <row r="50" customFormat="false" ht="15" hidden="false" customHeight="true" outlineLevel="0" collapsed="false">
      <c r="A50" s="18" t="s">
        <v>33</v>
      </c>
      <c r="B50" s="11" t="s">
        <v>32</v>
      </c>
      <c r="C50" s="11" t="s">
        <v>32</v>
      </c>
      <c r="D50" s="11" t="s">
        <v>31</v>
      </c>
      <c r="E50" s="11" t="s">
        <v>32</v>
      </c>
      <c r="F50" s="11" t="s">
        <v>32</v>
      </c>
      <c r="G50" s="11" t="s">
        <v>32</v>
      </c>
    </row>
    <row r="51" customFormat="false" ht="15" hidden="false" customHeight="true" outlineLevel="0" collapsed="false">
      <c r="A51" s="18" t="s">
        <v>45</v>
      </c>
      <c r="B51" s="11" t="s">
        <v>31</v>
      </c>
      <c r="C51" s="11" t="s">
        <v>31</v>
      </c>
      <c r="D51" s="11" t="s">
        <v>31</v>
      </c>
      <c r="E51" s="11" t="s">
        <v>31</v>
      </c>
      <c r="F51" s="11" t="s">
        <v>32</v>
      </c>
      <c r="G51" s="11" t="s">
        <v>32</v>
      </c>
    </row>
    <row r="52" customFormat="false" ht="15" hidden="false" customHeight="true" outlineLevel="0" collapsed="false">
      <c r="A52" s="20" t="s">
        <v>46</v>
      </c>
      <c r="B52" s="6"/>
      <c r="C52" s="6"/>
      <c r="D52" s="6"/>
      <c r="E52" s="6"/>
      <c r="F52" s="6"/>
      <c r="G52" s="6" t="s">
        <v>47</v>
      </c>
    </row>
    <row r="55" customFormat="false" ht="15" hidden="false" customHeight="true" outlineLevel="0" collapsed="false">
      <c r="A55" s="15" t="s">
        <v>35</v>
      </c>
    </row>
    <row r="56" customFormat="false" ht="15" hidden="false" customHeight="true" outlineLevel="0" collapsed="false">
      <c r="A56" s="16"/>
      <c r="B56" s="4" t="s">
        <v>3</v>
      </c>
      <c r="C56" s="4" t="s">
        <v>4</v>
      </c>
      <c r="D56" s="4" t="s">
        <v>5</v>
      </c>
      <c r="E56" s="4" t="s">
        <v>6</v>
      </c>
      <c r="F56" s="4" t="s">
        <v>41</v>
      </c>
      <c r="G56" s="4" t="s">
        <v>42</v>
      </c>
    </row>
    <row r="57" customFormat="false" ht="23.25" hidden="false" customHeight="true" outlineLevel="0" collapsed="false">
      <c r="A57" s="17"/>
      <c r="B57" s="6" t="s">
        <v>36</v>
      </c>
      <c r="C57" s="6" t="s">
        <v>36</v>
      </c>
      <c r="D57" s="6" t="s">
        <v>36</v>
      </c>
      <c r="E57" s="6" t="s">
        <v>36</v>
      </c>
      <c r="F57" s="6" t="s">
        <v>36</v>
      </c>
      <c r="G57" s="6" t="s">
        <v>36</v>
      </c>
    </row>
    <row r="58" customFormat="false" ht="15" hidden="false" customHeight="true" outlineLevel="0" collapsed="false">
      <c r="A58" s="18" t="s">
        <v>43</v>
      </c>
      <c r="B58" s="8" t="str">
        <f aca="false">TEXT(Estimates!Z4,"0.000")&amp;IF(Estimates!AC4="","",IF(Estimates!AC4&lt;0.01,"***",IF(Estimates!AC4&lt;0.05,"**",IF(Estimates!AC4&lt;0.1,"*",""))))</f>
        <v>-1.166**</v>
      </c>
      <c r="C58" s="8" t="str">
        <f aca="false">TEXT(Estimates!AD4,"0.000")&amp;IF(Estimates!AG4="","",IF(Estimates!AG4&lt;0.01,"***",IF(Estimates!AG4&lt;0.05,"**",IF(Estimates!AG4&lt;0.1,"*",""))))</f>
        <v>-1.030*</v>
      </c>
      <c r="D58" s="8" t="str">
        <f aca="false">TEXT(Estimates!AH4,"0.000")&amp;IF(Estimates!AK4="","",IF(Estimates!AK4&lt;0.01,"***",IF(Estimates!AK4&lt;0.05,"**",IF(Estimates!AK4&lt;0.1,"*",""))))</f>
        <v>-1.978*</v>
      </c>
      <c r="E58" s="8" t="str">
        <f aca="false">TEXT(Estimates!AL4,"0.000")&amp;IF(Estimates!AO4="","",IF(Estimates!AO4&lt;0.01,"***",IF(Estimates!AO4&lt;0.05,"**",IF(Estimates!AO4&lt;0.1,"*",""))))</f>
        <v>-1.966**</v>
      </c>
      <c r="F58" s="8" t="str">
        <f aca="false">TEXT(Estimates!AP4,"0.000")&amp;IF(Estimates!AS4="","",IF(Estimates!AS4&lt;0.01,"***",IF(Estimates!AS4&lt;0.05,"**",IF(Estimates!AS4&lt;0.1,"*",""))))</f>
        <v>-2.087*</v>
      </c>
      <c r="G58" s="8" t="str">
        <f aca="false">TEXT(Estimates!AT4,"0.000")&amp;IF(Estimates!AW4="","",IF(Estimates!AW4&lt;0.01,"***",IF(Estimates!AW4&lt;0.05,"**",IF(Estimates!AW4&lt;0.1,"*",""))))</f>
        <v>-4.211</v>
      </c>
    </row>
    <row r="59" customFormat="false" ht="15" hidden="false" customHeight="true" outlineLevel="0" collapsed="false">
      <c r="B59" s="8" t="str">
        <f aca="false">IF(Estimates!AB4="","(n/a)","("&amp;TEXT(Estimates!AB4,"0.00")&amp;")")</f>
        <v>(-2.11)</v>
      </c>
      <c r="C59" s="8" t="str">
        <f aca="false">IF(Estimates!AF4="","(n/a)","("&amp;TEXT(Estimates!AF4,"0.00")&amp;")")</f>
        <v>(-2.04)</v>
      </c>
      <c r="D59" s="8" t="str">
        <f aca="false">IF(Estimates!AJ4="","(n/a)","("&amp;TEXT(Estimates!AJ4,"0.00")&amp;")")</f>
        <v>(-2.10)</v>
      </c>
      <c r="E59" s="8" t="str">
        <f aca="false">IF(Estimates!AN4="","(n/a)","("&amp;TEXT(Estimates!AN4,"0.00")&amp;")")</f>
        <v>(-2.26)</v>
      </c>
      <c r="F59" s="8" t="str">
        <f aca="false">IF(Estimates!AR4="","(n/a)","("&amp;TEXT(Estimates!AR4,"0.00")&amp;")")</f>
        <v>(-1.82)</v>
      </c>
      <c r="G59" s="8" t="str">
        <f aca="false">IF(Estimates!AV4="","(n/a)","("&amp;TEXT(Estimates!AV4,"0.00")&amp;")")</f>
        <v>(-1.38)</v>
      </c>
    </row>
    <row r="60" customFormat="false" ht="15" hidden="false" customHeight="true" outlineLevel="0" collapsed="false">
      <c r="A60" s="18" t="s">
        <v>10</v>
      </c>
      <c r="B60" s="8" t="str">
        <f aca="false">TEXT(Estimates!Z5,"0.000")&amp;IF(Estimates!AC5="","",IF(Estimates!AC5&lt;0.01,"***",IF(Estimates!AC5&lt;0.05,"**",IF(Estimates!AC5&lt;0.1,"*",""))))</f>
        <v>0.135</v>
      </c>
      <c r="C60" s="8" t="str">
        <f aca="false">TEXT(Estimates!AD5,"0.000")&amp;IF(Estimates!AG5="","",IF(Estimates!AG5&lt;0.01,"***",IF(Estimates!AG5&lt;0.05,"**",IF(Estimates!AG5&lt;0.1,"*",""))))</f>
        <v>0.102</v>
      </c>
      <c r="D60" s="8" t="str">
        <f aca="false">TEXT(Estimates!AH5,"0.000")&amp;IF(Estimates!AK5="","",IF(Estimates!AK5&lt;0.01,"***",IF(Estimates!AK5&lt;0.05,"**",IF(Estimates!AK5&lt;0.1,"*",""))))</f>
        <v>-0.014</v>
      </c>
      <c r="E60" s="8" t="str">
        <f aca="false">TEXT(Estimates!AL5,"0.000")&amp;IF(Estimates!AO5="","",IF(Estimates!AO5&lt;0.01,"***",IF(Estimates!AO5&lt;0.05,"**",IF(Estimates!AO5&lt;0.1,"*",""))))</f>
        <v>0.032</v>
      </c>
      <c r="F60" s="8" t="str">
        <f aca="false">TEXT(Estimates!AP5,"0.000")&amp;IF(Estimates!AS5="","",IF(Estimates!AS5&lt;0.01,"***",IF(Estimates!AS5&lt;0.05,"**",IF(Estimates!AS5&lt;0.1,"*",""))))</f>
        <v>0.014</v>
      </c>
      <c r="G60" s="8" t="str">
        <f aca="false">TEXT(Estimates!AT5,"0.000")&amp;IF(Estimates!AW5="","",IF(Estimates!AW5&lt;0.01,"***",IF(Estimates!AW5&lt;0.05,"**",IF(Estimates!AW5&lt;0.1,"*",""))))</f>
        <v>0.759*</v>
      </c>
    </row>
    <row r="61" customFormat="false" ht="15" hidden="false" customHeight="true" outlineLevel="0" collapsed="false">
      <c r="B61" s="8" t="str">
        <f aca="false">IF(Estimates!AB5="","(n/a)","("&amp;TEXT(Estimates!AB5,"0.00")&amp;")")</f>
        <v>(0.93)</v>
      </c>
      <c r="C61" s="8" t="str">
        <f aca="false">IF(Estimates!AF5="","(n/a)","("&amp;TEXT(Estimates!AF5,"0.00")&amp;")")</f>
        <v>(0.86)</v>
      </c>
      <c r="D61" s="8" t="str">
        <f aca="false">IF(Estimates!AJ5="","(n/a)","("&amp;TEXT(Estimates!AJ5,"0.00")&amp;")")</f>
        <v>(-0.41)</v>
      </c>
      <c r="E61" s="8" t="str">
        <f aca="false">IF(Estimates!AN5="","(n/a)","("&amp;TEXT(Estimates!AN5,"0.00")&amp;")")</f>
        <v>(0.31)</v>
      </c>
      <c r="F61" s="8" t="str">
        <f aca="false">IF(Estimates!AR5="","(n/a)","("&amp;TEXT(Estimates!AR5,"0.00")&amp;")")</f>
        <v>(0.13)</v>
      </c>
      <c r="G61" s="8" t="str">
        <f aca="false">IF(Estimates!AV5="","(n/a)","("&amp;TEXT(Estimates!AV5,"0.00")&amp;")")</f>
        <v>(2.02)</v>
      </c>
    </row>
    <row r="62" customFormat="false" ht="15" hidden="false" customHeight="true" outlineLevel="0" collapsed="false">
      <c r="A62" s="18" t="s">
        <v>11</v>
      </c>
      <c r="B62" s="8" t="str">
        <f aca="false">TEXT(Estimates!Z6,"0.000")&amp;IF(Estimates!AC6="","",IF(Estimates!AC6&lt;0.01,"***",IF(Estimates!AC6&lt;0.05,"**",IF(Estimates!AC6&lt;0.1,"*",""))))</f>
        <v>0.077</v>
      </c>
      <c r="C62" s="8" t="str">
        <f aca="false">TEXT(Estimates!AD6,"0.000")&amp;IF(Estimates!AG6="","",IF(Estimates!AG6&lt;0.01,"***",IF(Estimates!AG6&lt;0.05,"**",IF(Estimates!AG6&lt;0.1,"*",""))))</f>
        <v>-0.019</v>
      </c>
      <c r="D62" s="8" t="str">
        <f aca="false">TEXT(Estimates!AH6,"0.000")&amp;IF(Estimates!AK6="","",IF(Estimates!AK6&lt;0.01,"***",IF(Estimates!AK6&lt;0.05,"**",IF(Estimates!AK6&lt;0.1,"*",""))))</f>
        <v>0.606</v>
      </c>
      <c r="E62" s="8" t="str">
        <f aca="false">TEXT(Estimates!AL6,"0.000")&amp;IF(Estimates!AO6="","",IF(Estimates!AO6&lt;0.01,"***",IF(Estimates!AO6&lt;0.05,"**",IF(Estimates!AO6&lt;0.1,"*",""))))</f>
        <v>-1.964</v>
      </c>
      <c r="F62" s="8" t="str">
        <f aca="false">TEXT(Estimates!AP6,"0.000")&amp;IF(Estimates!AS6="","",IF(Estimates!AS6&lt;0.01,"***",IF(Estimates!AS6&lt;0.05,"**",IF(Estimates!AS6&lt;0.1,"*",""))))</f>
        <v>-6.951</v>
      </c>
      <c r="G62" s="8" t="str">
        <f aca="false">TEXT(Estimates!AT6,"0.000")&amp;IF(Estimates!AW6="","",IF(Estimates!AW6&lt;0.01,"***",IF(Estimates!AW6&lt;0.05,"**",IF(Estimates!AW6&lt;0.1,"*",""))))</f>
        <v>-7.363</v>
      </c>
    </row>
    <row r="63" customFormat="false" ht="15" hidden="false" customHeight="true" outlineLevel="0" collapsed="false">
      <c r="B63" s="8" t="str">
        <f aca="false">IF(Estimates!AB6="","(n/a)","("&amp;TEXT(Estimates!AB6,"0.00")&amp;")")</f>
        <v>(0.49)</v>
      </c>
      <c r="C63" s="8" t="str">
        <f aca="false">IF(Estimates!AF6="","(n/a)","("&amp;TEXT(Estimates!AF6,"0.00")&amp;")")</f>
        <v>(-0.08)</v>
      </c>
      <c r="D63" s="8" t="str">
        <f aca="false">IF(Estimates!AJ6="","(n/a)","("&amp;TEXT(Estimates!AJ6,"0.00")&amp;")")</f>
        <v>(0.45)</v>
      </c>
      <c r="E63" s="8" t="str">
        <f aca="false">IF(Estimates!AN6="","(n/a)","("&amp;TEXT(Estimates!AN6,"0.00")&amp;")")</f>
        <v>(-1.40)</v>
      </c>
      <c r="F63" s="8" t="str">
        <f aca="false">IF(Estimates!AR6="","(n/a)","("&amp;TEXT(Estimates!AR6,"0.00")&amp;")")</f>
        <v>(-0.97)</v>
      </c>
      <c r="G63" s="8" t="str">
        <f aca="false">IF(Estimates!AV6="","(n/a)","("&amp;TEXT(Estimates!AV6,"0.00")&amp;")")</f>
        <v>(-0.65)</v>
      </c>
    </row>
    <row r="64" customFormat="false" ht="15" hidden="false" customHeight="true" outlineLevel="0" collapsed="false">
      <c r="A64" s="18" t="s">
        <v>12</v>
      </c>
      <c r="B64" s="8" t="str">
        <f aca="false">TEXT(Estimates!Z7,"0.000")&amp;IF(Estimates!AC7="","",IF(Estimates!AC7&lt;0.01,"***",IF(Estimates!AC7&lt;0.05,"**",IF(Estimates!AC7&lt;0.1,"*",""))))</f>
        <v>-0.012</v>
      </c>
      <c r="C64" s="8" t="str">
        <f aca="false">TEXT(Estimates!AD7,"0.000")&amp;IF(Estimates!AG7="","",IF(Estimates!AG7&lt;0.01,"***",IF(Estimates!AG7&lt;0.05,"**",IF(Estimates!AG7&lt;0.1,"*",""))))</f>
        <v>-0.005</v>
      </c>
      <c r="D64" s="8" t="str">
        <f aca="false">TEXT(Estimates!AH7,"0.000")&amp;IF(Estimates!AK7="","",IF(Estimates!AK7&lt;0.01,"***",IF(Estimates!AK7&lt;0.05,"**",IF(Estimates!AK7&lt;0.1,"*",""))))</f>
        <v>-0.105*</v>
      </c>
      <c r="E64" s="8" t="str">
        <f aca="false">TEXT(Estimates!AL7,"0.000")&amp;IF(Estimates!AO7="","",IF(Estimates!AO7&lt;0.01,"***",IF(Estimates!AO7&lt;0.05,"**",IF(Estimates!AO7&lt;0.1,"*",""))))</f>
        <v>-0.049</v>
      </c>
      <c r="F64" s="8" t="str">
        <f aca="false">TEXT(Estimates!AP7,"0.000")&amp;IF(Estimates!AS7="","",IF(Estimates!AS7&lt;0.01,"***",IF(Estimates!AS7&lt;0.05,"**",IF(Estimates!AS7&lt;0.1,"*",""))))</f>
        <v>-0.114</v>
      </c>
      <c r="G64" s="8" t="str">
        <f aca="false">TEXT(Estimates!AT7,"0.000")&amp;IF(Estimates!AW7="","",IF(Estimates!AW7&lt;0.01,"***",IF(Estimates!AW7&lt;0.05,"**",IF(Estimates!AW7&lt;0.1,"*",""))))</f>
        <v>-0.017</v>
      </c>
    </row>
    <row r="65" customFormat="false" ht="15" hidden="false" customHeight="true" outlineLevel="0" collapsed="false">
      <c r="B65" s="8" t="str">
        <f aca="false">IF(Estimates!AB7="","(n/a)","("&amp;TEXT(Estimates!AB7,"0.00")&amp;")")</f>
        <v>(-0.82)</v>
      </c>
      <c r="C65" s="8" t="str">
        <f aca="false">IF(Estimates!AF7="","(n/a)","("&amp;TEXT(Estimates!AF7,"0.00")&amp;")")</f>
        <v>(-0.32)</v>
      </c>
      <c r="D65" s="8" t="str">
        <f aca="false">IF(Estimates!AJ7="","(n/a)","("&amp;TEXT(Estimates!AJ7,"0.00")&amp;")")</f>
        <v>(-1.82)</v>
      </c>
      <c r="E65" s="8" t="str">
        <f aca="false">IF(Estimates!AN7="","(n/a)","("&amp;TEXT(Estimates!AN7,"0.00")&amp;")")</f>
        <v>(-1.24)</v>
      </c>
      <c r="F65" s="8" t="str">
        <f aca="false">IF(Estimates!AR7="","(n/a)","("&amp;TEXT(Estimates!AR7,"0.00")&amp;")")</f>
        <v>(-1.68)</v>
      </c>
      <c r="G65" s="8" t="str">
        <f aca="false">IF(Estimates!AV7="","(n/a)","("&amp;TEXT(Estimates!AV7,"0.00")&amp;")")</f>
        <v>(-0.60)</v>
      </c>
    </row>
    <row r="66" customFormat="false" ht="15" hidden="false" customHeight="true" outlineLevel="0" collapsed="false">
      <c r="A66" s="18" t="s">
        <v>13</v>
      </c>
      <c r="B66" s="8" t="str">
        <f aca="false">TEXT(Estimates!Z8,"0.000")&amp;IF(Estimates!AC8="","",IF(Estimates!AC8&lt;0.01,"***",IF(Estimates!AC8&lt;0.05,"**",IF(Estimates!AC8&lt;0.1,"*",""))))</f>
        <v>-0.467</v>
      </c>
      <c r="C66" s="8" t="str">
        <f aca="false">TEXT(Estimates!AD8,"0.000")&amp;IF(Estimates!AG8="","",IF(Estimates!AG8&lt;0.01,"***",IF(Estimates!AG8&lt;0.05,"**",IF(Estimates!AG8&lt;0.1,"*",""))))</f>
        <v>-0.300</v>
      </c>
      <c r="D66" s="8" t="str">
        <f aca="false">TEXT(Estimates!AH8,"0.000")&amp;IF(Estimates!AK8="","",IF(Estimates!AK8&lt;0.01,"***",IF(Estimates!AK8&lt;0.05,"**",IF(Estimates!AK8&lt;0.1,"*",""))))</f>
        <v>-1.126</v>
      </c>
      <c r="E66" s="8" t="str">
        <f aca="false">TEXT(Estimates!AL8,"0.000")&amp;IF(Estimates!AO8="","",IF(Estimates!AO8&lt;0.01,"***",IF(Estimates!AO8&lt;0.05,"**",IF(Estimates!AO8&lt;0.1,"*",""))))</f>
        <v>-0.973</v>
      </c>
      <c r="F66" s="8" t="str">
        <f aca="false">TEXT(Estimates!AP8,"0.000")&amp;IF(Estimates!AS8="","",IF(Estimates!AS8&lt;0.01,"***",IF(Estimates!AS8&lt;0.05,"**",IF(Estimates!AS8&lt;0.1,"*",""))))</f>
        <v>-1.506*</v>
      </c>
      <c r="G66" s="8" t="str">
        <f aca="false">TEXT(Estimates!AT8,"0.000")&amp;IF(Estimates!AW8="","",IF(Estimates!AW8&lt;0.01,"***",IF(Estimates!AW8&lt;0.05,"**",IF(Estimates!AW8&lt;0.1,"*",""))))</f>
        <v>-1.775</v>
      </c>
    </row>
    <row r="67" customFormat="false" ht="15" hidden="false" customHeight="true" outlineLevel="0" collapsed="false">
      <c r="B67" s="8" t="str">
        <f aca="false">IF(Estimates!AB8="","(n/a)","("&amp;TEXT(Estimates!AB8,"0.00")&amp;")")</f>
        <v>(-1.34)</v>
      </c>
      <c r="C67" s="8" t="str">
        <f aca="false">IF(Estimates!AF8="","(n/a)","("&amp;TEXT(Estimates!AF8,"0.00")&amp;")")</f>
        <v>(-0.75)</v>
      </c>
      <c r="D67" s="8" t="str">
        <f aca="false">IF(Estimates!AJ8="","(n/a)","("&amp;TEXT(Estimates!AJ8,"0.00")&amp;")")</f>
        <v>(-1.47)</v>
      </c>
      <c r="E67" s="8" t="str">
        <f aca="false">IF(Estimates!AN8="","(n/a)","("&amp;TEXT(Estimates!AN8,"0.00")&amp;")")</f>
        <v>(-1.12)</v>
      </c>
      <c r="F67" s="8" t="str">
        <f aca="false">IF(Estimates!AR8="","(n/a)","("&amp;TEXT(Estimates!AR8,"0.00")&amp;")")</f>
        <v>(-2.08)</v>
      </c>
      <c r="G67" s="8" t="str">
        <f aca="false">IF(Estimates!AV8="","(n/a)","("&amp;TEXT(Estimates!AV8,"0.00")&amp;")")</f>
        <v>(-1.29)</v>
      </c>
    </row>
    <row r="68" customFormat="false" ht="15" hidden="false" customHeight="true" outlineLevel="0" collapsed="false">
      <c r="A68" s="18" t="s">
        <v>14</v>
      </c>
      <c r="B68" s="8" t="str">
        <f aca="false">TEXT(Estimates!Z9,"0.000")&amp;IF(Estimates!AC9="","",IF(Estimates!AC9&lt;0.01,"***",IF(Estimates!AC9&lt;0.05,"**",IF(Estimates!AC9&lt;0.1,"*",""))))</f>
        <v>-0.503</v>
      </c>
      <c r="C68" s="8" t="str">
        <f aca="false">TEXT(Estimates!AD9,"0.000")&amp;IF(Estimates!AG9="","",IF(Estimates!AG9&lt;0.01,"***",IF(Estimates!AG9&lt;0.05,"**",IF(Estimates!AG9&lt;0.1,"*",""))))</f>
        <v>-0.322</v>
      </c>
      <c r="D68" s="8" t="str">
        <f aca="false">TEXT(Estimates!AH9,"0.000")&amp;IF(Estimates!AK9="","",IF(Estimates!AK9&lt;0.01,"***",IF(Estimates!AK9&lt;0.05,"**",IF(Estimates!AK9&lt;0.1,"*",""))))</f>
        <v>-1.257</v>
      </c>
      <c r="E68" s="8" t="str">
        <f aca="false">TEXT(Estimates!AL9,"0.000")&amp;IF(Estimates!AO9="","",IF(Estimates!AO9&lt;0.01,"***",IF(Estimates!AO9&lt;0.05,"**",IF(Estimates!AO9&lt;0.1,"*",""))))</f>
        <v>-0.950</v>
      </c>
      <c r="F68" s="8" t="str">
        <f aca="false">TEXT(Estimates!AP9,"0.000")&amp;IF(Estimates!AS9="","",IF(Estimates!AS9&lt;0.01,"***",IF(Estimates!AS9&lt;0.05,"**",IF(Estimates!AS9&lt;0.1,"*",""))))</f>
        <v>-1.557*</v>
      </c>
      <c r="G68" s="8" t="str">
        <f aca="false">TEXT(Estimates!AT9,"0.000")&amp;IF(Estimates!AW9="","",IF(Estimates!AW9&lt;0.01,"***",IF(Estimates!AW9&lt;0.05,"**",IF(Estimates!AW9&lt;0.1,"*",""))))</f>
        <v>-1.717</v>
      </c>
    </row>
    <row r="69" customFormat="false" ht="15" hidden="false" customHeight="true" outlineLevel="0" collapsed="false">
      <c r="B69" s="8" t="str">
        <f aca="false">IF(Estimates!AB9="","(n/a)","("&amp;TEXT(Estimates!AB9,"0.00")&amp;")")</f>
        <v>(-1.59)</v>
      </c>
      <c r="C69" s="8" t="str">
        <f aca="false">IF(Estimates!AF9="","(n/a)","("&amp;TEXT(Estimates!AF9,"0.00")&amp;")")</f>
        <v>(-0.86)</v>
      </c>
      <c r="D69" s="8" t="str">
        <f aca="false">IF(Estimates!AJ9="","(n/a)","("&amp;TEXT(Estimates!AJ9,"0.00")&amp;")")</f>
        <v>(-1.68)</v>
      </c>
      <c r="E69" s="8" t="str">
        <f aca="false">IF(Estimates!AN9="","(n/a)","("&amp;TEXT(Estimates!AN9,"0.00")&amp;")")</f>
        <v>(-1.07)</v>
      </c>
      <c r="F69" s="8" t="str">
        <f aca="false">IF(Estimates!AR9="","(n/a)","("&amp;TEXT(Estimates!AR9,"0.00")&amp;")")</f>
        <v>(-1.98)</v>
      </c>
      <c r="G69" s="8" t="str">
        <f aca="false">IF(Estimates!AV9="","(n/a)","("&amp;TEXT(Estimates!AV9,"0.00")&amp;")")</f>
        <v>(-1.13)</v>
      </c>
    </row>
    <row r="70" customFormat="false" ht="15" hidden="false" customHeight="true" outlineLevel="0" collapsed="false">
      <c r="A70" s="18" t="s">
        <v>15</v>
      </c>
      <c r="B70" s="8" t="str">
        <f aca="false">TEXT(Estimates!Z10,"0.000")&amp;IF(Estimates!AC10="","",IF(Estimates!AC10&lt;0.01,"***",IF(Estimates!AC10&lt;0.05,"**",IF(Estimates!AC10&lt;0.1,"*",""))))</f>
        <v>-0.515*</v>
      </c>
      <c r="C70" s="8" t="str">
        <f aca="false">TEXT(Estimates!AD10,"0.000")&amp;IF(Estimates!AG10="","",IF(Estimates!AG10&lt;0.01,"***",IF(Estimates!AG10&lt;0.05,"**",IF(Estimates!AG10&lt;0.1,"*",""))))</f>
        <v>-0.330</v>
      </c>
      <c r="D70" s="8" t="str">
        <f aca="false">TEXT(Estimates!AH10,"0.000")&amp;IF(Estimates!AK10="","",IF(Estimates!AK10&lt;0.01,"***",IF(Estimates!AK10&lt;0.05,"**",IF(Estimates!AK10&lt;0.1,"*",""))))</f>
        <v>-1.059</v>
      </c>
      <c r="E70" s="8" t="str">
        <f aca="false">TEXT(Estimates!AL10,"0.000")&amp;IF(Estimates!AO10="","",IF(Estimates!AO10&lt;0.01,"***",IF(Estimates!AO10&lt;0.05,"**",IF(Estimates!AO10&lt;0.1,"*",""))))</f>
        <v>-1.251</v>
      </c>
      <c r="F70" s="8" t="str">
        <f aca="false">TEXT(Estimates!AP10,"0.000")&amp;IF(Estimates!AS10="","",IF(Estimates!AS10&lt;0.01,"***",IF(Estimates!AS10&lt;0.05,"**",IF(Estimates!AS10&lt;0.1,"*",""))))</f>
        <v>-2.430**</v>
      </c>
      <c r="G70" s="8" t="str">
        <f aca="false">TEXT(Estimates!AT10,"0.000")&amp;IF(Estimates!AW10="","",IF(Estimates!AW10&lt;0.01,"***",IF(Estimates!AW10&lt;0.05,"**",IF(Estimates!AW10&lt;0.1,"*",""))))</f>
        <v>-3.883*</v>
      </c>
    </row>
    <row r="71" customFormat="false" ht="15" hidden="false" customHeight="true" outlineLevel="0" collapsed="false">
      <c r="B71" s="8" t="str">
        <f aca="false">IF(Estimates!AB10="","(n/a)","("&amp;TEXT(Estimates!AB10,"0.00")&amp;")")</f>
        <v>(-1.88)</v>
      </c>
      <c r="C71" s="8" t="str">
        <f aca="false">IF(Estimates!AF10="","(n/a)","("&amp;TEXT(Estimates!AF10,"0.00")&amp;")")</f>
        <v>(-0.94)</v>
      </c>
      <c r="D71" s="8" t="str">
        <f aca="false">IF(Estimates!AJ10="","(n/a)","("&amp;TEXT(Estimates!AJ10,"0.00")&amp;")")</f>
        <v>(-1.35)</v>
      </c>
      <c r="E71" s="8" t="str">
        <f aca="false">IF(Estimates!AN10="","(n/a)","("&amp;TEXT(Estimates!AN10,"0.00")&amp;")")</f>
        <v>(-1.42)</v>
      </c>
      <c r="F71" s="8" t="str">
        <f aca="false">IF(Estimates!AR10="","(n/a)","("&amp;TEXT(Estimates!AR10,"0.00")&amp;")")</f>
        <v>(-2.21)</v>
      </c>
      <c r="G71" s="8" t="str">
        <f aca="false">IF(Estimates!AV10="","(n/a)","("&amp;TEXT(Estimates!AV10,"0.00")&amp;")")</f>
        <v>(-1.86)</v>
      </c>
    </row>
    <row r="72" customFormat="false" ht="15" hidden="false" customHeight="true" outlineLevel="0" collapsed="false">
      <c r="A72" s="18" t="s">
        <v>16</v>
      </c>
      <c r="B72" s="8" t="str">
        <f aca="false">TEXT(Estimates!Z11,"0.000")&amp;IF(Estimates!AC11="","",IF(Estimates!AC11&lt;0.01,"***",IF(Estimates!AC11&lt;0.05,"**",IF(Estimates!AC11&lt;0.1,"*",""))))</f>
        <v>-0.498</v>
      </c>
      <c r="C72" s="8" t="str">
        <f aca="false">TEXT(Estimates!AD11,"0.000")&amp;IF(Estimates!AG11="","",IF(Estimates!AG11&lt;0.01,"***",IF(Estimates!AG11&lt;0.05,"**",IF(Estimates!AG11&lt;0.1,"*",""))))</f>
        <v>-0.319</v>
      </c>
      <c r="D72" s="8" t="str">
        <f aca="false">TEXT(Estimates!AH11,"0.000")&amp;IF(Estimates!AK11="","",IF(Estimates!AK11&lt;0.01,"***",IF(Estimates!AK11&lt;0.05,"**",IF(Estimates!AK11&lt;0.1,"*",""))))</f>
        <v>-1.199</v>
      </c>
      <c r="E72" s="8" t="str">
        <f aca="false">TEXT(Estimates!AL11,"0.000")&amp;IF(Estimates!AO11="","",IF(Estimates!AO11&lt;0.01,"***",IF(Estimates!AO11&lt;0.05,"**",IF(Estimates!AO11&lt;0.1,"*",""))))</f>
        <v>-0.861</v>
      </c>
      <c r="F72" s="8" t="str">
        <f aca="false">TEXT(Estimates!AP11,"0.000")&amp;IF(Estimates!AS11="","",IF(Estimates!AS11&lt;0.01,"***",IF(Estimates!AS11&lt;0.05,"**",IF(Estimates!AS11&lt;0.1,"*",""))))</f>
        <v>-1.529**</v>
      </c>
      <c r="G72" s="8" t="str">
        <f aca="false">TEXT(Estimates!AT11,"0.000")&amp;IF(Estimates!AW11="","",IF(Estimates!AW11&lt;0.01,"***",IF(Estimates!AW11&lt;0.05,"**",IF(Estimates!AW11&lt;0.1,"*",""))))</f>
        <v>-1.434</v>
      </c>
    </row>
    <row r="73" customFormat="false" ht="15" hidden="false" customHeight="true" outlineLevel="0" collapsed="false">
      <c r="B73" s="8" t="str">
        <f aca="false">IF(Estimates!AB11="","(n/a)","("&amp;TEXT(Estimates!AB11,"0.00")&amp;")")</f>
        <v>(-1.38)</v>
      </c>
      <c r="C73" s="8" t="str">
        <f aca="false">IF(Estimates!AF11="","(n/a)","("&amp;TEXT(Estimates!AF11,"0.00")&amp;")")</f>
        <v>(-0.73)</v>
      </c>
      <c r="D73" s="8" t="str">
        <f aca="false">IF(Estimates!AJ11="","(n/a)","("&amp;TEXT(Estimates!AJ11,"0.00")&amp;")")</f>
        <v>(-1.64)</v>
      </c>
      <c r="E73" s="8" t="str">
        <f aca="false">IF(Estimates!AN11="","(n/a)","("&amp;TEXT(Estimates!AN11,"0.00")&amp;")")</f>
        <v>(-1.03)</v>
      </c>
      <c r="F73" s="8" t="str">
        <f aca="false">IF(Estimates!AR11="","(n/a)","("&amp;TEXT(Estimates!AR11,"0.00")&amp;")")</f>
        <v>(-2.13)</v>
      </c>
      <c r="G73" s="8" t="str">
        <f aca="false">IF(Estimates!AV11="","(n/a)","("&amp;TEXT(Estimates!AV11,"0.00")&amp;")")</f>
        <v>(-1.00)</v>
      </c>
    </row>
    <row r="74" customFormat="false" ht="15" hidden="false" customHeight="true" outlineLevel="0" collapsed="false">
      <c r="A74" s="18" t="s">
        <v>17</v>
      </c>
      <c r="B74" s="8" t="str">
        <f aca="false">TEXT(Estimates!Z12,"0.000")&amp;IF(Estimates!AC12="","",IF(Estimates!AC12&lt;0.01,"***",IF(Estimates!AC12&lt;0.05,"**",IF(Estimates!AC12&lt;0.1,"*",""))))</f>
        <v>-0.650**</v>
      </c>
      <c r="C74" s="8" t="str">
        <f aca="false">TEXT(Estimates!AD12,"0.000")&amp;IF(Estimates!AG12="","",IF(Estimates!AG12&lt;0.01,"***",IF(Estimates!AG12&lt;0.05,"**",IF(Estimates!AG12&lt;0.1,"*",""))))</f>
        <v>-0.463</v>
      </c>
      <c r="D74" s="8" t="str">
        <f aca="false">TEXT(Estimates!AH12,"0.000")&amp;IF(Estimates!AK12="","",IF(Estimates!AK12&lt;0.01,"***",IF(Estimates!AK12&lt;0.05,"**",IF(Estimates!AK12&lt;0.1,"*",""))))</f>
        <v>-1.215</v>
      </c>
      <c r="E74" s="8" t="str">
        <f aca="false">TEXT(Estimates!AL12,"0.000")&amp;IF(Estimates!AO12="","",IF(Estimates!AO12&lt;0.01,"***",IF(Estimates!AO12&lt;0.05,"**",IF(Estimates!AO12&lt;0.1,"*",""))))</f>
        <v>-1.236</v>
      </c>
      <c r="F74" s="8" t="str">
        <f aca="false">TEXT(Estimates!AP12,"0.000")&amp;IF(Estimates!AS12="","",IF(Estimates!AS12&lt;0.01,"***",IF(Estimates!AS12&lt;0.05,"**",IF(Estimates!AS12&lt;0.1,"*",""))))</f>
        <v>-2.409**</v>
      </c>
      <c r="G74" s="8" t="str">
        <f aca="false">TEXT(Estimates!AT12,"0.000")&amp;IF(Estimates!AW12="","",IF(Estimates!AW12&lt;0.01,"***",IF(Estimates!AW12&lt;0.05,"**",IF(Estimates!AW12&lt;0.1,"*",""))))</f>
        <v>-4.035**</v>
      </c>
    </row>
    <row r="75" customFormat="false" ht="15" hidden="false" customHeight="true" outlineLevel="0" collapsed="false">
      <c r="B75" s="8" t="str">
        <f aca="false">IF(Estimates!AB12="","(n/a)","("&amp;TEXT(Estimates!AB12,"0.00")&amp;")")</f>
        <v>(-2.23)</v>
      </c>
      <c r="C75" s="8" t="str">
        <f aca="false">IF(Estimates!AF12="","(n/a)","("&amp;TEXT(Estimates!AF12,"0.00")&amp;")")</f>
        <v>(-1.31)</v>
      </c>
      <c r="D75" s="8" t="str">
        <f aca="false">IF(Estimates!AJ12="","(n/a)","("&amp;TEXT(Estimates!AJ12,"0.00")&amp;")")</f>
        <v>(-1.61)</v>
      </c>
      <c r="E75" s="8" t="str">
        <f aca="false">IF(Estimates!AN12="","(n/a)","("&amp;TEXT(Estimates!AN12,"0.00")&amp;")")</f>
        <v>(-1.58)</v>
      </c>
      <c r="F75" s="8" t="str">
        <f aca="false">IF(Estimates!AR12="","(n/a)","("&amp;TEXT(Estimates!AR12,"0.00")&amp;")")</f>
        <v>(-2.73)</v>
      </c>
      <c r="G75" s="8" t="str">
        <f aca="false">IF(Estimates!AV12="","(n/a)","("&amp;TEXT(Estimates!AV12,"0.00")&amp;")")</f>
        <v>(-2.29)</v>
      </c>
    </row>
    <row r="76" customFormat="false" ht="15" hidden="false" customHeight="true" outlineLevel="0" collapsed="false">
      <c r="A76" s="18" t="s">
        <v>19</v>
      </c>
      <c r="B76" s="8" t="str">
        <f aca="false">TEXT(Estimates!Z14,"0.000")&amp;IF(Estimates!AC14="","",IF(Estimates!AC14&lt;0.01,"***",IF(Estimates!AC14&lt;0.05,"**",IF(Estimates!AC14&lt;0.1,"*",""))))</f>
        <v>-0.559</v>
      </c>
      <c r="C76" s="8" t="str">
        <f aca="false">TEXT(Estimates!AD14,"0.000")&amp;IF(Estimates!AG14="","",IF(Estimates!AG14&lt;0.01,"***",IF(Estimates!AG14&lt;0.05,"**",IF(Estimates!AG14&lt;0.1,"*",""))))</f>
        <v>-0.387</v>
      </c>
      <c r="D76" s="8" t="str">
        <f aca="false">TEXT(Estimates!AH14,"0.000")&amp;IF(Estimates!AK14="","",IF(Estimates!AK14&lt;0.01,"***",IF(Estimates!AK14&lt;0.05,"**",IF(Estimates!AK14&lt;0.1,"*",""))))</f>
        <v>-0.986</v>
      </c>
      <c r="E76" s="8" t="str">
        <f aca="false">TEXT(Estimates!AL14,"0.000")&amp;IF(Estimates!AO14="","",IF(Estimates!AO14&lt;0.01,"***",IF(Estimates!AO14&lt;0.05,"**",IF(Estimates!AO14&lt;0.1,"*",""))))</f>
        <v>-0.981</v>
      </c>
      <c r="F76" s="8" t="str">
        <f aca="false">TEXT(Estimates!AP14,"0.000")&amp;IF(Estimates!AS14="","",IF(Estimates!AS14&lt;0.01,"***",IF(Estimates!AS14&lt;0.05,"**",IF(Estimates!AS14&lt;0.1,"*",""))))</f>
        <v>-0.769</v>
      </c>
      <c r="G76" s="8" t="str">
        <f aca="false">TEXT(Estimates!AT14,"0.000")&amp;IF(Estimates!AW14="","",IF(Estimates!AW14&lt;0.01,"***",IF(Estimates!AW14&lt;0.05,"**",IF(Estimates!AW14&lt;0.1,"*",""))))</f>
        <v>-0.797</v>
      </c>
    </row>
    <row r="77" customFormat="false" ht="15" hidden="false" customHeight="true" outlineLevel="0" collapsed="false">
      <c r="B77" s="8" t="str">
        <f aca="false">IF(Estimates!AB14="","(n/a)","("&amp;TEXT(Estimates!AB14,"0.00")&amp;")")</f>
        <v>(-1.60)</v>
      </c>
      <c r="C77" s="8" t="str">
        <f aca="false">IF(Estimates!AF14="","(n/a)","("&amp;TEXT(Estimates!AF14,"0.00")&amp;")")</f>
        <v>(-0.96)</v>
      </c>
      <c r="D77" s="8" t="str">
        <f aca="false">IF(Estimates!AJ14="","(n/a)","("&amp;TEXT(Estimates!AJ14,"0.00")&amp;")")</f>
        <v>(-1.13)</v>
      </c>
      <c r="E77" s="8" t="str">
        <f aca="false">IF(Estimates!AN14="","(n/a)","("&amp;TEXT(Estimates!AN14,"0.00")&amp;")")</f>
        <v>(-1.02)</v>
      </c>
      <c r="F77" s="8" t="str">
        <f aca="false">IF(Estimates!AR14="","(n/a)","("&amp;TEXT(Estimates!AR14,"0.00")&amp;")")</f>
        <v>(-0.90)</v>
      </c>
      <c r="G77" s="8" t="str">
        <f aca="false">IF(Estimates!AV14="","(n/a)","("&amp;TEXT(Estimates!AV14,"0.00")&amp;")")</f>
        <v>(-0.55)</v>
      </c>
    </row>
    <row r="78" customFormat="false" ht="15" hidden="false" customHeight="true" outlineLevel="0" collapsed="false">
      <c r="A78" s="18" t="s">
        <v>20</v>
      </c>
      <c r="B78" s="8" t="str">
        <f aca="false">TEXT(Estimates!Z15,"0.000")&amp;IF(Estimates!AC15="","",IF(Estimates!AC15&lt;0.01,"***",IF(Estimates!AC15&lt;0.05,"**",IF(Estimates!AC15&lt;0.1,"*",""))))</f>
        <v>-0.510</v>
      </c>
      <c r="C78" s="8" t="str">
        <f aca="false">TEXT(Estimates!AD15,"0.000")&amp;IF(Estimates!AG15="","",IF(Estimates!AG15&lt;0.01,"***",IF(Estimates!AG15&lt;0.05,"**",IF(Estimates!AG15&lt;0.1,"*",""))))</f>
        <v>-0.344</v>
      </c>
      <c r="D78" s="8" t="str">
        <f aca="false">TEXT(Estimates!AH15,"0.000")&amp;IF(Estimates!AK15="","",IF(Estimates!AK15&lt;0.01,"***",IF(Estimates!AK15&lt;0.05,"**",IF(Estimates!AK15&lt;0.1,"*",""))))</f>
        <v>-0.829</v>
      </c>
      <c r="E78" s="8" t="str">
        <f aca="false">TEXT(Estimates!AL15,"0.000")&amp;IF(Estimates!AO15="","",IF(Estimates!AO15&lt;0.01,"***",IF(Estimates!AO15&lt;0.05,"**",IF(Estimates!AO15&lt;0.1,"*",""))))</f>
        <v>-0.561</v>
      </c>
      <c r="F78" s="8" t="str">
        <f aca="false">TEXT(Estimates!AP15,"0.000")&amp;IF(Estimates!AS15="","",IF(Estimates!AS15&lt;0.01,"***",IF(Estimates!AS15&lt;0.05,"**",IF(Estimates!AS15&lt;0.1,"*",""))))</f>
        <v>-1.007</v>
      </c>
      <c r="G78" s="8" t="str">
        <f aca="false">TEXT(Estimates!AT15,"0.000")&amp;IF(Estimates!AW15="","",IF(Estimates!AW15&lt;0.01,"***",IF(Estimates!AW15&lt;0.05,"**",IF(Estimates!AW15&lt;0.1,"*",""))))</f>
        <v>-1.357</v>
      </c>
    </row>
    <row r="79" customFormat="false" ht="15" hidden="false" customHeight="true" outlineLevel="0" collapsed="false">
      <c r="B79" s="8" t="str">
        <f aca="false">IF(Estimates!AB15="","(n/a)","("&amp;TEXT(Estimates!AB15,"0.00")&amp;")")</f>
        <v>(-1.48)</v>
      </c>
      <c r="C79" s="8" t="str">
        <f aca="false">IF(Estimates!AF15="","(n/a)","("&amp;TEXT(Estimates!AF15,"0.00")&amp;")")</f>
        <v>(-0.82)</v>
      </c>
      <c r="D79" s="8" t="str">
        <f aca="false">IF(Estimates!AJ15="","(n/a)","("&amp;TEXT(Estimates!AJ15,"0.00")&amp;")")</f>
        <v>(-1.15)</v>
      </c>
      <c r="E79" s="8" t="str">
        <f aca="false">IF(Estimates!AN15="","(n/a)","("&amp;TEXT(Estimates!AN15,"0.00")&amp;")")</f>
        <v>(-0.65)</v>
      </c>
      <c r="F79" s="8" t="str">
        <f aca="false">IF(Estimates!AR15="","(n/a)","("&amp;TEXT(Estimates!AR15,"0.00")&amp;")")</f>
        <v>(-1.15)</v>
      </c>
      <c r="G79" s="8" t="str">
        <f aca="false">IF(Estimates!AV15="","(n/a)","("&amp;TEXT(Estimates!AV15,"0.00")&amp;")")</f>
        <v>(-0.89)</v>
      </c>
    </row>
    <row r="80" customFormat="false" ht="15" hidden="false" customHeight="true" outlineLevel="0" collapsed="false">
      <c r="A80" s="18" t="s">
        <v>21</v>
      </c>
      <c r="B80" s="8" t="str">
        <f aca="false">TEXT(Estimates!Z16,"0.000")&amp;IF(Estimates!AC16="","",IF(Estimates!AC16&lt;0.01,"***",IF(Estimates!AC16&lt;0.05,"**",IF(Estimates!AC16&lt;0.1,"*",""))))</f>
        <v>-0.162</v>
      </c>
      <c r="C80" s="8" t="str">
        <f aca="false">TEXT(Estimates!AD16,"0.000")&amp;IF(Estimates!AG16="","",IF(Estimates!AG16&lt;0.01,"***",IF(Estimates!AG16&lt;0.05,"**",IF(Estimates!AG16&lt;0.1,"*",""))))</f>
        <v>0.256</v>
      </c>
    </row>
    <row r="81" customFormat="false" ht="15" hidden="false" customHeight="true" outlineLevel="0" collapsed="false">
      <c r="B81" s="8" t="str">
        <f aca="false">IF(Estimates!AB16="","(n/a)","("&amp;TEXT(Estimates!AB16,"0.00")&amp;")")</f>
        <v>(-0.13)</v>
      </c>
      <c r="C81" s="8" t="str">
        <f aca="false">IF(Estimates!AF16="","(n/a)","("&amp;TEXT(Estimates!AF16,"0.00")&amp;")")</f>
        <v>(0.81)</v>
      </c>
    </row>
    <row r="82" customFormat="false" ht="15" hidden="false" customHeight="true" outlineLevel="0" collapsed="false">
      <c r="A82" s="18" t="s">
        <v>22</v>
      </c>
      <c r="C82" s="8" t="str">
        <f aca="false">TEXT(Estimates!AD17,"0.000")&amp;IF(Estimates!AG17="","",IF(Estimates!AG17&lt;0.01,"***",IF(Estimates!AG17&lt;0.05,"**",IF(Estimates!AG17&lt;0.1,"*",""))))</f>
        <v>-1.310</v>
      </c>
      <c r="D82" s="8" t="str">
        <f aca="false">TEXT(Estimates!AH17,"0.000")&amp;IF(Estimates!AK17="","",IF(Estimates!AK17&lt;0.01,"***",IF(Estimates!AK17&lt;0.05,"**",IF(Estimates!AK17&lt;0.1,"*",""))))</f>
        <v>-2.878</v>
      </c>
      <c r="E82" s="8" t="str">
        <f aca="false">TEXT(Estimates!AL17,"0.000")&amp;IF(Estimates!AO17="","",IF(Estimates!AO17&lt;0.01,"***",IF(Estimates!AO17&lt;0.05,"**",IF(Estimates!AO17&lt;0.1,"*",""))))</f>
        <v>-2.208</v>
      </c>
    </row>
    <row r="83" customFormat="false" ht="15" hidden="false" customHeight="true" outlineLevel="0" collapsed="false">
      <c r="C83" s="8" t="str">
        <f aca="false">IF(Estimates!AF17="","(n/a)","("&amp;TEXT(Estimates!AF17,"0.00")&amp;")")</f>
        <v>(-0.72)</v>
      </c>
      <c r="D83" s="8" t="str">
        <f aca="false">IF(Estimates!AJ17="","(n/a)","("&amp;TEXT(Estimates!AJ17,"0.00")&amp;")")</f>
        <v>(-1.56)</v>
      </c>
      <c r="E83" s="8" t="str">
        <f aca="false">IF(Estimates!AN17="","(n/a)","("&amp;TEXT(Estimates!AN17,"0.00")&amp;")")</f>
        <v>(-0.77)</v>
      </c>
    </row>
    <row r="84" customFormat="false" ht="15" hidden="false" customHeight="true" outlineLevel="0" collapsed="false">
      <c r="A84" s="18" t="s">
        <v>23</v>
      </c>
      <c r="C84" s="8" t="str">
        <f aca="false">TEXT(Estimates!AD18,"0.000")&amp;IF(Estimates!AG18="","",IF(Estimates!AG18&lt;0.01,"***",IF(Estimates!AG18&lt;0.05,"**",IF(Estimates!AG18&lt;0.1,"*",""))))</f>
        <v>0.234</v>
      </c>
      <c r="D84" s="8" t="str">
        <f aca="false">TEXT(Estimates!AH18,"0.000")&amp;IF(Estimates!AK18="","",IF(Estimates!AK18&lt;0.01,"***",IF(Estimates!AK18&lt;0.05,"**",IF(Estimates!AK18&lt;0.1,"*",""))))</f>
        <v>0.315</v>
      </c>
      <c r="E84" s="8" t="str">
        <f aca="false">TEXT(Estimates!AL18,"0.000")&amp;IF(Estimates!AO18="","",IF(Estimates!AO18&lt;0.01,"***",IF(Estimates!AO18&lt;0.05,"**",IF(Estimates!AO18&lt;0.1,"*",""))))</f>
        <v>-0.071</v>
      </c>
    </row>
    <row r="85" customFormat="false" ht="15" hidden="false" customHeight="true" outlineLevel="0" collapsed="false">
      <c r="C85" s="8" t="str">
        <f aca="false">IF(Estimates!AF18="","(n/a)","("&amp;TEXT(Estimates!AF18,"0.00")&amp;")")</f>
        <v>(0.45)</v>
      </c>
      <c r="D85" s="8" t="str">
        <f aca="false">IF(Estimates!AJ18="","(n/a)","("&amp;TEXT(Estimates!AJ18,"0.00")&amp;")")</f>
        <v>(0.44)</v>
      </c>
      <c r="E85" s="8" t="str">
        <f aca="false">IF(Estimates!AN18="","(n/a)","("&amp;TEXT(Estimates!AN18,"0.00")&amp;")")</f>
        <v>(-0.08)</v>
      </c>
    </row>
    <row r="86" customFormat="false" ht="15" hidden="false" customHeight="true" outlineLevel="0" collapsed="false">
      <c r="A86" s="18" t="s">
        <v>24</v>
      </c>
      <c r="C86" s="8" t="str">
        <f aca="false">TEXT(Estimates!AD19,"0.000")&amp;IF(Estimates!AG19="","",IF(Estimates!AG19&lt;0.01,"***",IF(Estimates!AG19&lt;0.05,"**",IF(Estimates!AG19&lt;0.1,"*",""))))</f>
        <v>-0.466</v>
      </c>
      <c r="D86" s="8" t="str">
        <f aca="false">TEXT(Estimates!AH19,"0.000")&amp;IF(Estimates!AK19="","",IF(Estimates!AK19&lt;0.01,"***",IF(Estimates!AK19&lt;0.05,"**",IF(Estimates!AK19&lt;0.1,"*",""))))</f>
        <v>-2.403</v>
      </c>
      <c r="E86" s="8" t="str">
        <f aca="false">TEXT(Estimates!AL19,"0.000")&amp;IF(Estimates!AO19="","",IF(Estimates!AO19&lt;0.01,"***",IF(Estimates!AO19&lt;0.05,"**",IF(Estimates!AO19&lt;0.1,"*",""))))</f>
        <v>-4.765</v>
      </c>
    </row>
    <row r="87" customFormat="false" ht="15" hidden="false" customHeight="true" outlineLevel="0" collapsed="false">
      <c r="C87" s="8" t="str">
        <f aca="false">IF(Estimates!AF19="","(n/a)","("&amp;TEXT(Estimates!AF19,"0.00")&amp;")")</f>
        <v>(-0.55)</v>
      </c>
      <c r="D87" s="8" t="str">
        <f aca="false">IF(Estimates!AJ19="","(n/a)","("&amp;TEXT(Estimates!AJ19,"0.00")&amp;")")</f>
        <v>(-1.55)</v>
      </c>
      <c r="E87" s="8" t="str">
        <f aca="false">IF(Estimates!AN19="","(n/a)","("&amp;TEXT(Estimates!AN19,"0.00")&amp;")")</f>
        <v>(-1.65)</v>
      </c>
    </row>
    <row r="88" customFormat="false" ht="15" hidden="false" customHeight="true" outlineLevel="0" collapsed="false">
      <c r="A88" s="18" t="s">
        <v>25</v>
      </c>
      <c r="C88" s="8" t="str">
        <f aca="false">TEXT(Estimates!AD20,"0.000")&amp;IF(Estimates!AG20="","",IF(Estimates!AG20&lt;0.01,"***",IF(Estimates!AG20&lt;0.05,"**",IF(Estimates!AG20&lt;0.1,"*",""))))</f>
        <v>-0.676</v>
      </c>
      <c r="D88" s="8" t="str">
        <f aca="false">TEXT(Estimates!AH20,"0.000")&amp;IF(Estimates!AK20="","",IF(Estimates!AK20&lt;0.01,"***",IF(Estimates!AK20&lt;0.05,"**",IF(Estimates!AK20&lt;0.1,"*",""))))</f>
        <v>1.351</v>
      </c>
      <c r="E88" s="8" t="str">
        <f aca="false">TEXT(Estimates!AL20,"0.000")&amp;IF(Estimates!AO20="","",IF(Estimates!AO20&lt;0.01,"***",IF(Estimates!AO20&lt;0.05,"**",IF(Estimates!AO20&lt;0.1,"*",""))))</f>
        <v>0.680</v>
      </c>
    </row>
    <row r="89" customFormat="false" ht="15" hidden="false" customHeight="true" outlineLevel="0" collapsed="false">
      <c r="C89" s="8" t="str">
        <f aca="false">IF(Estimates!AF20="","(n/a)","("&amp;TEXT(Estimates!AF20,"0.00")&amp;")")</f>
        <v>(-1.11)</v>
      </c>
      <c r="D89" s="8" t="str">
        <f aca="false">IF(Estimates!AJ20="","(n/a)","("&amp;TEXT(Estimates!AJ20,"0.00")&amp;")")</f>
        <v>(1.25)</v>
      </c>
      <c r="E89" s="8" t="str">
        <f aca="false">IF(Estimates!AN20="","(n/a)","("&amp;TEXT(Estimates!AN20,"0.00")&amp;")")</f>
        <v>(0.57)</v>
      </c>
    </row>
    <row r="90" customFormat="false" ht="15" hidden="false" customHeight="true" outlineLevel="0" collapsed="false">
      <c r="A90" s="18" t="s">
        <v>26</v>
      </c>
      <c r="C90" s="8" t="str">
        <f aca="false">TEXT(Estimates!AD21,"0.000")&amp;IF(Estimates!AG21="","",IF(Estimates!AG21&lt;0.01,"***",IF(Estimates!AG21&lt;0.05,"**",IF(Estimates!AG21&lt;0.1,"*",""))))</f>
        <v>0.124</v>
      </c>
    </row>
    <row r="91" customFormat="false" ht="15" hidden="false" customHeight="true" outlineLevel="0" collapsed="false">
      <c r="C91" s="8" t="str">
        <f aca="false">IF(Estimates!AF21="","(n/a)","("&amp;TEXT(Estimates!AF21,"0.00")&amp;")")</f>
        <v>(0.17)</v>
      </c>
    </row>
    <row r="92" customFormat="false" ht="15" hidden="false" customHeight="true" outlineLevel="0" collapsed="false">
      <c r="A92" s="18" t="s">
        <v>27</v>
      </c>
      <c r="C92" s="8" t="str">
        <f aca="false">TEXT(Estimates!AD22,"0.000")&amp;IF(Estimates!AG22="","",IF(Estimates!AG22&lt;0.01,"***",IF(Estimates!AG22&lt;0.05,"**",IF(Estimates!AG22&lt;0.1,"*",""))))</f>
        <v>0.458</v>
      </c>
      <c r="D92" s="8" t="str">
        <f aca="false">TEXT(Estimates!AH22,"0.000")&amp;IF(Estimates!AK22="","",IF(Estimates!AK22&lt;0.01,"***",IF(Estimates!AK22&lt;0.05,"**",IF(Estimates!AK22&lt;0.1,"*",""))))</f>
        <v>-6.171</v>
      </c>
      <c r="E92" s="8" t="str">
        <f aca="false">TEXT(Estimates!AL22,"0.000")&amp;IF(Estimates!AO22="","",IF(Estimates!AO22&lt;0.01,"***",IF(Estimates!AO22&lt;0.05,"**",IF(Estimates!AO22&lt;0.1,"*",""))))</f>
        <v>-8.265</v>
      </c>
    </row>
    <row r="93" customFormat="false" ht="15" hidden="false" customHeight="true" outlineLevel="0" collapsed="false">
      <c r="C93" s="8" t="str">
        <f aca="false">IF(Estimates!AF22="","(n/a)","("&amp;TEXT(Estimates!AF22,"0.00")&amp;")")</f>
        <v>(0.28)</v>
      </c>
      <c r="D93" s="8" t="str">
        <f aca="false">IF(Estimates!AJ22="","(n/a)","("&amp;TEXT(Estimates!AJ22,"0.00")&amp;")")</f>
        <v>(-0.61)</v>
      </c>
      <c r="E93" s="8" t="str">
        <f aca="false">IF(Estimates!AN22="","(n/a)","("&amp;TEXT(Estimates!AN22,"0.00")&amp;")")</f>
        <v>(-0.81)</v>
      </c>
    </row>
    <row r="95" customFormat="false" ht="15" hidden="false" customHeight="true" outlineLevel="0" collapsed="false">
      <c r="A95" s="18" t="s">
        <v>28</v>
      </c>
      <c r="B95" s="9" t="n">
        <f aca="false">Estimates!Z24</f>
        <v>202</v>
      </c>
      <c r="C95" s="9" t="n">
        <f aca="false">Estimates!AD24</f>
        <v>183</v>
      </c>
      <c r="D95" s="9" t="n">
        <f aca="false">Estimates!AH24</f>
        <v>179</v>
      </c>
      <c r="E95" s="9" t="n">
        <f aca="false">Estimates!AL24</f>
        <v>179</v>
      </c>
      <c r="F95" s="9" t="n">
        <f aca="false">Estimates!AP24</f>
        <v>190</v>
      </c>
      <c r="G95" s="9" t="n">
        <f aca="false">Estimates!AT24</f>
        <v>123</v>
      </c>
    </row>
    <row r="96" customFormat="false" ht="15" hidden="false" customHeight="true" outlineLevel="0" collapsed="false">
      <c r="A96" s="18" t="s">
        <v>29</v>
      </c>
      <c r="B96" s="10" t="n">
        <f aca="false">Estimates!Z27</f>
        <v>0.132303558266609</v>
      </c>
      <c r="C96" s="10" t="n">
        <f aca="false">Estimates!AD27</f>
        <v>0.0413137508791085</v>
      </c>
      <c r="D96" s="10" t="n">
        <f aca="false">Estimates!AH27</f>
        <v>-0.0591505111524366</v>
      </c>
      <c r="E96" s="10" t="n">
        <f aca="false">Estimates!AL27</f>
        <v>-0.0421276599566975</v>
      </c>
      <c r="F96" s="10" t="n">
        <f aca="false">Estimates!AP27</f>
        <v>0.15278116809424</v>
      </c>
      <c r="G96" s="10" t="n">
        <f aca="false">Estimates!AT27</f>
        <v>0.35557233554523</v>
      </c>
    </row>
    <row r="97" customFormat="false" ht="15" hidden="false" customHeight="true" outlineLevel="0" collapsed="false">
      <c r="A97" s="18" t="s">
        <v>44</v>
      </c>
      <c r="B97" s="19" t="n">
        <f aca="false">Estimates!Z28</f>
        <v>34</v>
      </c>
      <c r="C97" s="19" t="n">
        <f aca="false">Estimates!AD28</f>
        <v>31</v>
      </c>
      <c r="D97" s="19" t="n">
        <f aca="false">Estimates!AH28</f>
        <v>31</v>
      </c>
      <c r="E97" s="19" t="n">
        <f aca="false">Estimates!AL28</f>
        <v>31</v>
      </c>
      <c r="F97" s="19" t="n">
        <f aca="false">Estimates!AP28</f>
        <v>34</v>
      </c>
      <c r="G97" s="19" t="n">
        <f aca="false">Estimates!AT28</f>
        <v>16</v>
      </c>
    </row>
    <row r="98" customFormat="false" ht="15" hidden="false" customHeight="true" outlineLevel="0" collapsed="false">
      <c r="A98" s="18" t="s">
        <v>30</v>
      </c>
      <c r="B98" s="11" t="s">
        <v>31</v>
      </c>
      <c r="C98" s="11" t="s">
        <v>31</v>
      </c>
      <c r="D98" s="11" t="s">
        <v>32</v>
      </c>
      <c r="E98" s="11" t="s">
        <v>32</v>
      </c>
      <c r="F98" s="11" t="s">
        <v>31</v>
      </c>
      <c r="G98" s="11" t="s">
        <v>31</v>
      </c>
    </row>
    <row r="99" customFormat="false" ht="15" hidden="false" customHeight="true" outlineLevel="0" collapsed="false">
      <c r="A99" s="18" t="s">
        <v>33</v>
      </c>
      <c r="B99" s="11" t="s">
        <v>32</v>
      </c>
      <c r="C99" s="11" t="s">
        <v>32</v>
      </c>
      <c r="D99" s="11" t="s">
        <v>31</v>
      </c>
      <c r="E99" s="11" t="s">
        <v>32</v>
      </c>
      <c r="F99" s="11" t="s">
        <v>32</v>
      </c>
      <c r="G99" s="11" t="s">
        <v>32</v>
      </c>
    </row>
    <row r="100" customFormat="false" ht="15" hidden="false" customHeight="true" outlineLevel="0" collapsed="false">
      <c r="A100" s="18" t="s">
        <v>45</v>
      </c>
      <c r="B100" s="11" t="s">
        <v>31</v>
      </c>
      <c r="C100" s="11" t="s">
        <v>31</v>
      </c>
      <c r="D100" s="11" t="s">
        <v>31</v>
      </c>
      <c r="E100" s="11" t="s">
        <v>31</v>
      </c>
      <c r="F100" s="11" t="s">
        <v>32</v>
      </c>
      <c r="G100" s="11" t="s">
        <v>32</v>
      </c>
    </row>
    <row r="101" customFormat="false" ht="15" hidden="false" customHeight="true" outlineLevel="0" collapsed="false">
      <c r="A101" s="20" t="s">
        <v>46</v>
      </c>
      <c r="B101" s="6"/>
      <c r="C101" s="6"/>
      <c r="D101" s="6"/>
      <c r="E101" s="6"/>
      <c r="F101" s="6"/>
      <c r="G101" s="6" t="s">
        <v>47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4" width="34"/>
    <col collapsed="false" customWidth="true" hidden="false" outlineLevel="0" max="7" min="2" style="14" width="14"/>
  </cols>
  <sheetData>
    <row r="1" customFormat="false" ht="15" hidden="false" customHeight="true" outlineLevel="0" collapsed="false">
      <c r="A1" s="15" t="s">
        <v>37</v>
      </c>
    </row>
    <row r="2" customFormat="false" ht="135" hidden="false" customHeight="true" outlineLevel="0" collapsed="false">
      <c r="A2" s="2" t="s">
        <v>48</v>
      </c>
      <c r="B2" s="2"/>
      <c r="C2" s="2"/>
      <c r="D2" s="2"/>
      <c r="E2" s="2"/>
      <c r="F2" s="2"/>
      <c r="G2" s="2"/>
    </row>
    <row r="4" customFormat="false" ht="15" hidden="false" customHeight="true" outlineLevel="0" collapsed="false">
      <c r="A4" s="16"/>
      <c r="B4" s="4" t="s">
        <v>3</v>
      </c>
      <c r="C4" s="4" t="s">
        <v>4</v>
      </c>
      <c r="D4" s="4" t="s">
        <v>5</v>
      </c>
      <c r="E4" s="4" t="s">
        <v>6</v>
      </c>
      <c r="F4" s="4" t="s">
        <v>41</v>
      </c>
      <c r="G4" s="4" t="s">
        <v>42</v>
      </c>
    </row>
    <row r="5" customFormat="false" ht="15" hidden="false" customHeight="true" outlineLevel="0" collapsed="false">
      <c r="A5" s="17"/>
      <c r="B5" s="6" t="s">
        <v>39</v>
      </c>
      <c r="C5" s="6" t="s">
        <v>39</v>
      </c>
      <c r="D5" s="6" t="s">
        <v>39</v>
      </c>
      <c r="E5" s="6" t="s">
        <v>39</v>
      </c>
      <c r="F5" s="6" t="s">
        <v>39</v>
      </c>
      <c r="G5" s="6" t="s">
        <v>39</v>
      </c>
    </row>
    <row r="6" customFormat="false" ht="15" hidden="false" customHeight="true" outlineLevel="0" collapsed="false">
      <c r="A6" s="18" t="s">
        <v>43</v>
      </c>
      <c r="B6" s="8" t="str">
        <f aca="false">TEXT(Estimates!AX4,"0.000")&amp;IF(Estimates!BA4="","",IF(Estimates!BA4&lt;0.01,"***",IF(Estimates!BA4&lt;0.05,"**",IF(Estimates!BA4&lt;0.1,"*",""))))</f>
        <v>-0.059</v>
      </c>
      <c r="C6" s="8" t="str">
        <f aca="false">TEXT(Estimates!BB4,"0.000")&amp;IF(Estimates!BE4="","",IF(Estimates!BE4&lt;0.01,"***",IF(Estimates!BE4&lt;0.05,"**",IF(Estimates!BE4&lt;0.1,"*",""))))</f>
        <v>-0.077</v>
      </c>
      <c r="D6" s="8" t="str">
        <f aca="false">TEXT(Estimates!BF4,"0.000")&amp;IF(Estimates!BI4="","",IF(Estimates!BI4&lt;0.01,"***",IF(Estimates!BI4&lt;0.05,"**",IF(Estimates!BI4&lt;0.1,"*",""))))</f>
        <v>-0.018</v>
      </c>
      <c r="E6" s="8" t="str">
        <f aca="false">TEXT(Estimates!BJ4,"0.000")&amp;IF(Estimates!BM4="","",IF(Estimates!BM4&lt;0.01,"***",IF(Estimates!BM4&lt;0.05,"**",IF(Estimates!BM4&lt;0.1,"*",""))))</f>
        <v>-0.053</v>
      </c>
      <c r="F6" s="8" t="str">
        <f aca="false">TEXT(Estimates!BN4,"0.000")&amp;IF(Estimates!BQ4="","",IF(Estimates!BQ4&lt;0.01,"***",IF(Estimates!BQ4&lt;0.05,"**",IF(Estimates!BQ4&lt;0.1,"*",""))))</f>
        <v>-0.060</v>
      </c>
      <c r="G6" s="8" t="str">
        <f aca="false">TEXT(Estimates!BR4,"0.000")&amp;IF(Estimates!BU4="","",IF(Estimates!BU4&lt;0.01,"***",IF(Estimates!BU4&lt;0.05,"**",IF(Estimates!BU4&lt;0.1,"*",""))))</f>
        <v>-0.027</v>
      </c>
    </row>
    <row r="7" customFormat="false" ht="15" hidden="false" customHeight="true" outlineLevel="0" collapsed="false">
      <c r="B7" s="8" t="str">
        <f aca="false">IF(Estimates!AZ4="","(n/a)","("&amp;TEXT(Estimates!AZ4,"0.00")&amp;")")</f>
        <v>(-1.70)</v>
      </c>
      <c r="C7" s="8" t="str">
        <f aca="false">IF(Estimates!BD4="","(n/a)","("&amp;TEXT(Estimates!BD4,"0.00")&amp;")")</f>
        <v>(-1.37)</v>
      </c>
      <c r="D7" s="8" t="str">
        <f aca="false">IF(Estimates!BH4="","(n/a)","("&amp;TEXT(Estimates!BH4,"0.00")&amp;")")</f>
        <v>(-0.39)</v>
      </c>
      <c r="E7" s="8" t="str">
        <f aca="false">IF(Estimates!BL4="","(n/a)","("&amp;TEXT(Estimates!BL4,"0.00")&amp;")")</f>
        <v>(-1.29)</v>
      </c>
      <c r="F7" s="8" t="str">
        <f aca="false">IF(Estimates!BP4="","(n/a)","("&amp;TEXT(Estimates!BP4,"0.00")&amp;")")</f>
        <v>(-1.09)</v>
      </c>
      <c r="G7" s="8" t="str">
        <f aca="false">IF(Estimates!BT4="","(n/a)","("&amp;TEXT(Estimates!BT4,"0.00")&amp;")")</f>
        <v>(-0.42)</v>
      </c>
    </row>
    <row r="8" customFormat="false" ht="15" hidden="false" customHeight="true" outlineLevel="0" collapsed="false">
      <c r="A8" s="18" t="s">
        <v>10</v>
      </c>
      <c r="B8" s="8" t="str">
        <f aca="false">TEXT(Estimates!AX5,"0.000")&amp;IF(Estimates!BA5="","",IF(Estimates!BA5&lt;0.01,"***",IF(Estimates!BA5&lt;0.05,"**",IF(Estimates!BA5&lt;0.1,"*",""))))</f>
        <v>0.000</v>
      </c>
      <c r="C8" s="8" t="str">
        <f aca="false">TEXT(Estimates!BB5,"0.000")&amp;IF(Estimates!BE5="","",IF(Estimates!BE5&lt;0.01,"***",IF(Estimates!BE5&lt;0.05,"**",IF(Estimates!BE5&lt;0.1,"*",""))))</f>
        <v>0.001</v>
      </c>
      <c r="D8" s="8" t="str">
        <f aca="false">TEXT(Estimates!BF5,"0.000")&amp;IF(Estimates!BI5="","",IF(Estimates!BI5&lt;0.01,"***",IF(Estimates!BI5&lt;0.05,"**",IF(Estimates!BI5&lt;0.1,"*",""))))</f>
        <v>-0.002</v>
      </c>
      <c r="E8" s="8" t="str">
        <f aca="false">TEXT(Estimates!BJ5,"0.000")&amp;IF(Estimates!BM5="","",IF(Estimates!BM5&lt;0.01,"***",IF(Estimates!BM5&lt;0.05,"**",IF(Estimates!BM5&lt;0.1,"*",""))))</f>
        <v>0.000</v>
      </c>
      <c r="F8" s="8" t="str">
        <f aca="false">TEXT(Estimates!BN5,"0.000")&amp;IF(Estimates!BQ5="","",IF(Estimates!BQ5&lt;0.01,"***",IF(Estimates!BQ5&lt;0.05,"**",IF(Estimates!BQ5&lt;0.1,"*",""))))</f>
        <v>-0.001</v>
      </c>
      <c r="G8" s="8" t="str">
        <f aca="false">TEXT(Estimates!BR5,"0.000")&amp;IF(Estimates!BU5="","",IF(Estimates!BU5&lt;0.01,"***",IF(Estimates!BU5&lt;0.05,"**",IF(Estimates!BU5&lt;0.1,"*",""))))</f>
        <v>0.000</v>
      </c>
    </row>
    <row r="9" customFormat="false" ht="15" hidden="false" customHeight="true" outlineLevel="0" collapsed="false">
      <c r="B9" s="8" t="str">
        <f aca="false">IF(Estimates!AZ5="","(n/a)","("&amp;TEXT(Estimates!AZ5,"0.00")&amp;")")</f>
        <v>(0.12)</v>
      </c>
      <c r="C9" s="8" t="str">
        <f aca="false">IF(Estimates!BD5="","(n/a)","("&amp;TEXT(Estimates!BD5,"0.00")&amp;")")</f>
        <v>(0.48)</v>
      </c>
      <c r="D9" s="8" t="str">
        <f aca="false">IF(Estimates!BH5="","(n/a)","("&amp;TEXT(Estimates!BH5,"0.00")&amp;")")</f>
        <v>(-0.73)</v>
      </c>
      <c r="E9" s="8" t="str">
        <f aca="false">IF(Estimates!BL5="","(n/a)","("&amp;TEXT(Estimates!BL5,"0.00")&amp;")")</f>
        <v>(-0.21)</v>
      </c>
      <c r="F9" s="8" t="str">
        <f aca="false">IF(Estimates!BP5="","(n/a)","("&amp;TEXT(Estimates!BP5,"0.00")&amp;")")</f>
        <v>(-0.67)</v>
      </c>
      <c r="G9" s="8" t="str">
        <f aca="false">IF(Estimates!BT5="","(n/a)","("&amp;TEXT(Estimates!BT5,"0.00")&amp;")")</f>
        <v>(0.18)</v>
      </c>
    </row>
    <row r="10" customFormat="false" ht="15" hidden="false" customHeight="true" outlineLevel="0" collapsed="false">
      <c r="A10" s="18" t="s">
        <v>11</v>
      </c>
      <c r="B10" s="8" t="str">
        <f aca="false">TEXT(Estimates!AX6,"0.000")&amp;IF(Estimates!BA6="","",IF(Estimates!BA6&lt;0.01,"***",IF(Estimates!BA6&lt;0.05,"**",IF(Estimates!BA6&lt;0.1,"*",""))))</f>
        <v>-0.038*</v>
      </c>
      <c r="C10" s="8" t="str">
        <f aca="false">TEXT(Estimates!BB6,"0.000")&amp;IF(Estimates!BE6="","",IF(Estimates!BE6&lt;0.01,"***",IF(Estimates!BE6&lt;0.05,"**",IF(Estimates!BE6&lt;0.1,"*",""))))</f>
        <v>-0.046**</v>
      </c>
      <c r="D10" s="8" t="str">
        <f aca="false">TEXT(Estimates!BF6,"0.000")&amp;IF(Estimates!BI6="","",IF(Estimates!BI6&lt;0.01,"***",IF(Estimates!BI6&lt;0.05,"**",IF(Estimates!BI6&lt;0.1,"*",""))))</f>
        <v>-0.043</v>
      </c>
      <c r="E10" s="8" t="str">
        <f aca="false">TEXT(Estimates!BJ6,"0.000")&amp;IF(Estimates!BM6="","",IF(Estimates!BM6&lt;0.01,"***",IF(Estimates!BM6&lt;0.05,"**",IF(Estimates!BM6&lt;0.1,"*",""))))</f>
        <v>-0.284**</v>
      </c>
      <c r="F10" s="8" t="str">
        <f aca="false">TEXT(Estimates!BN6,"0.000")&amp;IF(Estimates!BQ6="","",IF(Estimates!BQ6&lt;0.01,"***",IF(Estimates!BQ6&lt;0.05,"**",IF(Estimates!BQ6&lt;0.1,"*",""))))</f>
        <v>-0.169</v>
      </c>
      <c r="G10" s="8" t="str">
        <f aca="false">TEXT(Estimates!BR6,"0.000")&amp;IF(Estimates!BU6="","",IF(Estimates!BU6&lt;0.01,"***",IF(Estimates!BU6&lt;0.05,"**",IF(Estimates!BU6&lt;0.1,"*",""))))</f>
        <v>-0.077</v>
      </c>
    </row>
    <row r="11" customFormat="false" ht="15" hidden="false" customHeight="true" outlineLevel="0" collapsed="false">
      <c r="B11" s="8" t="str">
        <f aca="false">IF(Estimates!AZ6="","(n/a)","("&amp;TEXT(Estimates!AZ6,"0.00")&amp;")")</f>
        <v>(-1.98)</v>
      </c>
      <c r="C11" s="8" t="str">
        <f aca="false">IF(Estimates!BD6="","(n/a)","("&amp;TEXT(Estimates!BD6,"0.00")&amp;")")</f>
        <v>(-2.26)</v>
      </c>
      <c r="D11" s="8" t="str">
        <f aca="false">IF(Estimates!BH6="","(n/a)","("&amp;TEXT(Estimates!BH6,"0.00")&amp;")")</f>
        <v>(-0.40)</v>
      </c>
      <c r="E11" s="8" t="str">
        <f aca="false">IF(Estimates!BL6="","(n/a)","("&amp;TEXT(Estimates!BL6,"0.00")&amp;")")</f>
        <v>(-2.11)</v>
      </c>
      <c r="F11" s="8" t="str">
        <f aca="false">IF(Estimates!BP6="","(n/a)","("&amp;TEXT(Estimates!BP6,"0.00")&amp;")")</f>
        <v>(-0.86)</v>
      </c>
      <c r="G11" s="8" t="str">
        <f aca="false">IF(Estimates!BT6="","(n/a)","("&amp;TEXT(Estimates!BT6,"0.00")&amp;")")</f>
        <v>(-0.40)</v>
      </c>
    </row>
    <row r="12" customFormat="false" ht="15" hidden="false" customHeight="true" outlineLevel="0" collapsed="false">
      <c r="A12" s="18" t="s">
        <v>12</v>
      </c>
      <c r="B12" s="8" t="str">
        <f aca="false">TEXT(Estimates!AX7,"0.000")&amp;IF(Estimates!BA7="","",IF(Estimates!BA7&lt;0.01,"***",IF(Estimates!BA7&lt;0.05,"**",IF(Estimates!BA7&lt;0.1,"*",""))))</f>
        <v>-0.002***</v>
      </c>
      <c r="C12" s="8" t="str">
        <f aca="false">TEXT(Estimates!BB7,"0.000")&amp;IF(Estimates!BE7="","",IF(Estimates!BE7&lt;0.01,"***",IF(Estimates!BE7&lt;0.05,"**",IF(Estimates!BE7&lt;0.1,"*",""))))</f>
        <v>-0.002***</v>
      </c>
      <c r="D12" s="8" t="str">
        <f aca="false">TEXT(Estimates!BF7,"0.000")&amp;IF(Estimates!BI7="","",IF(Estimates!BI7&lt;0.01,"***",IF(Estimates!BI7&lt;0.05,"**",IF(Estimates!BI7&lt;0.1,"*",""))))</f>
        <v>-0.006</v>
      </c>
      <c r="E12" s="8" t="str">
        <f aca="false">TEXT(Estimates!BJ7,"0.000")&amp;IF(Estimates!BM7="","",IF(Estimates!BM7&lt;0.01,"***",IF(Estimates!BM7&lt;0.05,"**",IF(Estimates!BM7&lt;0.1,"*",""))))</f>
        <v>-0.001</v>
      </c>
      <c r="F12" s="8" t="str">
        <f aca="false">TEXT(Estimates!BN7,"0.000")&amp;IF(Estimates!BQ7="","",IF(Estimates!BQ7&lt;0.01,"***",IF(Estimates!BQ7&lt;0.05,"**",IF(Estimates!BQ7&lt;0.1,"*",""))))</f>
        <v>-0.001</v>
      </c>
      <c r="G12" s="8" t="str">
        <f aca="false">TEXT(Estimates!BR7,"0.000")&amp;IF(Estimates!BU7="","",IF(Estimates!BU7&lt;0.01,"***",IF(Estimates!BU7&lt;0.05,"**",IF(Estimates!BU7&lt;0.1,"*",""))))</f>
        <v>-0.001</v>
      </c>
    </row>
    <row r="13" customFormat="false" ht="15" hidden="false" customHeight="true" outlineLevel="0" collapsed="false">
      <c r="B13" s="8" t="str">
        <f aca="false">IF(Estimates!AZ7="","(n/a)","("&amp;TEXT(Estimates!AZ7,"0.00")&amp;")")</f>
        <v>(-3.01)</v>
      </c>
      <c r="C13" s="8" t="str">
        <f aca="false">IF(Estimates!BD7="","(n/a)","("&amp;TEXT(Estimates!BD7,"0.00")&amp;")")</f>
        <v>(-3.00)</v>
      </c>
      <c r="D13" s="8" t="str">
        <f aca="false">IF(Estimates!BH7="","(n/a)","("&amp;TEXT(Estimates!BH7,"0.00")&amp;")")</f>
        <v>(-1.64)</v>
      </c>
      <c r="E13" s="8" t="str">
        <f aca="false">IF(Estimates!BL7="","(n/a)","("&amp;TEXT(Estimates!BL7,"0.00")&amp;")")</f>
        <v>(-0.43)</v>
      </c>
      <c r="F13" s="8" t="str">
        <f aca="false">IF(Estimates!BP7="","(n/a)","("&amp;TEXT(Estimates!BP7,"0.00")&amp;")")</f>
        <v>(-0.33)</v>
      </c>
      <c r="G13" s="8" t="str">
        <f aca="false">IF(Estimates!BT7="","(n/a)","("&amp;TEXT(Estimates!BT7,"0.00")&amp;")")</f>
        <v>(-0.69)</v>
      </c>
    </row>
    <row r="14" customFormat="false" ht="15" hidden="false" customHeight="true" outlineLevel="0" collapsed="false">
      <c r="A14" s="18" t="s">
        <v>13</v>
      </c>
      <c r="B14" s="8" t="str">
        <f aca="false">TEXT(Estimates!AX8,"0.000")&amp;IF(Estimates!BA8="","",IF(Estimates!BA8&lt;0.01,"***",IF(Estimates!BA8&lt;0.05,"**",IF(Estimates!BA8&lt;0.1,"*",""))))</f>
        <v>-0.085</v>
      </c>
      <c r="C14" s="8" t="str">
        <f aca="false">TEXT(Estimates!BB8,"0.000")&amp;IF(Estimates!BE8="","",IF(Estimates!BE8&lt;0.01,"***",IF(Estimates!BE8&lt;0.05,"**",IF(Estimates!BE8&lt;0.1,"*",""))))</f>
        <v>-0.038</v>
      </c>
      <c r="D14" s="8" t="str">
        <f aca="false">TEXT(Estimates!BF8,"0.000")&amp;IF(Estimates!BI8="","",IF(Estimates!BI8&lt;0.01,"***",IF(Estimates!BI8&lt;0.05,"**",IF(Estimates!BI8&lt;0.1,"*",""))))</f>
        <v>-0.082</v>
      </c>
      <c r="E14" s="8" t="str">
        <f aca="false">TEXT(Estimates!BJ8,"0.000")&amp;IF(Estimates!BM8="","",IF(Estimates!BM8&lt;0.01,"***",IF(Estimates!BM8&lt;0.05,"**",IF(Estimates!BM8&lt;0.1,"*",""))))</f>
        <v>-0.056*</v>
      </c>
      <c r="F14" s="8" t="str">
        <f aca="false">TEXT(Estimates!BN8,"0.000")&amp;IF(Estimates!BQ8="","",IF(Estimates!BQ8&lt;0.01,"***",IF(Estimates!BQ8&lt;0.05,"**",IF(Estimates!BQ8&lt;0.1,"*",""))))</f>
        <v>-0.055</v>
      </c>
      <c r="G14" s="8" t="str">
        <f aca="false">TEXT(Estimates!BR8,"0.000")&amp;IF(Estimates!BU8="","",IF(Estimates!BU8&lt;0.01,"***",IF(Estimates!BU8&lt;0.05,"**",IF(Estimates!BU8&lt;0.1,"*",""))))</f>
        <v>0.006</v>
      </c>
    </row>
    <row r="15" customFormat="false" ht="15" hidden="false" customHeight="true" outlineLevel="0" collapsed="false">
      <c r="B15" s="8" t="str">
        <f aca="false">IF(Estimates!AZ8="","(n/a)","("&amp;TEXT(Estimates!AZ8,"0.00")&amp;")")</f>
        <v>(-1.18)</v>
      </c>
      <c r="C15" s="8" t="str">
        <f aca="false">IF(Estimates!BD8="","(n/a)","("&amp;TEXT(Estimates!BD8,"0.00")&amp;")")</f>
        <v>(-0.62)</v>
      </c>
      <c r="D15" s="8" t="str">
        <f aca="false">IF(Estimates!BH8="","(n/a)","("&amp;TEXT(Estimates!BH8,"0.00")&amp;")")</f>
        <v>(-1.36)</v>
      </c>
      <c r="E15" s="8" t="str">
        <f aca="false">IF(Estimates!BL8="","(n/a)","("&amp;TEXT(Estimates!BL8,"0.00")&amp;")")</f>
        <v>(-1.99)</v>
      </c>
      <c r="F15" s="8" t="str">
        <f aca="false">IF(Estimates!BP8="","(n/a)","("&amp;TEXT(Estimates!BP8,"0.00")&amp;")")</f>
        <v>(-1.22)</v>
      </c>
      <c r="G15" s="8" t="str">
        <f aca="false">IF(Estimates!BT8="","(n/a)","("&amp;TEXT(Estimates!BT8,"0.00")&amp;")")</f>
        <v>(0.09)</v>
      </c>
    </row>
    <row r="16" customFormat="false" ht="15" hidden="false" customHeight="true" outlineLevel="0" collapsed="false">
      <c r="A16" s="18" t="s">
        <v>14</v>
      </c>
      <c r="B16" s="8" t="str">
        <f aca="false">TEXT(Estimates!AX9,"0.000")&amp;IF(Estimates!BA9="","",IF(Estimates!BA9&lt;0.01,"***",IF(Estimates!BA9&lt;0.05,"**",IF(Estimates!BA9&lt;0.1,"*",""))))</f>
        <v>-0.094</v>
      </c>
      <c r="C16" s="8" t="str">
        <f aca="false">TEXT(Estimates!BB9,"0.000")&amp;IF(Estimates!BE9="","",IF(Estimates!BE9&lt;0.01,"***",IF(Estimates!BE9&lt;0.05,"**",IF(Estimates!BE9&lt;0.1,"*",""))))</f>
        <v>-0.048</v>
      </c>
      <c r="D16" s="8" t="str">
        <f aca="false">TEXT(Estimates!BF9,"0.000")&amp;IF(Estimates!BI9="","",IF(Estimates!BI9&lt;0.01,"***",IF(Estimates!BI9&lt;0.05,"**",IF(Estimates!BI9&lt;0.1,"*",""))))</f>
        <v>-0.092</v>
      </c>
      <c r="E16" s="8" t="str">
        <f aca="false">TEXT(Estimates!BJ9,"0.000")&amp;IF(Estimates!BM9="","",IF(Estimates!BM9&lt;0.01,"***",IF(Estimates!BM9&lt;0.05,"**",IF(Estimates!BM9&lt;0.1,"*",""))))</f>
        <v>-0.064**</v>
      </c>
      <c r="F16" s="8" t="str">
        <f aca="false">TEXT(Estimates!BN9,"0.000")&amp;IF(Estimates!BQ9="","",IF(Estimates!BQ9&lt;0.01,"***",IF(Estimates!BQ9&lt;0.05,"**",IF(Estimates!BQ9&lt;0.1,"*",""))))</f>
        <v>-0.065</v>
      </c>
      <c r="G16" s="8" t="str">
        <f aca="false">TEXT(Estimates!BR9,"0.000")&amp;IF(Estimates!BU9="","",IF(Estimates!BU9&lt;0.01,"***",IF(Estimates!BU9&lt;0.05,"**",IF(Estimates!BU9&lt;0.1,"*",""))))</f>
        <v>-0.001</v>
      </c>
    </row>
    <row r="17" customFormat="false" ht="15" hidden="false" customHeight="true" outlineLevel="0" collapsed="false">
      <c r="B17" s="8" t="str">
        <f aca="false">IF(Estimates!AZ9="","(n/a)","("&amp;TEXT(Estimates!AZ9,"0.00")&amp;")")</f>
        <v>(-1.29)</v>
      </c>
      <c r="C17" s="8" t="str">
        <f aca="false">IF(Estimates!BD9="","(n/a)","("&amp;TEXT(Estimates!BD9,"0.00")&amp;")")</f>
        <v>(-0.79)</v>
      </c>
      <c r="D17" s="8" t="str">
        <f aca="false">IF(Estimates!BH9="","(n/a)","("&amp;TEXT(Estimates!BH9,"0.00")&amp;")")</f>
        <v>(-1.53)</v>
      </c>
      <c r="E17" s="8" t="str">
        <f aca="false">IF(Estimates!BL9="","(n/a)","("&amp;TEXT(Estimates!BL9,"0.00")&amp;")")</f>
        <v>(-2.25)</v>
      </c>
      <c r="F17" s="8" t="str">
        <f aca="false">IF(Estimates!BP9="","(n/a)","("&amp;TEXT(Estimates!BP9,"0.00")&amp;")")</f>
        <v>(-1.37)</v>
      </c>
      <c r="G17" s="8" t="str">
        <f aca="false">IF(Estimates!BT9="","(n/a)","("&amp;TEXT(Estimates!BT9,"0.00")&amp;")")</f>
        <v>(-0.01)</v>
      </c>
    </row>
    <row r="18" customFormat="false" ht="15" hidden="false" customHeight="true" outlineLevel="0" collapsed="false">
      <c r="A18" s="18" t="s">
        <v>15</v>
      </c>
      <c r="B18" s="8" t="str">
        <f aca="false">TEXT(Estimates!AX10,"0.000")&amp;IF(Estimates!BA10="","",IF(Estimates!BA10&lt;0.01,"***",IF(Estimates!BA10&lt;0.05,"**",IF(Estimates!BA10&lt;0.1,"*",""))))</f>
        <v>-0.075</v>
      </c>
      <c r="C18" s="8" t="str">
        <f aca="false">TEXT(Estimates!BB10,"0.000")&amp;IF(Estimates!BE10="","",IF(Estimates!BE10&lt;0.01,"***",IF(Estimates!BE10&lt;0.05,"**",IF(Estimates!BE10&lt;0.1,"*",""))))</f>
        <v>-0.032</v>
      </c>
      <c r="D18" s="8" t="str">
        <f aca="false">TEXT(Estimates!BF10,"0.000")&amp;IF(Estimates!BI10="","",IF(Estimates!BI10&lt;0.01,"***",IF(Estimates!BI10&lt;0.05,"**",IF(Estimates!BI10&lt;0.1,"*",""))))</f>
        <v>-0.078</v>
      </c>
      <c r="E18" s="8" t="str">
        <f aca="false">TEXT(Estimates!BJ10,"0.000")&amp;IF(Estimates!BM10="","",IF(Estimates!BM10&lt;0.01,"***",IF(Estimates!BM10&lt;0.05,"**",IF(Estimates!BM10&lt;0.1,"*",""))))</f>
        <v>-0.075*</v>
      </c>
      <c r="F18" s="8" t="str">
        <f aca="false">TEXT(Estimates!BN10,"0.000")&amp;IF(Estimates!BQ10="","",IF(Estimates!BQ10&lt;0.01,"***",IF(Estimates!BQ10&lt;0.05,"**",IF(Estimates!BQ10&lt;0.1,"*",""))))</f>
        <v>-0.077</v>
      </c>
      <c r="G18" s="8" t="str">
        <f aca="false">TEXT(Estimates!BR10,"0.000")&amp;IF(Estimates!BU10="","",IF(Estimates!BU10&lt;0.01,"***",IF(Estimates!BU10&lt;0.05,"**",IF(Estimates!BU10&lt;0.1,"*",""))))</f>
        <v>-0.011</v>
      </c>
    </row>
    <row r="19" customFormat="false" ht="15" hidden="false" customHeight="true" outlineLevel="0" collapsed="false">
      <c r="B19" s="8" t="str">
        <f aca="false">IF(Estimates!AZ10="","(n/a)","("&amp;TEXT(Estimates!AZ10,"0.00")&amp;")")</f>
        <v>(-1.01)</v>
      </c>
      <c r="C19" s="8" t="str">
        <f aca="false">IF(Estimates!BD10="","(n/a)","("&amp;TEXT(Estimates!BD10,"0.00")&amp;")")</f>
        <v>(-0.51)</v>
      </c>
      <c r="D19" s="8" t="str">
        <f aca="false">IF(Estimates!BH10="","(n/a)","("&amp;TEXT(Estimates!BH10,"0.00")&amp;")")</f>
        <v>(-1.31)</v>
      </c>
      <c r="E19" s="8" t="str">
        <f aca="false">IF(Estimates!BL10="","(n/a)","("&amp;TEXT(Estimates!BL10,"0.00")&amp;")")</f>
        <v>(-1.93)</v>
      </c>
      <c r="F19" s="8" t="str">
        <f aca="false">IF(Estimates!BP10="","(n/a)","("&amp;TEXT(Estimates!BP10,"0.00")&amp;")")</f>
        <v>(-1.23)</v>
      </c>
      <c r="G19" s="8" t="str">
        <f aca="false">IF(Estimates!BT10="","(n/a)","("&amp;TEXT(Estimates!BT10,"0.00")&amp;")")</f>
        <v>(-0.13)</v>
      </c>
    </row>
    <row r="20" customFormat="false" ht="15" hidden="false" customHeight="true" outlineLevel="0" collapsed="false">
      <c r="A20" s="18" t="s">
        <v>16</v>
      </c>
      <c r="B20" s="8" t="str">
        <f aca="false">TEXT(Estimates!AX11,"0.000")&amp;IF(Estimates!BA11="","",IF(Estimates!BA11&lt;0.01,"***",IF(Estimates!BA11&lt;0.05,"**",IF(Estimates!BA11&lt;0.1,"*",""))))</f>
        <v>-0.083</v>
      </c>
      <c r="C20" s="8" t="str">
        <f aca="false">TEXT(Estimates!BB11,"0.000")&amp;IF(Estimates!BE11="","",IF(Estimates!BE11&lt;0.01,"***",IF(Estimates!BE11&lt;0.05,"**",IF(Estimates!BE11&lt;0.1,"*",""))))</f>
        <v>-0.038</v>
      </c>
      <c r="D20" s="8" t="str">
        <f aca="false">TEXT(Estimates!BF11,"0.000")&amp;IF(Estimates!BI11="","",IF(Estimates!BI11&lt;0.01,"***",IF(Estimates!BI11&lt;0.05,"**",IF(Estimates!BI11&lt;0.1,"*",""))))</f>
        <v>-0.065</v>
      </c>
      <c r="E20" s="8" t="str">
        <f aca="false">TEXT(Estimates!BJ11,"0.000")&amp;IF(Estimates!BM11="","",IF(Estimates!BM11&lt;0.01,"***",IF(Estimates!BM11&lt;0.05,"**",IF(Estimates!BM11&lt;0.1,"*",""))))</f>
        <v>-0.033</v>
      </c>
      <c r="F20" s="8" t="str">
        <f aca="false">TEXT(Estimates!BN11,"0.000")&amp;IF(Estimates!BQ11="","",IF(Estimates!BQ11&lt;0.01,"***",IF(Estimates!BQ11&lt;0.05,"**",IF(Estimates!BQ11&lt;0.1,"*",""))))</f>
        <v>-0.041</v>
      </c>
      <c r="G20" s="8" t="str">
        <f aca="false">TEXT(Estimates!BR11,"0.000")&amp;IF(Estimates!BU11="","",IF(Estimates!BU11&lt;0.01,"***",IF(Estimates!BU11&lt;0.05,"**",IF(Estimates!BU11&lt;0.1,"*",""))))</f>
        <v>0.016</v>
      </c>
    </row>
    <row r="21" customFormat="false" ht="15" hidden="false" customHeight="true" outlineLevel="0" collapsed="false">
      <c r="B21" s="8" t="str">
        <f aca="false">IF(Estimates!AZ11="","(n/a)","("&amp;TEXT(Estimates!AZ11,"0.00")&amp;")")</f>
        <v>(-1.16)</v>
      </c>
      <c r="C21" s="8" t="str">
        <f aca="false">IF(Estimates!BD11="","(n/a)","("&amp;TEXT(Estimates!BD11,"0.00")&amp;")")</f>
        <v>(-0.63)</v>
      </c>
      <c r="D21" s="8" t="str">
        <f aca="false">IF(Estimates!BH11="","(n/a)","("&amp;TEXT(Estimates!BH11,"0.00")&amp;")")</f>
        <v>(-1.06)</v>
      </c>
      <c r="E21" s="8" t="str">
        <f aca="false">IF(Estimates!BL11="","(n/a)","("&amp;TEXT(Estimates!BL11,"0.00")&amp;")")</f>
        <v>(-1.20)</v>
      </c>
      <c r="F21" s="8" t="str">
        <f aca="false">IF(Estimates!BP11="","(n/a)","("&amp;TEXT(Estimates!BP11,"0.00")&amp;")")</f>
        <v>(-0.95)</v>
      </c>
      <c r="G21" s="8" t="str">
        <f aca="false">IF(Estimates!BT11="","(n/a)","("&amp;TEXT(Estimates!BT11,"0.00")&amp;")")</f>
        <v>(0.25)</v>
      </c>
    </row>
    <row r="22" customFormat="false" ht="15" hidden="false" customHeight="true" outlineLevel="0" collapsed="false">
      <c r="A22" s="18" t="s">
        <v>17</v>
      </c>
      <c r="B22" s="8" t="str">
        <f aca="false">TEXT(Estimates!AX12,"0.000")&amp;IF(Estimates!BA12="","",IF(Estimates!BA12&lt;0.01,"***",IF(Estimates!BA12&lt;0.05,"**",IF(Estimates!BA12&lt;0.1,"*",""))))</f>
        <v>-0.090</v>
      </c>
      <c r="C22" s="8" t="str">
        <f aca="false">TEXT(Estimates!BB12,"0.000")&amp;IF(Estimates!BE12="","",IF(Estimates!BE12&lt;0.01,"***",IF(Estimates!BE12&lt;0.05,"**",IF(Estimates!BE12&lt;0.1,"*",""))))</f>
        <v>-0.048</v>
      </c>
      <c r="D22" s="8" t="str">
        <f aca="false">TEXT(Estimates!BF12,"0.000")&amp;IF(Estimates!BI12="","",IF(Estimates!BI12&lt;0.01,"***",IF(Estimates!BI12&lt;0.05,"**",IF(Estimates!BI12&lt;0.1,"*",""))))</f>
        <v>-0.079</v>
      </c>
      <c r="E22" s="8" t="str">
        <f aca="false">TEXT(Estimates!BJ12,"0.000")&amp;IF(Estimates!BM12="","",IF(Estimates!BM12&lt;0.01,"***",IF(Estimates!BM12&lt;0.05,"**",IF(Estimates!BM12&lt;0.1,"*",""))))</f>
        <v>-0.052*</v>
      </c>
      <c r="F22" s="8" t="str">
        <f aca="false">TEXT(Estimates!BN12,"0.000")&amp;IF(Estimates!BQ12="","",IF(Estimates!BQ12&lt;0.01,"***",IF(Estimates!BQ12&lt;0.05,"**",IF(Estimates!BQ12&lt;0.1,"*",""))))</f>
        <v>-0.056</v>
      </c>
      <c r="G22" s="8" t="str">
        <f aca="false">TEXT(Estimates!BR12,"0.000")&amp;IF(Estimates!BU12="","",IF(Estimates!BU12&lt;0.01,"***",IF(Estimates!BU12&lt;0.05,"**",IF(Estimates!BU12&lt;0.1,"*",""))))</f>
        <v>-0.003</v>
      </c>
    </row>
    <row r="23" customFormat="false" ht="15" hidden="false" customHeight="true" outlineLevel="0" collapsed="false">
      <c r="B23" s="8" t="str">
        <f aca="false">IF(Estimates!AZ12="","(n/a)","("&amp;TEXT(Estimates!AZ12,"0.00")&amp;")")</f>
        <v>(-1.32)</v>
      </c>
      <c r="C23" s="8" t="str">
        <f aca="false">IF(Estimates!BD12="","(n/a)","("&amp;TEXT(Estimates!BD12,"0.00")&amp;")")</f>
        <v>(-0.83)</v>
      </c>
      <c r="D23" s="8" t="str">
        <f aca="false">IF(Estimates!BH12="","(n/a)","("&amp;TEXT(Estimates!BH12,"0.00")&amp;")")</f>
        <v>(-1.29)</v>
      </c>
      <c r="E23" s="8" t="str">
        <f aca="false">IF(Estimates!BL12="","(n/a)","("&amp;TEXT(Estimates!BL12,"0.00")&amp;")")</f>
        <v>(-1.92)</v>
      </c>
      <c r="F23" s="8" t="str">
        <f aca="false">IF(Estimates!BP12="","(n/a)","("&amp;TEXT(Estimates!BP12,"0.00")&amp;")")</f>
        <v>(-1.29)</v>
      </c>
      <c r="G23" s="8" t="str">
        <f aca="false">IF(Estimates!BT12="","(n/a)","("&amp;TEXT(Estimates!BT12,"0.00")&amp;")")</f>
        <v>(-0.05)</v>
      </c>
    </row>
    <row r="24" customFormat="false" ht="15" hidden="false" customHeight="true" outlineLevel="0" collapsed="false">
      <c r="A24" s="18" t="s">
        <v>18</v>
      </c>
      <c r="B24" s="8" t="str">
        <f aca="false">TEXT(Estimates!AX13,"0.000")&amp;IF(Estimates!BA13="","",IF(Estimates!BA13&lt;0.01,"***",IF(Estimates!BA13&lt;0.05,"**",IF(Estimates!BA13&lt;0.1,"*",""))))</f>
        <v>-0.092</v>
      </c>
      <c r="C24" s="8" t="str">
        <f aca="false">TEXT(Estimates!BB13,"0.000")&amp;IF(Estimates!BE13="","",IF(Estimates!BE13&lt;0.01,"***",IF(Estimates!BE13&lt;0.05,"**",IF(Estimates!BE13&lt;0.1,"*",""))))</f>
        <v>-0.065</v>
      </c>
      <c r="D24" s="8" t="str">
        <f aca="false">TEXT(Estimates!BF13,"0.000")&amp;IF(Estimates!BI13="","",IF(Estimates!BI13&lt;0.01,"***",IF(Estimates!BI13&lt;0.05,"**",IF(Estimates!BI13&lt;0.1,"*",""))))</f>
        <v>-0.082</v>
      </c>
      <c r="E24" s="8" t="str">
        <f aca="false">TEXT(Estimates!BJ13,"0.000")&amp;IF(Estimates!BM13="","",IF(Estimates!BM13&lt;0.01,"***",IF(Estimates!BM13&lt;0.05,"**",IF(Estimates!BM13&lt;0.1,"*",""))))</f>
        <v>-0.089*</v>
      </c>
      <c r="F24" s="8" t="str">
        <f aca="false">TEXT(Estimates!BN13,"0.000")&amp;IF(Estimates!BQ13="","",IF(Estimates!BQ13&lt;0.01,"***",IF(Estimates!BQ13&lt;0.05,"**",IF(Estimates!BQ13&lt;0.1,"*",""))))</f>
        <v>-0.105</v>
      </c>
      <c r="G24" s="8" t="str">
        <f aca="false">TEXT(Estimates!BR13,"0.000")&amp;IF(Estimates!BU13="","",IF(Estimates!BU13&lt;0.01,"***",IF(Estimates!BU13&lt;0.05,"**",IF(Estimates!BU13&lt;0.1,"*",""))))</f>
        <v>0.005</v>
      </c>
    </row>
    <row r="25" customFormat="false" ht="15" hidden="false" customHeight="true" outlineLevel="0" collapsed="false">
      <c r="B25" s="8" t="str">
        <f aca="false">IF(Estimates!AZ13="","(n/a)","("&amp;TEXT(Estimates!AZ13,"0.00")&amp;")")</f>
        <v>(-1.30)</v>
      </c>
      <c r="C25" s="8" t="str">
        <f aca="false">IF(Estimates!BD13="","(n/a)","("&amp;TEXT(Estimates!BD13,"0.00")&amp;")")</f>
        <v>(-1.05)</v>
      </c>
      <c r="D25" s="8" t="str">
        <f aca="false">IF(Estimates!BH13="","(n/a)","("&amp;TEXT(Estimates!BH13,"0.00")&amp;")")</f>
        <v>(-1.32)</v>
      </c>
      <c r="E25" s="8" t="str">
        <f aca="false">IF(Estimates!BL13="","(n/a)","("&amp;TEXT(Estimates!BL13,"0.00")&amp;")")</f>
        <v>(-1.87)</v>
      </c>
      <c r="F25" s="8" t="str">
        <f aca="false">IF(Estimates!BP13="","(n/a)","("&amp;TEXT(Estimates!BP13,"0.00")&amp;")")</f>
        <v>(-1.53)</v>
      </c>
      <c r="G25" s="8" t="str">
        <f aca="false">IF(Estimates!BT13="","(n/a)","("&amp;TEXT(Estimates!BT13,"0.00")&amp;")")</f>
        <v>(0.05)</v>
      </c>
    </row>
    <row r="26" customFormat="false" ht="15" hidden="false" customHeight="true" outlineLevel="0" collapsed="false">
      <c r="A26" s="18" t="s">
        <v>19</v>
      </c>
      <c r="B26" s="8" t="str">
        <f aca="false">TEXT(Estimates!AX14,"0.000")&amp;IF(Estimates!BA14="","",IF(Estimates!BA14&lt;0.01,"***",IF(Estimates!BA14&lt;0.05,"**",IF(Estimates!BA14&lt;0.1,"*",""))))</f>
        <v>-0.099</v>
      </c>
      <c r="C26" s="8" t="str">
        <f aca="false">TEXT(Estimates!BB14,"0.000")&amp;IF(Estimates!BE14="","",IF(Estimates!BE14&lt;0.01,"***",IF(Estimates!BE14&lt;0.05,"**",IF(Estimates!BE14&lt;0.1,"*",""))))</f>
        <v>-0.050</v>
      </c>
      <c r="D26" s="8" t="str">
        <f aca="false">TEXT(Estimates!BF14,"0.000")&amp;IF(Estimates!BI14="","",IF(Estimates!BI14&lt;0.01,"***",IF(Estimates!BI14&lt;0.05,"**",IF(Estimates!BI14&lt;0.1,"*",""))))</f>
        <v>-0.080</v>
      </c>
      <c r="E26" s="8" t="str">
        <f aca="false">TEXT(Estimates!BJ14,"0.000")&amp;IF(Estimates!BM14="","",IF(Estimates!BM14&lt;0.01,"***",IF(Estimates!BM14&lt;0.05,"**",IF(Estimates!BM14&lt;0.1,"*",""))))</f>
        <v>-0.096***</v>
      </c>
      <c r="F26" s="8" t="str">
        <f aca="false">TEXT(Estimates!BN14,"0.000")&amp;IF(Estimates!BQ14="","",IF(Estimates!BQ14&lt;0.01,"***",IF(Estimates!BQ14&lt;0.05,"**",IF(Estimates!BQ14&lt;0.1,"*",""))))</f>
        <v>-0.103</v>
      </c>
      <c r="G26" s="8" t="str">
        <f aca="false">TEXT(Estimates!BR14,"0.000")&amp;IF(Estimates!BU14="","",IF(Estimates!BU14&lt;0.01,"***",IF(Estimates!BU14&lt;0.05,"**",IF(Estimates!BU14&lt;0.1,"*",""))))</f>
        <v>-0.054</v>
      </c>
    </row>
    <row r="27" customFormat="false" ht="15" hidden="false" customHeight="true" outlineLevel="0" collapsed="false">
      <c r="B27" s="8" t="str">
        <f aca="false">IF(Estimates!AZ14="","(n/a)","("&amp;TEXT(Estimates!AZ14,"0.00")&amp;")")</f>
        <v>(-1.38)</v>
      </c>
      <c r="C27" s="8" t="str">
        <f aca="false">IF(Estimates!BD14="","(n/a)","("&amp;TEXT(Estimates!BD14,"0.00")&amp;")")</f>
        <v>(-0.78)</v>
      </c>
      <c r="D27" s="8" t="str">
        <f aca="false">IF(Estimates!BH14="","(n/a)","("&amp;TEXT(Estimates!BH14,"0.00")&amp;")")</f>
        <v>(-1.26)</v>
      </c>
      <c r="E27" s="8" t="str">
        <f aca="false">IF(Estimates!BL14="","(n/a)","("&amp;TEXT(Estimates!BL14,"0.00")&amp;")")</f>
        <v>(-3.00)</v>
      </c>
      <c r="F27" s="8" t="str">
        <f aca="false">IF(Estimates!BP14="","(n/a)","("&amp;TEXT(Estimates!BP14,"0.00")&amp;")")</f>
        <v>(-1.57)</v>
      </c>
      <c r="G27" s="8" t="str">
        <f aca="false">IF(Estimates!BT14="","(n/a)","("&amp;TEXT(Estimates!BT14,"0.00")&amp;")")</f>
        <v>(-0.73)</v>
      </c>
    </row>
    <row r="28" customFormat="false" ht="15" hidden="false" customHeight="true" outlineLevel="0" collapsed="false">
      <c r="A28" s="18" t="s">
        <v>20</v>
      </c>
      <c r="B28" s="8" t="str">
        <f aca="false">TEXT(Estimates!AX15,"0.000")&amp;IF(Estimates!BA15="","",IF(Estimates!BA15&lt;0.01,"***",IF(Estimates!BA15&lt;0.05,"**",IF(Estimates!BA15&lt;0.1,"*",""))))</f>
        <v>-0.068</v>
      </c>
      <c r="C28" s="8" t="str">
        <f aca="false">TEXT(Estimates!BB15,"0.000")&amp;IF(Estimates!BE15="","",IF(Estimates!BE15&lt;0.01,"***",IF(Estimates!BE15&lt;0.05,"**",IF(Estimates!BE15&lt;0.1,"*",""))))</f>
        <v>-0.029</v>
      </c>
      <c r="D28" s="8" t="str">
        <f aca="false">TEXT(Estimates!BF15,"0.000")&amp;IF(Estimates!BI15="","",IF(Estimates!BI15&lt;0.01,"***",IF(Estimates!BI15&lt;0.05,"**",IF(Estimates!BI15&lt;0.1,"*",""))))</f>
        <v>-0.086</v>
      </c>
      <c r="E28" s="8" t="str">
        <f aca="false">TEXT(Estimates!BJ15,"0.000")&amp;IF(Estimates!BM15="","",IF(Estimates!BM15&lt;0.01,"***",IF(Estimates!BM15&lt;0.05,"**",IF(Estimates!BM15&lt;0.1,"*",""))))</f>
        <v>-0.066**</v>
      </c>
      <c r="F28" s="8" t="str">
        <f aca="false">TEXT(Estimates!BN15,"0.000")&amp;IF(Estimates!BQ15="","",IF(Estimates!BQ15&lt;0.01,"***",IF(Estimates!BQ15&lt;0.05,"**",IF(Estimates!BQ15&lt;0.1,"*",""))))</f>
        <v>-0.062</v>
      </c>
      <c r="G28" s="8" t="str">
        <f aca="false">TEXT(Estimates!BR15,"0.000")&amp;IF(Estimates!BU15="","",IF(Estimates!BU15&lt;0.01,"***",IF(Estimates!BU15&lt;0.05,"**",IF(Estimates!BU15&lt;0.1,"*",""))))</f>
        <v>0.009</v>
      </c>
    </row>
    <row r="29" customFormat="false" ht="15" hidden="false" customHeight="true" outlineLevel="0" collapsed="false">
      <c r="B29" s="8" t="str">
        <f aca="false">IF(Estimates!AZ15="","(n/a)","("&amp;TEXT(Estimates!AZ15,"0.00")&amp;")")</f>
        <v>(-0.97)</v>
      </c>
      <c r="C29" s="8" t="str">
        <f aca="false">IF(Estimates!BD15="","(n/a)","("&amp;TEXT(Estimates!BD15,"0.00")&amp;")")</f>
        <v>(-0.46)</v>
      </c>
      <c r="D29" s="8" t="str">
        <f aca="false">IF(Estimates!BH15="","(n/a)","("&amp;TEXT(Estimates!BH15,"0.00")&amp;")")</f>
        <v>(-1.43)</v>
      </c>
      <c r="E29" s="8" t="str">
        <f aca="false">IF(Estimates!BL15="","(n/a)","("&amp;TEXT(Estimates!BL15,"0.00")&amp;")")</f>
        <v>(-2.18)</v>
      </c>
      <c r="F29" s="8" t="str">
        <f aca="false">IF(Estimates!BP15="","(n/a)","("&amp;TEXT(Estimates!BP15,"0.00")&amp;")")</f>
        <v>(-1.36)</v>
      </c>
      <c r="G29" s="8" t="str">
        <f aca="false">IF(Estimates!BT15="","(n/a)","("&amp;TEXT(Estimates!BT15,"0.00")&amp;")")</f>
        <v>(0.14)</v>
      </c>
    </row>
    <row r="30" customFormat="false" ht="15" hidden="false" customHeight="true" outlineLevel="0" collapsed="false">
      <c r="A30" s="18" t="s">
        <v>21</v>
      </c>
      <c r="B30" s="8" t="str">
        <f aca="false">TEXT(Estimates!AX16,"0.000")&amp;IF(Estimates!BA16="","",IF(Estimates!BA16&lt;0.01,"***",IF(Estimates!BA16&lt;0.05,"**",IF(Estimates!BA16&lt;0.1,"*",""))))</f>
        <v>0.017</v>
      </c>
      <c r="C30" s="8" t="str">
        <f aca="false">TEXT(Estimates!BB16,"0.000")&amp;IF(Estimates!BE16="","",IF(Estimates!BE16&lt;0.01,"***",IF(Estimates!BE16&lt;0.05,"**",IF(Estimates!BE16&lt;0.1,"*",""))))</f>
        <v>0.020</v>
      </c>
    </row>
    <row r="31" customFormat="false" ht="15" hidden="false" customHeight="true" outlineLevel="0" collapsed="false">
      <c r="B31" s="8" t="str">
        <f aca="false">IF(Estimates!AZ16="","(n/a)","("&amp;TEXT(Estimates!AZ16,"0.00")&amp;")")</f>
        <v>(0.35)</v>
      </c>
      <c r="C31" s="8" t="str">
        <f aca="false">IF(Estimates!BD16="","(n/a)","("&amp;TEXT(Estimates!BD16,"0.00")&amp;")")</f>
        <v>(0.40)</v>
      </c>
    </row>
    <row r="32" customFormat="false" ht="15" hidden="false" customHeight="true" outlineLevel="0" collapsed="false">
      <c r="A32" s="18" t="s">
        <v>22</v>
      </c>
      <c r="C32" s="8" t="str">
        <f aca="false">TEXT(Estimates!BB17,"0.000")&amp;IF(Estimates!BE17="","",IF(Estimates!BE17&lt;0.01,"***",IF(Estimates!BE17&lt;0.05,"**",IF(Estimates!BE17&lt;0.1,"*",""))))</f>
        <v>0.038</v>
      </c>
      <c r="D32" s="8" t="str">
        <f aca="false">TEXT(Estimates!BF17,"0.000")&amp;IF(Estimates!BI17="","",IF(Estimates!BI17&lt;0.01,"***",IF(Estimates!BI17&lt;0.05,"**",IF(Estimates!BI17&lt;0.1,"*",""))))</f>
        <v>-0.205</v>
      </c>
      <c r="E32" s="8" t="str">
        <f aca="false">TEXT(Estimates!BJ17,"0.000")&amp;IF(Estimates!BM17="","",IF(Estimates!BM17&lt;0.01,"***",IF(Estimates!BM17&lt;0.05,"**",IF(Estimates!BM17&lt;0.1,"*",""))))</f>
        <v>-0.484**</v>
      </c>
    </row>
    <row r="33" customFormat="false" ht="15" hidden="false" customHeight="true" outlineLevel="0" collapsed="false">
      <c r="C33" s="8" t="str">
        <f aca="false">IF(Estimates!BD17="","(n/a)","("&amp;TEXT(Estimates!BD17,"0.00")&amp;")")</f>
        <v>(0.17)</v>
      </c>
      <c r="D33" s="8" t="str">
        <f aca="false">IF(Estimates!BH17="","(n/a)","("&amp;TEXT(Estimates!BH17,"0.00")&amp;")")</f>
        <v>(-1.06)</v>
      </c>
      <c r="E33" s="8" t="str">
        <f aca="false">IF(Estimates!BL17="","(n/a)","("&amp;TEXT(Estimates!BL17,"0.00")&amp;")")</f>
        <v>(-2.36)</v>
      </c>
    </row>
    <row r="34" customFormat="false" ht="15" hidden="false" customHeight="true" outlineLevel="0" collapsed="false">
      <c r="A34" s="18" t="s">
        <v>23</v>
      </c>
      <c r="C34" s="8" t="str">
        <f aca="false">TEXT(Estimates!BB18,"0.000")&amp;IF(Estimates!BE18="","",IF(Estimates!BE18&lt;0.01,"***",IF(Estimates!BE18&lt;0.05,"**",IF(Estimates!BE18&lt;0.1,"*",""))))</f>
        <v>-0.001</v>
      </c>
      <c r="D34" s="8" t="str">
        <f aca="false">TEXT(Estimates!BF18,"0.000")&amp;IF(Estimates!BI18="","",IF(Estimates!BI18&lt;0.01,"***",IF(Estimates!BI18&lt;0.05,"**",IF(Estimates!BI18&lt;0.1,"*",""))))</f>
        <v>0.007</v>
      </c>
      <c r="E34" s="8" t="str">
        <f aca="false">TEXT(Estimates!BJ18,"0.000")&amp;IF(Estimates!BM18="","",IF(Estimates!BM18&lt;0.01,"***",IF(Estimates!BM18&lt;0.05,"**",IF(Estimates!BM18&lt;0.1,"*",""))))</f>
        <v>0.064*</v>
      </c>
    </row>
    <row r="35" customFormat="false" ht="15" hidden="false" customHeight="true" outlineLevel="0" collapsed="false">
      <c r="C35" s="8" t="str">
        <f aca="false">IF(Estimates!BD18="","(n/a)","("&amp;TEXT(Estimates!BD18,"0.00")&amp;")")</f>
        <v>(-0.03)</v>
      </c>
      <c r="D35" s="8" t="str">
        <f aca="false">IF(Estimates!BH18="","(n/a)","("&amp;TEXT(Estimates!BH18,"0.00")&amp;")")</f>
        <v>(0.29)</v>
      </c>
      <c r="E35" s="8" t="str">
        <f aca="false">IF(Estimates!BL18="","(n/a)","("&amp;TEXT(Estimates!BL18,"0.00")&amp;")")</f>
        <v>(1.90)</v>
      </c>
    </row>
    <row r="36" customFormat="false" ht="15" hidden="false" customHeight="true" outlineLevel="0" collapsed="false">
      <c r="A36" s="18" t="s">
        <v>24</v>
      </c>
      <c r="C36" s="8" t="str">
        <f aca="false">TEXT(Estimates!BB19,"0.000")&amp;IF(Estimates!BE19="","",IF(Estimates!BE19&lt;0.01,"***",IF(Estimates!BE19&lt;0.05,"**",IF(Estimates!BE19&lt;0.1,"*",""))))</f>
        <v>-0.211***</v>
      </c>
      <c r="D36" s="8" t="str">
        <f aca="false">TEXT(Estimates!BF19,"0.000")&amp;IF(Estimates!BI19="","",IF(Estimates!BI19&lt;0.01,"***",IF(Estimates!BI19&lt;0.05,"**",IF(Estimates!BI19&lt;0.1,"*",""))))</f>
        <v>-0.202**</v>
      </c>
      <c r="E36" s="8" t="str">
        <f aca="false">TEXT(Estimates!BJ19,"0.000")&amp;IF(Estimates!BM19="","",IF(Estimates!BM19&lt;0.01,"***",IF(Estimates!BM19&lt;0.05,"**",IF(Estimates!BM19&lt;0.1,"*",""))))</f>
        <v>-0.010</v>
      </c>
    </row>
    <row r="37" customFormat="false" ht="15" hidden="false" customHeight="true" outlineLevel="0" collapsed="false">
      <c r="C37" s="8" t="str">
        <f aca="false">IF(Estimates!BD19="","(n/a)","("&amp;TEXT(Estimates!BD19,"0.00")&amp;")")</f>
        <v>(-3.77)</v>
      </c>
      <c r="D37" s="8" t="str">
        <f aca="false">IF(Estimates!BH19="","(n/a)","("&amp;TEXT(Estimates!BH19,"0.00")&amp;")")</f>
        <v>(-2.30)</v>
      </c>
      <c r="E37" s="8" t="str">
        <f aca="false">IF(Estimates!BL19="","(n/a)","("&amp;TEXT(Estimates!BL19,"0.00")&amp;")")</f>
        <v>(-0.13)</v>
      </c>
    </row>
    <row r="38" customFormat="false" ht="15" hidden="false" customHeight="true" outlineLevel="0" collapsed="false">
      <c r="A38" s="18" t="s">
        <v>25</v>
      </c>
      <c r="C38" s="8" t="str">
        <f aca="false">TEXT(Estimates!BB20,"0.000")&amp;IF(Estimates!BE20="","",IF(Estimates!BE20&lt;0.01,"***",IF(Estimates!BE20&lt;0.05,"**",IF(Estimates!BE20&lt;0.1,"*",""))))</f>
        <v>-0.070</v>
      </c>
      <c r="D38" s="8" t="str">
        <f aca="false">TEXT(Estimates!BF20,"0.000")&amp;IF(Estimates!BI20="","",IF(Estimates!BI20&lt;0.01,"***",IF(Estimates!BI20&lt;0.05,"**",IF(Estimates!BI20&lt;0.1,"*",""))))</f>
        <v>-0.092</v>
      </c>
      <c r="E38" s="8" t="str">
        <f aca="false">TEXT(Estimates!BJ20,"0.000")&amp;IF(Estimates!BM20="","",IF(Estimates!BM20&lt;0.01,"***",IF(Estimates!BM20&lt;0.05,"**",IF(Estimates!BM20&lt;0.1,"*",""))))</f>
        <v>-0.115**</v>
      </c>
    </row>
    <row r="39" customFormat="false" ht="15" hidden="false" customHeight="true" outlineLevel="0" collapsed="false">
      <c r="C39" s="8" t="str">
        <f aca="false">IF(Estimates!BD20="","(n/a)","("&amp;TEXT(Estimates!BD20,"0.00")&amp;")")</f>
        <v>(-1.28)</v>
      </c>
      <c r="D39" s="8" t="str">
        <f aca="false">IF(Estimates!BH20="","(n/a)","("&amp;TEXT(Estimates!BH20,"0.00")&amp;")")</f>
        <v>(-1.59)</v>
      </c>
      <c r="E39" s="8" t="str">
        <f aca="false">IF(Estimates!BL20="","(n/a)","("&amp;TEXT(Estimates!BL20,"0.00")&amp;")")</f>
        <v>(-2.17)</v>
      </c>
    </row>
    <row r="40" customFormat="false" ht="15" hidden="false" customHeight="true" outlineLevel="0" collapsed="false">
      <c r="A40" s="18" t="s">
        <v>26</v>
      </c>
      <c r="C40" s="8" t="str">
        <f aca="false">TEXT(Estimates!BB21,"0.000")&amp;IF(Estimates!BE21="","",IF(Estimates!BE21&lt;0.01,"***",IF(Estimates!BE21&lt;0.05,"**",IF(Estimates!BE21&lt;0.1,"*",""))))</f>
        <v>0.056</v>
      </c>
    </row>
    <row r="41" customFormat="false" ht="15" hidden="false" customHeight="true" outlineLevel="0" collapsed="false">
      <c r="C41" s="8" t="str">
        <f aca="false">IF(Estimates!BD21="","(n/a)","("&amp;TEXT(Estimates!BD21,"0.00")&amp;")")</f>
        <v>(0.95)</v>
      </c>
    </row>
    <row r="42" customFormat="false" ht="15" hidden="false" customHeight="true" outlineLevel="0" collapsed="false">
      <c r="A42" s="18" t="s">
        <v>27</v>
      </c>
      <c r="C42" s="8" t="str">
        <f aca="false">TEXT(Estimates!BB22,"0.000")&amp;IF(Estimates!BE22="","",IF(Estimates!BE22&lt;0.01,"***",IF(Estimates!BE22&lt;0.05,"**",IF(Estimates!BE22&lt;0.1,"*",""))))</f>
        <v>-0.030</v>
      </c>
      <c r="D42" s="8" t="str">
        <f aca="false">TEXT(Estimates!BF22,"0.000")&amp;IF(Estimates!BI22="","",IF(Estimates!BI22&lt;0.01,"***",IF(Estimates!BI22&lt;0.05,"**",IF(Estimates!BI22&lt;0.1,"*",""))))</f>
        <v>0.041</v>
      </c>
      <c r="E42" s="8" t="str">
        <f aca="false">TEXT(Estimates!BJ22,"0.000")&amp;IF(Estimates!BM22="","",IF(Estimates!BM22&lt;0.01,"***",IF(Estimates!BM22&lt;0.05,"**",IF(Estimates!BM22&lt;0.1,"*",""))))</f>
        <v>1.130*</v>
      </c>
    </row>
    <row r="43" customFormat="false" ht="15" hidden="false" customHeight="true" outlineLevel="0" collapsed="false">
      <c r="C43" s="8" t="str">
        <f aca="false">IF(Estimates!BD22="","(n/a)","("&amp;TEXT(Estimates!BD22,"0.00")&amp;")")</f>
        <v>(-0.38)</v>
      </c>
      <c r="D43" s="8" t="str">
        <f aca="false">IF(Estimates!BH22="","(n/a)","("&amp;TEXT(Estimates!BH22,"0.00")&amp;")")</f>
        <v>(0.10)</v>
      </c>
      <c r="E43" s="8" t="str">
        <f aca="false">IF(Estimates!BL22="","(n/a)","("&amp;TEXT(Estimates!BL22,"0.00")&amp;")")</f>
        <v>(1.84)</v>
      </c>
    </row>
    <row r="45" customFormat="false" ht="15" hidden="false" customHeight="true" outlineLevel="0" collapsed="false">
      <c r="A45" s="18" t="s">
        <v>28</v>
      </c>
      <c r="B45" s="9" t="n">
        <f aca="false">Estimates!AX24</f>
        <v>273</v>
      </c>
      <c r="C45" s="9" t="n">
        <f aca="false">Estimates!BB24</f>
        <v>257</v>
      </c>
      <c r="D45" s="9" t="n">
        <f aca="false">Estimates!BF24</f>
        <v>255</v>
      </c>
      <c r="E45" s="9" t="n">
        <f aca="false">Estimates!BJ24</f>
        <v>255</v>
      </c>
      <c r="F45" s="9" t="n">
        <f aca="false">Estimates!BN24</f>
        <v>257</v>
      </c>
      <c r="G45" s="9" t="n">
        <f aca="false">Estimates!BR24</f>
        <v>169</v>
      </c>
    </row>
    <row r="46" customFormat="false" ht="15" hidden="false" customHeight="true" outlineLevel="0" collapsed="false">
      <c r="A46" s="18" t="s">
        <v>29</v>
      </c>
      <c r="B46" s="10" t="n">
        <f aca="false">Estimates!AX27</f>
        <v>0.469528115061934</v>
      </c>
      <c r="C46" s="10" t="n">
        <f aca="false">Estimates!BB27</f>
        <v>0.546340101264371</v>
      </c>
      <c r="D46" s="10" t="n">
        <f aca="false">Estimates!BF27</f>
        <v>0.547393161713767</v>
      </c>
      <c r="E46" s="10" t="n">
        <f aca="false">Estimates!BJ27</f>
        <v>0.722049927940836</v>
      </c>
      <c r="F46" s="10" t="n">
        <f aca="false">Estimates!BN27</f>
        <v>0.786720068850745</v>
      </c>
      <c r="G46" s="10" t="n">
        <f aca="false">Estimates!BR27</f>
        <v>0.816117035261676</v>
      </c>
    </row>
    <row r="47" customFormat="false" ht="15" hidden="false" customHeight="true" outlineLevel="0" collapsed="false">
      <c r="A47" s="18" t="s">
        <v>44</v>
      </c>
      <c r="B47" s="19" t="n">
        <f aca="false">Estimates!AX28</f>
        <v>40</v>
      </c>
      <c r="C47" s="19" t="n">
        <f aca="false">Estimates!BB28</f>
        <v>37</v>
      </c>
      <c r="D47" s="19" t="n">
        <f aca="false">Estimates!BF28</f>
        <v>37</v>
      </c>
      <c r="E47" s="19" t="n">
        <f aca="false">Estimates!BJ28</f>
        <v>37</v>
      </c>
      <c r="F47" s="19" t="n">
        <f aca="false">Estimates!BN28</f>
        <v>40</v>
      </c>
      <c r="G47" s="19" t="n">
        <f aca="false">Estimates!BR28</f>
        <v>20</v>
      </c>
    </row>
    <row r="48" customFormat="false" ht="15" hidden="false" customHeight="true" outlineLevel="0" collapsed="false">
      <c r="A48" s="18" t="s">
        <v>30</v>
      </c>
      <c r="B48" s="11" t="s">
        <v>31</v>
      </c>
      <c r="C48" s="11" t="s">
        <v>31</v>
      </c>
      <c r="D48" s="11" t="s">
        <v>32</v>
      </c>
      <c r="E48" s="11" t="s">
        <v>32</v>
      </c>
      <c r="F48" s="11" t="s">
        <v>31</v>
      </c>
      <c r="G48" s="11" t="s">
        <v>31</v>
      </c>
    </row>
    <row r="49" customFormat="false" ht="15" hidden="false" customHeight="true" outlineLevel="0" collapsed="false">
      <c r="A49" s="18" t="s">
        <v>33</v>
      </c>
      <c r="B49" s="11" t="s">
        <v>32</v>
      </c>
      <c r="C49" s="11" t="s">
        <v>32</v>
      </c>
      <c r="D49" s="11" t="s">
        <v>31</v>
      </c>
      <c r="E49" s="11" t="s">
        <v>32</v>
      </c>
      <c r="F49" s="11" t="s">
        <v>32</v>
      </c>
      <c r="G49" s="11" t="s">
        <v>32</v>
      </c>
    </row>
    <row r="50" customFormat="false" ht="15" hidden="false" customHeight="true" outlineLevel="0" collapsed="false">
      <c r="A50" s="18" t="s">
        <v>45</v>
      </c>
      <c r="B50" s="11" t="s">
        <v>31</v>
      </c>
      <c r="C50" s="11" t="s">
        <v>31</v>
      </c>
      <c r="D50" s="11" t="s">
        <v>31</v>
      </c>
      <c r="E50" s="11" t="s">
        <v>31</v>
      </c>
      <c r="F50" s="11" t="s">
        <v>32</v>
      </c>
      <c r="G50" s="11" t="s">
        <v>32</v>
      </c>
    </row>
    <row r="51" customFormat="false" ht="15" hidden="false" customHeight="true" outlineLevel="0" collapsed="false">
      <c r="A51" s="20" t="s">
        <v>46</v>
      </c>
      <c r="B51" s="6"/>
      <c r="C51" s="6"/>
      <c r="D51" s="6"/>
      <c r="E51" s="6"/>
      <c r="F51" s="6"/>
      <c r="G51" s="6" t="s">
        <v>47</v>
      </c>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4" width="34"/>
    <col collapsed="false" customWidth="true" hidden="false" outlineLevel="0" max="8" min="2" style="14" width="13"/>
  </cols>
  <sheetData>
    <row r="1" customFormat="false" ht="15" hidden="false" customHeight="true" outlineLevel="0" collapsed="false">
      <c r="A1" s="15" t="s">
        <v>49</v>
      </c>
    </row>
    <row r="2" customFormat="false" ht="105" hidden="false" customHeight="true" outlineLevel="0" collapsed="false">
      <c r="A2" s="2" t="s">
        <v>50</v>
      </c>
      <c r="B2" s="2"/>
      <c r="C2" s="2"/>
      <c r="D2" s="2"/>
      <c r="E2" s="2"/>
      <c r="F2" s="2"/>
      <c r="G2" s="2"/>
      <c r="H2" s="2"/>
    </row>
    <row r="4" customFormat="false" ht="23.25" hidden="false" customHeight="true" outlineLevel="0" collapsed="false">
      <c r="A4" s="21"/>
      <c r="B4" s="21" t="s">
        <v>51</v>
      </c>
      <c r="C4" s="21" t="s">
        <v>52</v>
      </c>
      <c r="D4" s="21" t="s">
        <v>53</v>
      </c>
      <c r="E4" s="21" t="s">
        <v>54</v>
      </c>
      <c r="F4" s="21" t="s">
        <v>55</v>
      </c>
      <c r="G4" s="21" t="s">
        <v>56</v>
      </c>
      <c r="H4" s="21" t="s">
        <v>57</v>
      </c>
      <c r="J4" s="22" t="s">
        <v>58</v>
      </c>
      <c r="K4" s="22" t="s">
        <v>59</v>
      </c>
      <c r="L4" s="22" t="s">
        <v>60</v>
      </c>
    </row>
    <row r="5" customFormat="false" ht="15" hidden="false" customHeight="true" outlineLevel="0" collapsed="false">
      <c r="A5" s="18" t="s">
        <v>61</v>
      </c>
      <c r="B5" s="23" t="n">
        <v>37</v>
      </c>
      <c r="C5" s="24" t="n">
        <v>-0.496722508589676</v>
      </c>
      <c r="D5" s="24" t="n">
        <v>-0.235469095488781</v>
      </c>
      <c r="E5" s="8" t="str">
        <f aca="false">TEXT(D5-C5,"0.000")&amp;IF(L5&lt;0.01,"***",IF(L5&lt;0.05,"**",IF(L5&lt;0.1,"*","")))</f>
        <v>0.261</v>
      </c>
      <c r="F5" s="8" t="str">
        <f aca="false">TEXT(K5,"0.00")</f>
        <v>0.59</v>
      </c>
      <c r="G5" s="25" t="n">
        <v>0.621621621621622</v>
      </c>
      <c r="H5" s="24" t="n">
        <v>0.377726926206378</v>
      </c>
      <c r="J5" s="26" t="n">
        <v>2.68638223841313</v>
      </c>
      <c r="K5" s="18" t="n">
        <f aca="false">(D5-C5)/(J5/SQRT(B5))</f>
        <v>0.591554861180651</v>
      </c>
      <c r="L5" s="18" t="n">
        <f aca="false">TDIST(ABS(K5),B5-1,2)</f>
        <v>0.557845417436403</v>
      </c>
    </row>
    <row r="6" customFormat="false" ht="15" hidden="false" customHeight="true" outlineLevel="0" collapsed="false">
      <c r="A6" s="18" t="s">
        <v>62</v>
      </c>
      <c r="B6" s="23" t="n">
        <v>24</v>
      </c>
      <c r="C6" s="24" t="n">
        <v>0.35421626984127</v>
      </c>
      <c r="D6" s="24" t="n">
        <v>-0.231719907407407</v>
      </c>
      <c r="E6" s="8" t="str">
        <f aca="false">TEXT(D6-C6,"0.000")&amp;IF(L6&lt;0.01,"***",IF(L6&lt;0.05,"**",IF(L6&lt;0.1,"*","")))</f>
        <v>-0.586</v>
      </c>
      <c r="F6" s="8" t="str">
        <f aca="false">TEXT(K6,"0.00")</f>
        <v>-0.99</v>
      </c>
      <c r="G6" s="25" t="n">
        <v>0.458333333333333</v>
      </c>
      <c r="H6" s="24" t="n">
        <v>0.47316575050354</v>
      </c>
      <c r="J6" s="26" t="n">
        <v>2.90877584629036</v>
      </c>
      <c r="K6" s="18" t="n">
        <f aca="false">(D6-C6)/(J6/SQRT(B6))</f>
        <v>-0.986837578376228</v>
      </c>
      <c r="L6" s="18" t="n">
        <f aca="false">TDIST(ABS(K6),B6-1,2)</f>
        <v>0.333990689525621</v>
      </c>
    </row>
    <row r="7" customFormat="false" ht="15" hidden="false" customHeight="true" outlineLevel="0" collapsed="false">
      <c r="A7" s="20" t="s">
        <v>63</v>
      </c>
      <c r="B7" s="27" t="n">
        <v>35</v>
      </c>
      <c r="C7" s="28" t="n">
        <v>0.293334538583011</v>
      </c>
      <c r="D7" s="28" t="n">
        <v>0.356888088432329</v>
      </c>
      <c r="E7" s="29" t="str">
        <f aca="false">TEXT(D7-C7,"0.000")&amp;IF(L7&lt;0.01,"***",IF(L7&lt;0.05,"**",IF(L7&lt;0.1,"*","")))</f>
        <v>0.064**</v>
      </c>
      <c r="F7" s="29" t="str">
        <f aca="false">TEXT(K7,"0.00")</f>
        <v>2.24</v>
      </c>
      <c r="G7" s="30" t="n">
        <v>0.657142857142857</v>
      </c>
      <c r="H7" s="28" t="n">
        <v>0.0300070070079528</v>
      </c>
      <c r="J7" s="26" t="n">
        <v>0.168102356442351</v>
      </c>
      <c r="K7" s="18" t="n">
        <f aca="false">(D7-C7)/(J7/SQRT(B7))</f>
        <v>2.23666032627392</v>
      </c>
      <c r="L7" s="18" t="n">
        <f aca="false">TDIST(ABS(K7),B7-1,2)</f>
        <v>0.0319755049821894</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9" min="2" style="0" width="9"/>
  </cols>
  <sheetData>
    <row r="1" customFormat="false" ht="15" hidden="false" customHeight="false" outlineLevel="0" collapsed="false">
      <c r="A1" s="31" t="s">
        <v>64</v>
      </c>
    </row>
    <row r="3" customFormat="false" ht="23.85" hidden="false" customHeight="false" outlineLevel="0" collapsed="false">
      <c r="A3" s="1" t="s">
        <v>65</v>
      </c>
      <c r="B3" s="32" t="s">
        <v>66</v>
      </c>
      <c r="C3" s="32" t="s">
        <v>67</v>
      </c>
      <c r="D3" s="32" t="s">
        <v>68</v>
      </c>
      <c r="E3" s="32" t="s">
        <v>69</v>
      </c>
      <c r="F3" s="32" t="s">
        <v>70</v>
      </c>
      <c r="G3" s="32" t="s">
        <v>71</v>
      </c>
      <c r="H3" s="32" t="s">
        <v>72</v>
      </c>
      <c r="I3" s="32" t="s">
        <v>73</v>
      </c>
      <c r="J3" s="32" t="s">
        <v>74</v>
      </c>
      <c r="K3" s="32" t="s">
        <v>75</v>
      </c>
      <c r="L3" s="32" t="s">
        <v>76</v>
      </c>
      <c r="M3" s="32" t="s">
        <v>77</v>
      </c>
      <c r="N3" s="32" t="s">
        <v>78</v>
      </c>
      <c r="O3" s="32" t="s">
        <v>79</v>
      </c>
      <c r="P3" s="32" t="s">
        <v>80</v>
      </c>
      <c r="Q3" s="32" t="s">
        <v>81</v>
      </c>
      <c r="R3" s="32" t="s">
        <v>82</v>
      </c>
      <c r="S3" s="32" t="s">
        <v>83</v>
      </c>
      <c r="T3" s="32" t="s">
        <v>84</v>
      </c>
      <c r="U3" s="32" t="s">
        <v>85</v>
      </c>
      <c r="V3" s="32" t="s">
        <v>86</v>
      </c>
      <c r="W3" s="32" t="s">
        <v>87</v>
      </c>
      <c r="X3" s="32" t="s">
        <v>88</v>
      </c>
      <c r="Y3" s="32" t="s">
        <v>89</v>
      </c>
      <c r="Z3" s="32" t="s">
        <v>90</v>
      </c>
      <c r="AA3" s="32" t="s">
        <v>91</v>
      </c>
      <c r="AB3" s="32" t="s">
        <v>92</v>
      </c>
      <c r="AC3" s="32" t="s">
        <v>93</v>
      </c>
      <c r="AD3" s="32" t="s">
        <v>94</v>
      </c>
      <c r="AE3" s="32" t="s">
        <v>95</v>
      </c>
      <c r="AF3" s="32" t="s">
        <v>96</v>
      </c>
      <c r="AG3" s="32" t="s">
        <v>97</v>
      </c>
      <c r="AH3" s="32" t="s">
        <v>98</v>
      </c>
      <c r="AI3" s="32" t="s">
        <v>99</v>
      </c>
      <c r="AJ3" s="32" t="s">
        <v>100</v>
      </c>
      <c r="AK3" s="32" t="s">
        <v>101</v>
      </c>
      <c r="AL3" s="32" t="s">
        <v>102</v>
      </c>
      <c r="AM3" s="32" t="s">
        <v>103</v>
      </c>
      <c r="AN3" s="32" t="s">
        <v>104</v>
      </c>
      <c r="AO3" s="32" t="s">
        <v>105</v>
      </c>
      <c r="AP3" s="32" t="s">
        <v>106</v>
      </c>
      <c r="AQ3" s="32" t="s">
        <v>107</v>
      </c>
      <c r="AR3" s="32" t="s">
        <v>108</v>
      </c>
      <c r="AS3" s="32" t="s">
        <v>109</v>
      </c>
      <c r="AT3" s="32" t="s">
        <v>110</v>
      </c>
      <c r="AU3" s="32" t="s">
        <v>111</v>
      </c>
      <c r="AV3" s="32" t="s">
        <v>112</v>
      </c>
      <c r="AW3" s="32" t="s">
        <v>113</v>
      </c>
    </row>
    <row r="4" customFormat="false" ht="15" hidden="false" customHeight="false" outlineLevel="0" collapsed="false">
      <c r="A4" s="7" t="s">
        <v>8</v>
      </c>
      <c r="B4" s="33" t="n">
        <v>-0.510251321903697</v>
      </c>
      <c r="C4" s="33" t="n">
        <v>0.176316009663441</v>
      </c>
      <c r="D4" s="34" t="n">
        <f aca="false">IF(C4&gt;0,B4/C4,"")</f>
        <v>-2.8939591071604</v>
      </c>
      <c r="E4" s="34" t="n">
        <f aca="false">IF(C4&gt;0,TDIST(ABS(D4),MIN(B27,B28)-1,2),"")</f>
        <v>0.00967072042751056</v>
      </c>
      <c r="F4" s="33" t="n">
        <v>-0.604787804349576</v>
      </c>
      <c r="G4" s="33" t="n">
        <v>0.213541498979305</v>
      </c>
      <c r="H4" s="34" t="n">
        <f aca="false">IF(G4&gt;0,F4/G4,"")</f>
        <v>-2.83217925902163</v>
      </c>
      <c r="I4" s="34" t="n">
        <f aca="false">IF(G4&gt;0,TDIST(ABS(H4),MIN(F27,F28)-1,2),"")</f>
        <v>0.0110470108577643</v>
      </c>
      <c r="J4" s="33" t="n">
        <v>-0.773467565288007</v>
      </c>
      <c r="K4" s="33" t="n">
        <v>0.337292535843564</v>
      </c>
      <c r="L4" s="34" t="n">
        <f aca="false">IF(K4&gt;0,J4/K4,"")</f>
        <v>-2.29316537750702</v>
      </c>
      <c r="M4" s="34" t="n">
        <f aca="false">IF(K4&gt;0,TDIST(ABS(L4),MIN(J27,J28)-1,2),"")</f>
        <v>0.0340963014993949</v>
      </c>
      <c r="N4" s="33" t="n">
        <v>-0.860866775829736</v>
      </c>
      <c r="O4" s="33" t="n">
        <v>0.350886983744449</v>
      </c>
      <c r="P4" s="34" t="n">
        <f aca="false">IF(O4&gt;0,N4/O4,"")</f>
        <v>-2.45340185219496</v>
      </c>
      <c r="Q4" s="34" t="n">
        <f aca="false">IF(O4&gt;0,TDIST(ABS(P4),MIN(N27,N28)-1,2),"")</f>
        <v>0.024570143932302</v>
      </c>
      <c r="R4" s="33" t="n">
        <v>0.00420597636308416</v>
      </c>
      <c r="S4" s="33" t="n">
        <v>0.237954695990553</v>
      </c>
      <c r="T4" s="34" t="n">
        <f aca="false">IF(S4&gt;0,R4/S4,"")</f>
        <v>0.0176755341834108</v>
      </c>
      <c r="U4" s="34" t="n">
        <f aca="false">IF(S4&gt;0,TDIST(ABS(T4),MIN(R27,R28)-1,2),"")</f>
        <v>0.986092151118193</v>
      </c>
      <c r="V4" s="33" t="n">
        <v>-0.231539160760725</v>
      </c>
      <c r="W4" s="33" t="n">
        <v>0.298499792122499</v>
      </c>
      <c r="X4" s="34" t="n">
        <f aca="false">IF(W4&gt;0,V4/W4,"")</f>
        <v>-0.775676120624248</v>
      </c>
      <c r="Y4" s="34" t="n">
        <f aca="false">IF(W4&gt;0,TDIST(ABS(X4),MIN(V27,V28)-1,2),"")</f>
        <v>0.448012314425363</v>
      </c>
      <c r="Z4" s="33" t="n">
        <v>-0.574046934588153</v>
      </c>
      <c r="AA4" s="33" t="n">
        <v>0.578414364372731</v>
      </c>
      <c r="AB4" s="34" t="n">
        <f aca="false">IF(AA4&gt;0,Z4/AA4,"")</f>
        <v>-0.99244930614869</v>
      </c>
      <c r="AC4" s="34" t="n">
        <f aca="false">IF(AA4&gt;0,TDIST(ABS(AB4),MIN(Z27,Z28)-1,2),"")</f>
        <v>0.3341332585468</v>
      </c>
      <c r="AD4" s="33" t="n">
        <v>-0.431887987121098</v>
      </c>
      <c r="AE4" s="33" t="n">
        <v>0.597397729489212</v>
      </c>
      <c r="AF4" s="34" t="n">
        <f aca="false">IF(AE4&gt;0,AD4/AE4,"")</f>
        <v>-0.72294882588585</v>
      </c>
      <c r="AG4" s="34" t="n">
        <f aca="false">IF(AE4&gt;0,TDIST(ABS(AF4),MIN(AD27,AD28)-1,2),"")</f>
        <v>0.479000737378907</v>
      </c>
      <c r="AH4" s="33" t="n">
        <v>-0.0446206736781622</v>
      </c>
      <c r="AI4" s="33" t="n">
        <v>0.0343181937895853</v>
      </c>
      <c r="AJ4" s="34" t="n">
        <f aca="false">IF(AI4&gt;0,AH4/AI4,"")</f>
        <v>-1.30020460726297</v>
      </c>
      <c r="AK4" s="34" t="n">
        <f aca="false">IF(AI4&gt;0,TDIST(ABS(AJ4),MIN(AH27,AH28)-1,2),"")</f>
        <v>0.209933786370398</v>
      </c>
      <c r="AL4" s="33" t="n">
        <v>-0.0283796804809718</v>
      </c>
      <c r="AM4" s="33" t="n">
        <v>0.0457089922212728</v>
      </c>
      <c r="AN4" s="34" t="n">
        <f aca="false">IF(AM4&gt;0,AL4/AM4,"")</f>
        <v>-0.620877405119512</v>
      </c>
      <c r="AO4" s="34" t="n">
        <f aca="false">IF(AM4&gt;0,TDIST(ABS(AN4),MIN(AL27,AL28)-1,2),"")</f>
        <v>0.542463100274444</v>
      </c>
      <c r="AP4" s="33" t="n">
        <v>0.0388641457124796</v>
      </c>
      <c r="AQ4" s="33" t="n">
        <v>0.054359378241159</v>
      </c>
      <c r="AR4" s="34" t="n">
        <f aca="false">IF(AQ4&gt;0,AP4/AQ4,"")</f>
        <v>0.714948311955728</v>
      </c>
      <c r="AS4" s="34" t="n">
        <f aca="false">IF(AQ4&gt;0,TDIST(ABS(AR4),MIN(AP27,AP28)-1,2),"")</f>
        <v>0.483811586015004</v>
      </c>
      <c r="AT4" s="33" t="n">
        <v>0.0365650469337392</v>
      </c>
      <c r="AU4" s="33" t="n">
        <v>0.0546466689479553</v>
      </c>
      <c r="AV4" s="34" t="n">
        <f aca="false">IF(AU4&gt;0,AT4/AU4,"")</f>
        <v>0.669117580955635</v>
      </c>
      <c r="AW4" s="34" t="n">
        <f aca="false">IF(AU4&gt;0,TDIST(ABS(AV4),MIN(AT27,AT28)-1,2),"")</f>
        <v>0.511912071168239</v>
      </c>
    </row>
    <row r="5" customFormat="false" ht="15" hidden="false" customHeight="false" outlineLevel="0" collapsed="false">
      <c r="A5" s="7" t="s">
        <v>9</v>
      </c>
      <c r="B5" s="33" t="n">
        <v>-0.615277828928373</v>
      </c>
      <c r="C5" s="33" t="n">
        <v>0.206010683844895</v>
      </c>
      <c r="D5" s="34" t="n">
        <f aca="false">IF(C5&gt;0,B5/C5,"")</f>
        <v>-2.98663068072535</v>
      </c>
      <c r="E5" s="34" t="n">
        <f aca="false">IF(C5&gt;0,TDIST(ABS(D5),MIN(B27,B28)-1,2),"")</f>
        <v>0.00791202980288318</v>
      </c>
      <c r="F5" s="33" t="n">
        <v>-0.581191774677367</v>
      </c>
      <c r="G5" s="33" t="n">
        <v>0.217069037525558</v>
      </c>
      <c r="H5" s="34" t="n">
        <f aca="false">IF(G5&gt;0,F5/G5,"")</f>
        <v>-2.67745129062425</v>
      </c>
      <c r="I5" s="34" t="n">
        <f aca="false">IF(G5&gt;0,TDIST(ABS(H5),MIN(F27,F28)-1,2),"")</f>
        <v>0.0153695676664269</v>
      </c>
      <c r="J5" s="33" t="n">
        <v>-0.552735381238698</v>
      </c>
      <c r="K5" s="33" t="n">
        <v>0.300362026030782</v>
      </c>
      <c r="L5" s="34" t="n">
        <f aca="false">IF(K5&gt;0,J5/K5,"")</f>
        <v>-1.84023056623693</v>
      </c>
      <c r="M5" s="34" t="n">
        <f aca="false">IF(K5&gt;0,TDIST(ABS(L5),MIN(J27,J28)-1,2),"")</f>
        <v>0.0822833079933114</v>
      </c>
      <c r="N5" s="33" t="n">
        <v>-0.578563222047117</v>
      </c>
      <c r="O5" s="33" t="n">
        <v>0.293549217413428</v>
      </c>
      <c r="P5" s="34" t="n">
        <f aca="false">IF(O5&gt;0,N5/O5,"")</f>
        <v>-1.9709240826634</v>
      </c>
      <c r="Q5" s="34" t="n">
        <f aca="false">IF(O5&gt;0,TDIST(ABS(P5),MIN(N27,N28)-1,2),"")</f>
        <v>0.0643083299636531</v>
      </c>
      <c r="R5" s="33" t="n">
        <v>-1.10583372977579</v>
      </c>
      <c r="S5" s="33" t="n">
        <v>0.46699185783666</v>
      </c>
      <c r="T5" s="34" t="n">
        <f aca="false">IF(S5&gt;0,R5/S5,"")</f>
        <v>-2.3679935982151</v>
      </c>
      <c r="U5" s="34" t="n">
        <f aca="false">IF(S5&gt;0,TDIST(ABS(T5),MIN(R27,R28)-1,2),"")</f>
        <v>0.0292849778348348</v>
      </c>
      <c r="V5" s="33" t="n">
        <v>-0.955585726897334</v>
      </c>
      <c r="W5" s="33" t="n">
        <v>0.268500470881236</v>
      </c>
      <c r="X5" s="34" t="n">
        <f aca="false">IF(W5&gt;0,V5/W5,"")</f>
        <v>-3.55897225714741</v>
      </c>
      <c r="Y5" s="34" t="n">
        <f aca="false">IF(W5&gt;0,TDIST(ABS(X5),MIN(V27,V28)-1,2),"")</f>
        <v>0.00224276242378238</v>
      </c>
      <c r="Z5" s="33" t="n">
        <v>-1.26492453141896</v>
      </c>
      <c r="AA5" s="33" t="n">
        <v>0.466561096931051</v>
      </c>
      <c r="AB5" s="34" t="n">
        <f aca="false">IF(AA5&gt;0,Z5/AA5,"")</f>
        <v>-2.71116588961101</v>
      </c>
      <c r="AC5" s="34" t="n">
        <f aca="false">IF(AA5&gt;0,TDIST(ABS(AB5),MIN(Z27,Z28)-1,2),"")</f>
        <v>0.0143081318792541</v>
      </c>
      <c r="AD5" s="33" t="n">
        <v>-1.2745906442768</v>
      </c>
      <c r="AE5" s="33" t="n">
        <v>0.423562728490913</v>
      </c>
      <c r="AF5" s="34" t="n">
        <f aca="false">IF(AE5&gt;0,AD5/AE5,"")</f>
        <v>-3.00921341407437</v>
      </c>
      <c r="AG5" s="34" t="n">
        <f aca="false">IF(AE5&gt;0,TDIST(ABS(AF5),MIN(AD27,AD28)-1,2),"")</f>
        <v>0.00753292026753985</v>
      </c>
      <c r="AH5" s="33" t="n">
        <v>-0.0467075485935625</v>
      </c>
      <c r="AI5" s="33" t="n">
        <v>0.0398725823220473</v>
      </c>
      <c r="AJ5" s="34" t="n">
        <f aca="false">IF(AI5&gt;0,AH5/AI5,"")</f>
        <v>-1.17142020590264</v>
      </c>
      <c r="AK5" s="34" t="n">
        <f aca="false">IF(AI5&gt;0,TDIST(ABS(AJ5),MIN(AH27,AH28)-1,2),"")</f>
        <v>0.256703428345276</v>
      </c>
      <c r="AL5" s="33" t="n">
        <v>-0.0351851230559886</v>
      </c>
      <c r="AM5" s="33" t="n">
        <v>0.0389088298099018</v>
      </c>
      <c r="AN5" s="34" t="n">
        <f aca="false">IF(AM5&gt;0,AL5/AM5,"")</f>
        <v>-0.904296614107743</v>
      </c>
      <c r="AO5" s="34" t="n">
        <f aca="false">IF(AM5&gt;0,TDIST(ABS(AN5),MIN(AL27,AL28)-1,2),"")</f>
        <v>0.377782522026414</v>
      </c>
      <c r="AP5" s="33" t="n">
        <v>0.0310990257110623</v>
      </c>
      <c r="AQ5" s="33" t="n">
        <v>0.0585045764504291</v>
      </c>
      <c r="AR5" s="34" t="n">
        <f aca="false">IF(AQ5&gt;0,AP5/AQ5,"")</f>
        <v>0.531565692769564</v>
      </c>
      <c r="AS5" s="34" t="n">
        <f aca="false">IF(AQ5&gt;0,TDIST(ABS(AR5),MIN(AP27,AP28)-1,2),"")</f>
        <v>0.601526059465714</v>
      </c>
      <c r="AT5" s="33" t="n">
        <v>0.0278937013870986</v>
      </c>
      <c r="AU5" s="33" t="n">
        <v>0.0562932014253682</v>
      </c>
      <c r="AV5" s="34" t="n">
        <f aca="false">IF(AU5&gt;0,AT5/AU5,"")</f>
        <v>0.495507462372328</v>
      </c>
      <c r="AW5" s="34" t="n">
        <f aca="false">IF(AU5&gt;0,TDIST(ABS(AV5),MIN(AT27,AT28)-1,2),"")</f>
        <v>0.626237023950058</v>
      </c>
    </row>
    <row r="6" customFormat="false" ht="15" hidden="false" customHeight="false" outlineLevel="0" collapsed="false">
      <c r="A6" s="7" t="s">
        <v>10</v>
      </c>
      <c r="B6" s="33" t="n">
        <v>0.0138899892559336</v>
      </c>
      <c r="C6" s="33" t="n">
        <v>0.0214456338829671</v>
      </c>
      <c r="D6" s="34" t="n">
        <f aca="false">IF(C6&gt;0,B6/C6,"")</f>
        <v>0.647683781777395</v>
      </c>
      <c r="E6" s="34" t="n">
        <f aca="false">IF(C6&gt;0,TDIST(ABS(D6),MIN(B27,B28)-1,2),"")</f>
        <v>0.525365180902973</v>
      </c>
      <c r="F6" s="33" t="n">
        <v>0.00413847282355857</v>
      </c>
      <c r="G6" s="33" t="n">
        <v>0.020675257961711</v>
      </c>
      <c r="H6" s="34" t="n">
        <f aca="false">IF(G6&gt;0,F6/G6,"")</f>
        <v>0.200165474656843</v>
      </c>
      <c r="I6" s="34" t="n">
        <f aca="false">IF(G6&gt;0,TDIST(ABS(H6),MIN(F27,F28)-1,2),"")</f>
        <v>0.843595265537911</v>
      </c>
      <c r="J6" s="33" t="n">
        <v>0.0106906784943456</v>
      </c>
      <c r="K6" s="33" t="n">
        <v>0.00896529282501748</v>
      </c>
      <c r="L6" s="34" t="n">
        <f aca="false">IF(K6&gt;0,J6/K6,"")</f>
        <v>1.1924516803861</v>
      </c>
      <c r="M6" s="34" t="n">
        <f aca="false">IF(K6&gt;0,TDIST(ABS(L6),MIN(J27,J28)-1,2),"")</f>
        <v>0.24856760929225</v>
      </c>
      <c r="N6" s="33" t="n">
        <v>0.000222697439686628</v>
      </c>
      <c r="O6" s="33" t="n">
        <v>0.0164563850136208</v>
      </c>
      <c r="P6" s="34" t="n">
        <f aca="false">IF(O6&gt;0,N6/O6,"")</f>
        <v>0.0135325856500261</v>
      </c>
      <c r="Q6" s="34" t="n">
        <f aca="false">IF(O6&gt;0,TDIST(ABS(P6),MIN(N27,N28)-1,2),"")</f>
        <v>0.989351753947724</v>
      </c>
      <c r="R6" s="33" t="n">
        <v>-0.00798521489311291</v>
      </c>
      <c r="S6" s="33" t="n">
        <v>0.0183425644196124</v>
      </c>
      <c r="T6" s="34" t="n">
        <f aca="false">IF(S6&gt;0,R6/S6,"")</f>
        <v>-0.435337977310026</v>
      </c>
      <c r="U6" s="34" t="n">
        <f aca="false">IF(S6&gt;0,TDIST(ABS(T6),MIN(R27,R28)-1,2),"")</f>
        <v>0.668492345039088</v>
      </c>
      <c r="V6" s="33" t="n">
        <v>-0.0142892654163809</v>
      </c>
      <c r="W6" s="33" t="n">
        <v>0.0211713783162855</v>
      </c>
      <c r="X6" s="34" t="n">
        <f aca="false">IF(W6&gt;0,V6/W6,"")</f>
        <v>-0.674933166981823</v>
      </c>
      <c r="Y6" s="34" t="n">
        <f aca="false">IF(W6&gt;0,TDIST(ABS(X6),MIN(V27,V28)-1,2),"")</f>
        <v>0.508295758965779</v>
      </c>
      <c r="Z6" s="33" t="n">
        <v>0.0125200242245297</v>
      </c>
      <c r="AA6" s="33" t="n">
        <v>0.0204235004437926</v>
      </c>
      <c r="AB6" s="34" t="n">
        <f aca="false">IF(AA6&gt;0,Z6/AA6,"")</f>
        <v>0.613020488773998</v>
      </c>
      <c r="AC6" s="34" t="n">
        <f aca="false">IF(AA6&gt;0,TDIST(ABS(AB6),MIN(Z27,Z28)-1,2),"")</f>
        <v>0.547531008309262</v>
      </c>
      <c r="AD6" s="33" t="n">
        <v>-0.0131820327533653</v>
      </c>
      <c r="AE6" s="33" t="n">
        <v>0.0131253158793754</v>
      </c>
      <c r="AF6" s="34" t="n">
        <f aca="false">IF(AE6&gt;0,AD6/AE6,"")</f>
        <v>-1.00432118163945</v>
      </c>
      <c r="AG6" s="34" t="n">
        <f aca="false">IF(AE6&gt;0,TDIST(ABS(AF6),MIN(AD27,AD28)-1,2),"")</f>
        <v>0.328534893152777</v>
      </c>
      <c r="AH6" s="33" t="n">
        <v>-0.000253343378606424</v>
      </c>
      <c r="AI6" s="33" t="n">
        <v>0.000635773846004447</v>
      </c>
      <c r="AJ6" s="34" t="n">
        <f aca="false">IF(AI6&gt;0,AH6/AI6,"")</f>
        <v>-0.398480340452149</v>
      </c>
      <c r="AK6" s="34" t="n">
        <f aca="false">IF(AI6&gt;0,TDIST(ABS(AJ6),MIN(AH27,AH28)-1,2),"")</f>
        <v>0.69496329050372</v>
      </c>
      <c r="AL6" s="33" t="n">
        <v>-0.00046527308324683</v>
      </c>
      <c r="AM6" s="33" t="n">
        <v>0.000837220510965732</v>
      </c>
      <c r="AN6" s="34" t="n">
        <f aca="false">IF(AM6&gt;0,AL6/AM6,"")</f>
        <v>-0.555735409193617</v>
      </c>
      <c r="AO6" s="34" t="n">
        <f aca="false">IF(AM6&gt;0,TDIST(ABS(AN6),MIN(AL27,AL28)-1,2),"")</f>
        <v>0.585233808672575</v>
      </c>
      <c r="AP6" s="33" t="n">
        <v>-0.000807908484898584</v>
      </c>
      <c r="AQ6" s="33" t="n">
        <v>0.000675339223453865</v>
      </c>
      <c r="AR6" s="34" t="n">
        <f aca="false">IF(AQ6&gt;0,AP6/AQ6,"")</f>
        <v>-1.19630025451021</v>
      </c>
      <c r="AS6" s="34" t="n">
        <f aca="false">IF(AQ6&gt;0,TDIST(ABS(AR6),MIN(AP27,AP28)-1,2),"")</f>
        <v>0.247100222764307</v>
      </c>
      <c r="AT6" s="33" t="n">
        <v>-0.00121104949019937</v>
      </c>
      <c r="AU6" s="33" t="n">
        <v>0.00050705158101823</v>
      </c>
      <c r="AV6" s="34" t="n">
        <f aca="false">IF(AU6&gt;0,AT6/AU6,"")</f>
        <v>-2.38841477974966</v>
      </c>
      <c r="AW6" s="34" t="n">
        <f aca="false">IF(AU6&gt;0,TDIST(ABS(AV6),MIN(AT27,AT28)-1,2),"")</f>
        <v>0.0280863396166101</v>
      </c>
    </row>
    <row r="7" customFormat="false" ht="15" hidden="false" customHeight="false" outlineLevel="0" collapsed="false">
      <c r="A7" s="7" t="s">
        <v>11</v>
      </c>
      <c r="B7" s="33" t="n">
        <v>0.00713092877302606</v>
      </c>
      <c r="C7" s="33" t="n">
        <v>0.0559561362688667</v>
      </c>
      <c r="D7" s="34" t="n">
        <f aca="false">IF(C7&gt;0,B7/C7,"")</f>
        <v>0.127437833426566</v>
      </c>
      <c r="E7" s="34" t="n">
        <f aca="false">IF(C7&gt;0,TDIST(ABS(D7),MIN(B27,B28)-1,2),"")</f>
        <v>0.90000677159461</v>
      </c>
      <c r="F7" s="33" t="n">
        <v>0.0677983277584612</v>
      </c>
      <c r="G7" s="33" t="n">
        <v>0.0651289631865536</v>
      </c>
      <c r="H7" s="34" t="n">
        <f aca="false">IF(G7&gt;0,F7/G7,"")</f>
        <v>1.04098582936537</v>
      </c>
      <c r="I7" s="34" t="n">
        <f aca="false">IF(G7&gt;0,TDIST(ABS(H7),MIN(F27,F28)-1,2),"")</f>
        <v>0.311663367539947</v>
      </c>
      <c r="J7" s="33" t="n">
        <v>-0.944611298654176</v>
      </c>
      <c r="K7" s="33" t="n">
        <v>0.381382306432197</v>
      </c>
      <c r="L7" s="34" t="n">
        <f aca="false">IF(K7&gt;0,J7/K7,"")</f>
        <v>-2.47680944480866</v>
      </c>
      <c r="M7" s="34" t="n">
        <f aca="false">IF(K7&gt;0,TDIST(ABS(L7),MIN(J27,J28)-1,2),"")</f>
        <v>0.0234081295935938</v>
      </c>
      <c r="N7" s="33" t="n">
        <v>-1.4177009706968</v>
      </c>
      <c r="O7" s="33" t="n">
        <v>0.725804348754759</v>
      </c>
      <c r="P7" s="34" t="n">
        <f aca="false">IF(O7&gt;0,N7/O7,"")</f>
        <v>-1.95328255214936</v>
      </c>
      <c r="Q7" s="34" t="n">
        <f aca="false">IF(O7&gt;0,TDIST(ABS(P7),MIN(N27,N28)-1,2),"")</f>
        <v>0.0665101879553404</v>
      </c>
      <c r="R7" s="33" t="n">
        <v>-0.0588012287265005</v>
      </c>
      <c r="S7" s="33" t="n">
        <v>0.0602591510602123</v>
      </c>
      <c r="T7" s="34" t="n">
        <f aca="false">IF(S7&gt;0,R7/S7,"")</f>
        <v>-0.975805793675138</v>
      </c>
      <c r="U7" s="34" t="n">
        <f aca="false">IF(S7&gt;0,TDIST(ABS(T7),MIN(R27,R28)-1,2),"")</f>
        <v>0.342093578197665</v>
      </c>
      <c r="V7" s="33" t="n">
        <v>-0.0533606416708607</v>
      </c>
      <c r="W7" s="33" t="n">
        <v>0.0618721814383457</v>
      </c>
      <c r="X7" s="34" t="n">
        <f aca="false">IF(W7&gt;0,V7/W7,"")</f>
        <v>-0.862433494833756</v>
      </c>
      <c r="Y7" s="34" t="n">
        <f aca="false">IF(W7&gt;0,TDIST(ABS(X7),MIN(V27,V28)-1,2),"")</f>
        <v>0.399793845529539</v>
      </c>
      <c r="Z7" s="33" t="n">
        <v>-1.2988538978727</v>
      </c>
      <c r="AA7" s="33" t="n">
        <v>0.655955357809532</v>
      </c>
      <c r="AB7" s="34" t="n">
        <f aca="false">IF(AA7&gt;0,Z7/AA7,"")</f>
        <v>-1.98009495983086</v>
      </c>
      <c r="AC7" s="34" t="n">
        <f aca="false">IF(AA7&gt;0,TDIST(ABS(AB7),MIN(Z27,Z28)-1,2),"")</f>
        <v>0.0631896687920057</v>
      </c>
      <c r="AD7" s="33" t="n">
        <v>-1.8425389426739</v>
      </c>
      <c r="AE7" s="33" t="n">
        <v>0.977357867631476</v>
      </c>
      <c r="AF7" s="34" t="n">
        <f aca="false">IF(AE7&gt;0,AD7/AE7,"")</f>
        <v>-1.88522444408116</v>
      </c>
      <c r="AG7" s="34" t="n">
        <f aca="false">IF(AE7&gt;0,TDIST(ABS(AF7),MIN(AD27,AD28)-1,2),"")</f>
        <v>0.0756478026623512</v>
      </c>
      <c r="AH7" s="33" t="n">
        <v>-0.0222747633408498</v>
      </c>
      <c r="AI7" s="33" t="n">
        <v>0.0137203516905956</v>
      </c>
      <c r="AJ7" s="34" t="n">
        <f aca="false">IF(AI7&gt;0,AH7/AI7,"")</f>
        <v>-1.62348340940251</v>
      </c>
      <c r="AK7" s="34" t="n">
        <f aca="false">IF(AI7&gt;0,TDIST(ABS(AJ7),MIN(AH27,AH28)-1,2),"")</f>
        <v>0.121868709695133</v>
      </c>
      <c r="AL7" s="33" t="n">
        <v>-0.0193192369231904</v>
      </c>
      <c r="AM7" s="33" t="n">
        <v>0.0146227068626973</v>
      </c>
      <c r="AN7" s="34" t="n">
        <f aca="false">IF(AM7&gt;0,AL7/AM7,"")</f>
        <v>-1.3211806202909</v>
      </c>
      <c r="AO7" s="34" t="n">
        <f aca="false">IF(AM7&gt;0,TDIST(ABS(AN7),MIN(AL27,AL28)-1,2),"")</f>
        <v>0.20299074170164</v>
      </c>
      <c r="AP7" s="33" t="n">
        <v>0.00778980957291633</v>
      </c>
      <c r="AQ7" s="33" t="n">
        <v>0.0498667849378041</v>
      </c>
      <c r="AR7" s="34" t="n">
        <f aca="false">IF(AQ7&gt;0,AP7/AQ7,"")</f>
        <v>0.15621238831884</v>
      </c>
      <c r="AS7" s="34" t="n">
        <f aca="false">IF(AQ7&gt;0,TDIST(ABS(AR7),MIN(AP27,AP28)-1,2),"")</f>
        <v>0.877604264986718</v>
      </c>
      <c r="AT7" s="33" t="n">
        <v>0.042342004668457</v>
      </c>
      <c r="AU7" s="33" t="n">
        <v>0.103036485140785</v>
      </c>
      <c r="AV7" s="34" t="n">
        <f aca="false">IF(AU7&gt;0,AT7/AU7,"")</f>
        <v>0.41094185822238</v>
      </c>
      <c r="AW7" s="34" t="n">
        <f aca="false">IF(AU7&gt;0,TDIST(ABS(AV7),MIN(AT27,AT28)-1,2),"")</f>
        <v>0.685966100080684</v>
      </c>
    </row>
    <row r="8" customFormat="false" ht="15" hidden="false" customHeight="false" outlineLevel="0" collapsed="false">
      <c r="A8" s="7" t="s">
        <v>12</v>
      </c>
      <c r="B8" s="33" t="n">
        <v>-0.00523668659585414</v>
      </c>
      <c r="C8" s="33" t="n">
        <v>0.00447396120510685</v>
      </c>
      <c r="D8" s="34" t="n">
        <f aca="false">IF(C8&gt;0,B8/C8,"")</f>
        <v>-1.17048100235574</v>
      </c>
      <c r="E8" s="34" t="n">
        <f aca="false">IF(C8&gt;0,TDIST(ABS(D8),MIN(B27,B28)-1,2),"")</f>
        <v>0.257071378282772</v>
      </c>
      <c r="F8" s="33" t="n">
        <v>-0.00577190330202227</v>
      </c>
      <c r="G8" s="33" t="n">
        <v>0.00482095836779693</v>
      </c>
      <c r="H8" s="34" t="n">
        <f aca="false">IF(G8&gt;0,F8/G8,"")</f>
        <v>-1.19725226016832</v>
      </c>
      <c r="I8" s="34" t="n">
        <f aca="false">IF(G8&gt;0,TDIST(ABS(H8),MIN(F27,F28)-1,2),"")</f>
        <v>0.246738258825964</v>
      </c>
      <c r="J8" s="33" t="n">
        <v>-0.0270861003118257</v>
      </c>
      <c r="K8" s="33" t="n">
        <v>0.00851923458647329</v>
      </c>
      <c r="L8" s="34" t="n">
        <f aca="false">IF(K8&gt;0,J8/K8,"")</f>
        <v>-3.17940538400393</v>
      </c>
      <c r="M8" s="34" t="n">
        <f aca="false">IF(K8&gt;0,TDIST(ABS(L8),MIN(J27,J28)-1,2),"")</f>
        <v>0.0051922091685381</v>
      </c>
      <c r="N8" s="33" t="n">
        <v>-0.0303912498402354</v>
      </c>
      <c r="O8" s="33" t="n">
        <v>0.0103010714999345</v>
      </c>
      <c r="P8" s="34" t="n">
        <f aca="false">IF(O8&gt;0,N8/O8,"")</f>
        <v>-2.95029986350727</v>
      </c>
      <c r="Q8" s="34" t="n">
        <f aca="false">IF(O8&gt;0,TDIST(ABS(P8),MIN(N27,N28)-1,2),"")</f>
        <v>0.00856108338700037</v>
      </c>
      <c r="R8" s="33" t="n">
        <v>0.000452008688290316</v>
      </c>
      <c r="S8" s="33" t="n">
        <v>0.00727093290521906</v>
      </c>
      <c r="T8" s="34" t="n">
        <f aca="false">IF(S8&gt;0,R8/S8,"")</f>
        <v>0.0621665327107977</v>
      </c>
      <c r="U8" s="34" t="n">
        <f aca="false">IF(S8&gt;0,TDIST(ABS(T8),MIN(R27,R28)-1,2),"")</f>
        <v>0.951115322492051</v>
      </c>
      <c r="V8" s="33" t="n">
        <v>0.00102277058713799</v>
      </c>
      <c r="W8" s="33" t="n">
        <v>0.00652500146903654</v>
      </c>
      <c r="X8" s="34" t="n">
        <f aca="false">IF(W8&gt;0,V8/W8,"")</f>
        <v>0.15674641484625</v>
      </c>
      <c r="Y8" s="34" t="n">
        <f aca="false">IF(W8&gt;0,TDIST(ABS(X8),MIN(V27,V28)-1,2),"")</f>
        <v>0.877189439425213</v>
      </c>
      <c r="Z8" s="33" t="n">
        <v>-0.0272003085239101</v>
      </c>
      <c r="AA8" s="33" t="n">
        <v>0.0188166300923779</v>
      </c>
      <c r="AB8" s="34" t="n">
        <f aca="false">IF(AA8&gt;0,Z8/AA8,"")</f>
        <v>-1.44554622110195</v>
      </c>
      <c r="AC8" s="34" t="n">
        <f aca="false">IF(AA8&gt;0,TDIST(ABS(AB8),MIN(Z27,Z28)-1,2),"")</f>
        <v>0.165490901330581</v>
      </c>
      <c r="AD8" s="33" t="n">
        <v>-0.0112789858841248</v>
      </c>
      <c r="AE8" s="33" t="n">
        <v>0.0173382735779429</v>
      </c>
      <c r="AF8" s="34" t="n">
        <f aca="false">IF(AE8&gt;0,AD8/AE8,"")</f>
        <v>-0.650525315189021</v>
      </c>
      <c r="AG8" s="34" t="n">
        <f aca="false">IF(AE8&gt;0,TDIST(ABS(AF8),MIN(AD27,AD28)-1,2),"")</f>
        <v>0.523570439284629</v>
      </c>
      <c r="AH8" s="33" t="n">
        <v>-0.000820222187063041</v>
      </c>
      <c r="AI8" s="33" t="n">
        <v>0.000870334041390524</v>
      </c>
      <c r="AJ8" s="34" t="n">
        <f aca="false">IF(AI8&gt;0,AH8/AI8,"")</f>
        <v>-0.942422274730954</v>
      </c>
      <c r="AK8" s="34" t="n">
        <f aca="false">IF(AI8&gt;0,TDIST(ABS(AJ8),MIN(AH27,AH28)-1,2),"")</f>
        <v>0.358454347964189</v>
      </c>
      <c r="AL8" s="33" t="n">
        <v>-0.00107029960718933</v>
      </c>
      <c r="AM8" s="33" t="n">
        <v>0.000905947645427024</v>
      </c>
      <c r="AN8" s="34" t="n">
        <f aca="false">IF(AM8&gt;0,AL8/AM8,"")</f>
        <v>-1.18141441460984</v>
      </c>
      <c r="AO8" s="34" t="n">
        <f aca="false">IF(AM8&gt;0,TDIST(ABS(AN8),MIN(AL27,AL28)-1,2),"")</f>
        <v>0.252812564102691</v>
      </c>
      <c r="AP8" s="33" t="n">
        <v>-0.00124376930158907</v>
      </c>
      <c r="AQ8" s="33" t="n">
        <v>0.00108788102665877</v>
      </c>
      <c r="AR8" s="34" t="n">
        <f aca="false">IF(AQ8&gt;0,AP8/AQ8,"")</f>
        <v>-1.14329533387405</v>
      </c>
      <c r="AS8" s="34" t="n">
        <f aca="false">IF(AQ8&gt;0,TDIST(ABS(AR8),MIN(AP27,AP28)-1,2),"")</f>
        <v>0.267894511893026</v>
      </c>
      <c r="AT8" s="33" t="n">
        <v>-0.00235462478691992</v>
      </c>
      <c r="AU8" s="33" t="n">
        <v>0.000988004261744498</v>
      </c>
      <c r="AV8" s="34" t="n">
        <f aca="false">IF(AU8&gt;0,AT8/AU8,"")</f>
        <v>-2.38321318853667</v>
      </c>
      <c r="AW8" s="34" t="n">
        <f aca="false">IF(AU8&gt;0,TDIST(ABS(AV8),MIN(AT27,AT28)-1,2),"")</f>
        <v>0.028387226074299</v>
      </c>
    </row>
    <row r="9" customFormat="false" ht="15" hidden="false" customHeight="false" outlineLevel="0" collapsed="false">
      <c r="A9" s="7" t="s">
        <v>13</v>
      </c>
      <c r="B9" s="33" t="n">
        <v>-0.0822866016664249</v>
      </c>
      <c r="C9" s="33" t="n">
        <v>0.134378457186412</v>
      </c>
      <c r="D9" s="34" t="n">
        <f aca="false">IF(C9&gt;0,B9/C9,"")</f>
        <v>-0.612349653280182</v>
      </c>
      <c r="E9" s="34" t="n">
        <f aca="false">IF(C9&gt;0,TDIST(ABS(D9),MIN(B27,B28)-1,2),"")</f>
        <v>0.547964888990749</v>
      </c>
      <c r="F9" s="33" t="n">
        <v>0.00465311069995792</v>
      </c>
      <c r="G9" s="33" t="n">
        <v>0.064876350556345</v>
      </c>
      <c r="H9" s="34" t="n">
        <f aca="false">IF(G9&gt;0,F9/G9,"")</f>
        <v>0.071722756598596</v>
      </c>
      <c r="I9" s="34" t="n">
        <f aca="false">IF(G9&gt;0,TDIST(ABS(H9),MIN(F27,F28)-1,2),"")</f>
        <v>0.943613465763621</v>
      </c>
      <c r="J9" s="33" t="n">
        <v>-0.0483269025196313</v>
      </c>
      <c r="K9" s="33" t="n">
        <v>0.0828082251547267</v>
      </c>
      <c r="L9" s="34" t="n">
        <f aca="false">IF(K9&gt;0,J9/K9,"")</f>
        <v>-0.583600269530385</v>
      </c>
      <c r="M9" s="34" t="n">
        <f aca="false">IF(K9&gt;0,TDIST(ABS(L9),MIN(J27,J28)-1,2),"")</f>
        <v>0.566730997868314</v>
      </c>
      <c r="N9" s="33" t="n">
        <v>-0.0288654016346286</v>
      </c>
      <c r="O9" s="33" t="n">
        <v>0.0860405960045373</v>
      </c>
      <c r="P9" s="34" t="n">
        <f aca="false">IF(O9&gt;0,N9/O9,"")</f>
        <v>-0.335485840115593</v>
      </c>
      <c r="Q9" s="34" t="n">
        <f aca="false">IF(O9&gt;0,TDIST(ABS(P9),MIN(N27,N28)-1,2),"")</f>
        <v>0.741137129070262</v>
      </c>
      <c r="R9" s="33" t="n">
        <v>-0.333648797542501</v>
      </c>
      <c r="S9" s="33" t="n">
        <v>0.122383168044111</v>
      </c>
      <c r="T9" s="34" t="n">
        <f aca="false">IF(S9&gt;0,R9/S9,"")</f>
        <v>-2.72626377364446</v>
      </c>
      <c r="U9" s="34" t="n">
        <f aca="false">IF(S9&gt;0,TDIST(ABS(T9),MIN(R27,R28)-1,2),"")</f>
        <v>0.0138558521503773</v>
      </c>
      <c r="V9" s="33" t="n">
        <v>-0.24476907190419</v>
      </c>
      <c r="W9" s="33" t="n">
        <v>0.13312801328948</v>
      </c>
      <c r="X9" s="34" t="n">
        <f aca="false">IF(W9&gt;0,V9/W9,"")</f>
        <v>-1.83859929894659</v>
      </c>
      <c r="Y9" s="34" t="n">
        <f aca="false">IF(W9&gt;0,TDIST(ABS(X9),MIN(V27,V28)-1,2),"")</f>
        <v>0.082533219910338</v>
      </c>
      <c r="Z9" s="33" t="n">
        <v>-0.328058910960021</v>
      </c>
      <c r="AA9" s="33" t="n">
        <v>0.189879379023419</v>
      </c>
      <c r="AB9" s="34" t="n">
        <f aca="false">IF(AA9&gt;0,Z9/AA9,"")</f>
        <v>-1.72772268714634</v>
      </c>
      <c r="AC9" s="34" t="n">
        <f aca="false">IF(AA9&gt;0,TDIST(ABS(AB9),MIN(Z27,Z28)-1,2),"")</f>
        <v>0.101155734369494</v>
      </c>
      <c r="AD9" s="33" t="n">
        <v>-0.242167368513805</v>
      </c>
      <c r="AE9" s="33" t="n">
        <v>0.212686553121713</v>
      </c>
      <c r="AF9" s="34" t="n">
        <f aca="false">IF(AE9&gt;0,AD9/AE9,"")</f>
        <v>-1.13861156222331</v>
      </c>
      <c r="AG9" s="34" t="n">
        <f aca="false">IF(AE9&gt;0,TDIST(ABS(AF9),MIN(AD27,AD28)-1,2),"")</f>
        <v>0.269793062358758</v>
      </c>
      <c r="AH9" s="33" t="n">
        <v>-0.0393611173108143</v>
      </c>
      <c r="AI9" s="33" t="n">
        <v>0.0352020520315215</v>
      </c>
      <c r="AJ9" s="34" t="n">
        <f aca="false">IF(AI9&gt;0,AH9/AI9,"")</f>
        <v>-1.11814837599719</v>
      </c>
      <c r="AK9" s="34" t="n">
        <f aca="false">IF(AI9&gt;0,TDIST(ABS(AJ9),MIN(AH27,AH28)-1,2),"")</f>
        <v>0.278205193085186</v>
      </c>
      <c r="AL9" s="33" t="n">
        <v>-0.0824162513804818</v>
      </c>
      <c r="AM9" s="33" t="n">
        <v>0.069231728308641</v>
      </c>
      <c r="AN9" s="34" t="n">
        <f aca="false">IF(AM9&gt;0,AL9/AM9,"")</f>
        <v>-1.19044047279974</v>
      </c>
      <c r="AO9" s="34" t="n">
        <f aca="false">IF(AM9&gt;0,TDIST(ABS(AN9),MIN(AL27,AL28)-1,2),"")</f>
        <v>0.249337069753766</v>
      </c>
      <c r="AP9" s="33" t="n">
        <v>-0.0851803903472259</v>
      </c>
      <c r="AQ9" s="33" t="n">
        <v>0.0592626233491945</v>
      </c>
      <c r="AR9" s="34" t="n">
        <f aca="false">IF(AQ9&gt;0,AP9/AQ9,"")</f>
        <v>-1.43733749087204</v>
      </c>
      <c r="AS9" s="34" t="n">
        <f aca="false">IF(AQ9&gt;0,TDIST(ABS(AR9),MIN(AP27,AP28)-1,2),"")</f>
        <v>0.167779046470517</v>
      </c>
      <c r="AT9" s="33" t="n">
        <v>-0.0859817474768352</v>
      </c>
      <c r="AU9" s="33" t="n">
        <v>0.0554527565948336</v>
      </c>
      <c r="AV9" s="34" t="n">
        <f aca="false">IF(AU9&gt;0,AT9/AU9,"")</f>
        <v>-1.55054054580302</v>
      </c>
      <c r="AW9" s="34" t="n">
        <f aca="false">IF(AU9&gt;0,TDIST(ABS(AV9),MIN(AT27,AT28)-1,2),"")</f>
        <v>0.138415687961424</v>
      </c>
    </row>
    <row r="10" customFormat="false" ht="15" hidden="false" customHeight="false" outlineLevel="0" collapsed="false">
      <c r="A10" s="7" t="s">
        <v>14</v>
      </c>
      <c r="B10" s="33" t="n">
        <v>-0.0909250685824561</v>
      </c>
      <c r="C10" s="33" t="n">
        <v>0.144063899758142</v>
      </c>
      <c r="D10" s="34" t="n">
        <f aca="false">IF(C10&gt;0,B10/C10,"")</f>
        <v>-0.631144018280107</v>
      </c>
      <c r="E10" s="34" t="n">
        <f aca="false">IF(C10&gt;0,TDIST(ABS(D10),MIN(B27,B28)-1,2),"")</f>
        <v>0.535879311368597</v>
      </c>
      <c r="F10" s="33" t="n">
        <v>0.000117128256295999</v>
      </c>
      <c r="G10" s="33" t="n">
        <v>0.0787598680306327</v>
      </c>
      <c r="H10" s="34" t="n">
        <f aca="false">IF(G10&gt;0,F10/G10,"")</f>
        <v>0.00148715658399076</v>
      </c>
      <c r="I10" s="34" t="n">
        <f aca="false">IF(G10&gt;0,TDIST(ABS(H10),MIN(F27,F28)-1,2),"")</f>
        <v>0.998829779196974</v>
      </c>
      <c r="J10" s="33" t="n">
        <v>-0.05878870579267</v>
      </c>
      <c r="K10" s="33" t="n">
        <v>0.0958321348797873</v>
      </c>
      <c r="L10" s="34" t="n">
        <f aca="false">IF(K10&gt;0,J10/K10,"")</f>
        <v>-0.613455036417743</v>
      </c>
      <c r="M10" s="34" t="n">
        <f aca="false">IF(K10&gt;0,TDIST(ABS(L10),MIN(J27,J28)-1,2),"")</f>
        <v>0.547250051504808</v>
      </c>
      <c r="N10" s="33" t="n">
        <v>-0.035065367277741</v>
      </c>
      <c r="O10" s="33" t="n">
        <v>0.096834522332305</v>
      </c>
      <c r="P10" s="34" t="n">
        <f aca="false">IF(O10&gt;0,N10/O10,"")</f>
        <v>-0.362116386110812</v>
      </c>
      <c r="Q10" s="34" t="n">
        <f aca="false">IF(O10&gt;0,TDIST(ABS(P10),MIN(N27,N28)-1,2),"")</f>
        <v>0.721481483979334</v>
      </c>
      <c r="R10" s="33" t="n">
        <v>-0.322171084723029</v>
      </c>
      <c r="S10" s="33" t="n">
        <v>0.125257212577582</v>
      </c>
      <c r="T10" s="34" t="n">
        <f aca="false">IF(S10&gt;0,R10/S10,"")</f>
        <v>-2.57207611516569</v>
      </c>
      <c r="U10" s="34" t="n">
        <f aca="false">IF(S10&gt;0,TDIST(ABS(T10),MIN(R27,R28)-1,2),"")</f>
        <v>0.0191920163077109</v>
      </c>
      <c r="V10" s="33" t="n">
        <v>-0.244811318395883</v>
      </c>
      <c r="W10" s="33" t="n">
        <v>0.137653465215991</v>
      </c>
      <c r="X10" s="34" t="n">
        <f aca="false">IF(W10&gt;0,V10/W10,"")</f>
        <v>-1.7784609926946</v>
      </c>
      <c r="Y10" s="34" t="n">
        <f aca="false">IF(W10&gt;0,TDIST(ABS(X10),MIN(V27,V28)-1,2),"")</f>
        <v>0.0922235563649452</v>
      </c>
      <c r="Z10" s="33" t="n">
        <v>-0.359691761850006</v>
      </c>
      <c r="AA10" s="33" t="n">
        <v>0.199002265480054</v>
      </c>
      <c r="AB10" s="34" t="n">
        <f aca="false">IF(AA10&gt;0,Z10/AA10,"")</f>
        <v>-1.80747571381823</v>
      </c>
      <c r="AC10" s="34" t="n">
        <f aca="false">IF(AA10&gt;0,TDIST(ABS(AB10),MIN(Z27,Z28)-1,2),"")</f>
        <v>0.0874307393494904</v>
      </c>
      <c r="AD10" s="33" t="n">
        <v>-0.261947626119304</v>
      </c>
      <c r="AE10" s="33" t="n">
        <v>0.223379394438909</v>
      </c>
      <c r="AF10" s="34" t="n">
        <f aca="false">IF(AE10&gt;0,AD10/AE10,"")</f>
        <v>-1.17265796506107</v>
      </c>
      <c r="AG10" s="34" t="n">
        <f aca="false">IF(AE10&gt;0,TDIST(ABS(AF10),MIN(AD27,AD28)-1,2),"")</f>
        <v>0.256219119926469</v>
      </c>
      <c r="AH10" s="33" t="n">
        <v>-0.0434311694518283</v>
      </c>
      <c r="AI10" s="33" t="n">
        <v>0.0353604742973894</v>
      </c>
      <c r="AJ10" s="34" t="n">
        <f aca="false">IF(AI10&gt;0,AH10/AI10,"")</f>
        <v>-1.22824057976606</v>
      </c>
      <c r="AK10" s="34" t="n">
        <f aca="false">IF(AI10&gt;0,TDIST(ABS(AJ10),MIN(AH27,AH28)-1,2),"")</f>
        <v>0.235175225888872</v>
      </c>
      <c r="AL10" s="33" t="n">
        <v>-0.0865454137119989</v>
      </c>
      <c r="AM10" s="33" t="n">
        <v>0.069192604086777</v>
      </c>
      <c r="AN10" s="34" t="n">
        <f aca="false">IF(AM10&gt;0,AL10/AM10,"")</f>
        <v>-1.25078994864045</v>
      </c>
      <c r="AO10" s="34" t="n">
        <f aca="false">IF(AM10&gt;0,TDIST(ABS(AN10),MIN(AL27,AL28)-1,2),"")</f>
        <v>0.227025976848375</v>
      </c>
      <c r="AP10" s="33" t="n">
        <v>-0.0902871754243776</v>
      </c>
      <c r="AQ10" s="33" t="n">
        <v>0.0593514588415578</v>
      </c>
      <c r="AR10" s="34" t="n">
        <f aca="false">IF(AQ10&gt;0,AP10/AQ10,"")</f>
        <v>-1.52122925344438</v>
      </c>
      <c r="AS10" s="34" t="n">
        <f aca="false">IF(AQ10&gt;0,TDIST(ABS(AR10),MIN(AP27,AP28)-1,2),"")</f>
        <v>0.145575165147043</v>
      </c>
      <c r="AT10" s="33" t="n">
        <v>-0.0913056549111026</v>
      </c>
      <c r="AU10" s="33" t="n">
        <v>0.0556320006469363</v>
      </c>
      <c r="AV10" s="34" t="n">
        <f aca="false">IF(AU10&gt;0,AT10/AU10,"")</f>
        <v>-1.64124341834417</v>
      </c>
      <c r="AW10" s="34" t="n">
        <f aca="false">IF(AU10&gt;0,TDIST(ABS(AV10),MIN(AT27,AT28)-1,2),"")</f>
        <v>0.118103461259895</v>
      </c>
    </row>
    <row r="11" customFormat="false" ht="15" hidden="false" customHeight="false" outlineLevel="0" collapsed="false">
      <c r="A11" s="7" t="s">
        <v>15</v>
      </c>
      <c r="B11" s="33" t="n">
        <v>-0.0618911326181952</v>
      </c>
      <c r="C11" s="33" t="n">
        <v>0.133650736588502</v>
      </c>
      <c r="D11" s="34" t="n">
        <f aca="false">IF(C11&gt;0,B11/C11,"")</f>
        <v>-0.463081118727779</v>
      </c>
      <c r="E11" s="34" t="n">
        <f aca="false">IF(C11&gt;0,TDIST(ABS(D11),MIN(B27,B28)-1,2),"")</f>
        <v>0.648855993528436</v>
      </c>
      <c r="F11" s="33" t="n">
        <v>0.0262615689398989</v>
      </c>
      <c r="G11" s="33" t="n">
        <v>0.0607074075755543</v>
      </c>
      <c r="H11" s="34" t="n">
        <f aca="false">IF(G11&gt;0,F11/G11,"")</f>
        <v>0.432592495523955</v>
      </c>
      <c r="I11" s="34" t="n">
        <f aca="false">IF(G11&gt;0,TDIST(ABS(H11),MIN(F27,F28)-1,2),"")</f>
        <v>0.670449330711243</v>
      </c>
      <c r="J11" s="33" t="n">
        <v>-0.0907776689559918</v>
      </c>
      <c r="K11" s="33" t="n">
        <v>0.0799581299020795</v>
      </c>
      <c r="L11" s="34" t="n">
        <f aca="false">IF(K11&gt;0,J11/K11,"")</f>
        <v>-1.13531505885846</v>
      </c>
      <c r="M11" s="34" t="n">
        <f aca="false">IF(K11&gt;0,TDIST(ABS(L11),MIN(J27,J28)-1,2),"")</f>
        <v>0.271135280691244</v>
      </c>
      <c r="N11" s="33" t="n">
        <v>-0.0786064517821817</v>
      </c>
      <c r="O11" s="33" t="n">
        <v>0.0871212332954775</v>
      </c>
      <c r="P11" s="34" t="n">
        <f aca="false">IF(O11&gt;0,N11/O11,"")</f>
        <v>-0.902265140296886</v>
      </c>
      <c r="Q11" s="34" t="n">
        <f aca="false">IF(O11&gt;0,TDIST(ABS(P11),MIN(N27,N28)-1,2),"")</f>
        <v>0.378831630165971</v>
      </c>
      <c r="R11" s="33" t="n">
        <v>-0.330948644198283</v>
      </c>
      <c r="S11" s="33" t="n">
        <v>0.123529890761319</v>
      </c>
      <c r="T11" s="34" t="n">
        <f aca="false">IF(S11&gt;0,R11/S11,"")</f>
        <v>-2.67909768363458</v>
      </c>
      <c r="U11" s="34" t="n">
        <f aca="false">IF(S11&gt;0,TDIST(ABS(T11),MIN(R27,R28)-1,2),"")</f>
        <v>0.0153160340930071</v>
      </c>
      <c r="V11" s="33" t="n">
        <v>-0.239616759442347</v>
      </c>
      <c r="W11" s="33" t="n">
        <v>0.134290994710617</v>
      </c>
      <c r="X11" s="34" t="n">
        <f aca="false">IF(W11&gt;0,V11/W11,"")</f>
        <v>-1.78430996031191</v>
      </c>
      <c r="Y11" s="34" t="n">
        <f aca="false">IF(W11&gt;0,TDIST(ABS(X11),MIN(V27,V28)-1,2),"")</f>
        <v>0.0912393581075077</v>
      </c>
      <c r="Z11" s="33" t="n">
        <v>-0.329758661873191</v>
      </c>
      <c r="AA11" s="33" t="n">
        <v>0.198704162091957</v>
      </c>
      <c r="AB11" s="34" t="n">
        <f aca="false">IF(AA11&gt;0,Z11/AA11,"")</f>
        <v>-1.65954582129278</v>
      </c>
      <c r="AC11" s="34" t="n">
        <f aca="false">IF(AA11&gt;0,TDIST(ABS(AB11),MIN(Z27,Z28)-1,2),"")</f>
        <v>0.114327232704054</v>
      </c>
      <c r="AD11" s="33" t="n">
        <v>-0.22986993004442</v>
      </c>
      <c r="AE11" s="33" t="n">
        <v>0.220184150624413</v>
      </c>
      <c r="AF11" s="34" t="n">
        <f aca="false">IF(AE11&gt;0,AD11/AE11,"")</f>
        <v>-1.04398944879793</v>
      </c>
      <c r="AG11" s="34" t="n">
        <f aca="false">IF(AE11&gt;0,TDIST(ABS(AF11),MIN(AD27,AD28)-1,2),"")</f>
        <v>0.310309162037209</v>
      </c>
      <c r="AH11" s="33" t="n">
        <v>-0.0324362470589291</v>
      </c>
      <c r="AI11" s="33" t="n">
        <v>0.0360357436497602</v>
      </c>
      <c r="AJ11" s="34" t="n">
        <f aca="false">IF(AI11&gt;0,AH11/AI11,"")</f>
        <v>-0.900113159150663</v>
      </c>
      <c r="AK11" s="34" t="n">
        <f aca="false">IF(AI11&gt;0,TDIST(ABS(AJ11),MIN(AH27,AH28)-1,2),"")</f>
        <v>0.379945091664895</v>
      </c>
      <c r="AL11" s="33" t="n">
        <v>-0.0749370786634733</v>
      </c>
      <c r="AM11" s="33" t="n">
        <v>0.0692800586196923</v>
      </c>
      <c r="AN11" s="34" t="n">
        <f aca="false">IF(AM11&gt;0,AL11/AM11,"")</f>
        <v>-1.08165437726944</v>
      </c>
      <c r="AO11" s="34" t="n">
        <f aca="false">IF(AM11&gt;0,TDIST(ABS(AN11),MIN(AL27,AL28)-1,2),"")</f>
        <v>0.293685011227998</v>
      </c>
      <c r="AP11" s="33" t="n">
        <v>-0.0848682887416429</v>
      </c>
      <c r="AQ11" s="33" t="n">
        <v>0.0583560163870258</v>
      </c>
      <c r="AR11" s="34" t="n">
        <f aca="false">IF(AQ11&gt;0,AP11/AQ11,"")</f>
        <v>-1.45431943432848</v>
      </c>
      <c r="AS11" s="34" t="n">
        <f aca="false">IF(AQ11&gt;0,TDIST(ABS(AR11),MIN(AP27,AP28)-1,2),"")</f>
        <v>0.163073634181121</v>
      </c>
      <c r="AT11" s="33" t="n">
        <v>-0.0869940324943472</v>
      </c>
      <c r="AU11" s="33" t="n">
        <v>0.0547187584925668</v>
      </c>
      <c r="AV11" s="34" t="n">
        <f aca="false">IF(AU11&gt;0,AT11/AU11,"")</f>
        <v>-1.58983929626555</v>
      </c>
      <c r="AW11" s="34" t="n">
        <f aca="false">IF(AU11&gt;0,TDIST(ABS(AV11),MIN(AT27,AT28)-1,2),"")</f>
        <v>0.129280724231395</v>
      </c>
    </row>
    <row r="12" customFormat="false" ht="15" hidden="false" customHeight="false" outlineLevel="0" collapsed="false">
      <c r="A12" s="7" t="s">
        <v>16</v>
      </c>
      <c r="B12" s="33" t="n">
        <v>-0.0727163437333821</v>
      </c>
      <c r="C12" s="33" t="n">
        <v>0.14282975773289</v>
      </c>
      <c r="D12" s="34" t="n">
        <f aca="false">IF(C12&gt;0,B12/C12,"")</f>
        <v>-0.509112000801478</v>
      </c>
      <c r="E12" s="34" t="n">
        <f aca="false">IF(C12&gt;0,TDIST(ABS(D12),MIN(B27,B28)-1,2),"")</f>
        <v>0.616857931190098</v>
      </c>
      <c r="F12" s="33" t="n">
        <v>0.0250518153918397</v>
      </c>
      <c r="G12" s="33" t="n">
        <v>0.0650175393535992</v>
      </c>
      <c r="H12" s="34" t="n">
        <f aca="false">IF(G12&gt;0,F12/G12,"")</f>
        <v>0.385308574284777</v>
      </c>
      <c r="I12" s="34" t="n">
        <f aca="false">IF(G12&gt;0,TDIST(ABS(H12),MIN(F27,F28)-1,2),"")</f>
        <v>0.704524204544969</v>
      </c>
      <c r="J12" s="33" t="n">
        <v>-0.0423507740004407</v>
      </c>
      <c r="K12" s="33" t="n">
        <v>0.0905687546117784</v>
      </c>
      <c r="L12" s="34" t="n">
        <f aca="false">IF(K12&gt;0,J12/K12,"")</f>
        <v>-0.467609101858325</v>
      </c>
      <c r="M12" s="34" t="n">
        <f aca="false">IF(K12&gt;0,TDIST(ABS(L12),MIN(J27,J28)-1,2),"")</f>
        <v>0.645675626469537</v>
      </c>
      <c r="N12" s="33" t="n">
        <v>0.0109308959680605</v>
      </c>
      <c r="O12" s="33" t="n">
        <v>0.0941232546224913</v>
      </c>
      <c r="P12" s="34" t="n">
        <f aca="false">IF(O12&gt;0,N12/O12,"")</f>
        <v>0.116133850363568</v>
      </c>
      <c r="Q12" s="34" t="n">
        <f aca="false">IF(O12&gt;0,TDIST(ABS(P12),MIN(N27,N28)-1,2),"")</f>
        <v>0.908832329671587</v>
      </c>
      <c r="R12" s="33" t="n">
        <v>-0.315228054953145</v>
      </c>
      <c r="S12" s="33" t="n">
        <v>0.13170263150128</v>
      </c>
      <c r="T12" s="34" t="n">
        <f aca="false">IF(S12&gt;0,R12/S12,"")</f>
        <v>-2.39348334471267</v>
      </c>
      <c r="U12" s="34" t="n">
        <f aca="false">IF(S12&gt;0,TDIST(ABS(T12),MIN(R27,R28)-1,2),"")</f>
        <v>0.0277960162245189</v>
      </c>
      <c r="V12" s="33" t="n">
        <v>-0.232132070204524</v>
      </c>
      <c r="W12" s="33" t="n">
        <v>0.139658471069898</v>
      </c>
      <c r="X12" s="34" t="n">
        <f aca="false">IF(W12&gt;0,V12/W12,"")</f>
        <v>-1.66214099600406</v>
      </c>
      <c r="Y12" s="34" t="n">
        <f aca="false">IF(W12&gt;0,TDIST(ABS(X12),MIN(V27,V28)-1,2),"")</f>
        <v>0.113800215375874</v>
      </c>
      <c r="Z12" s="33" t="n">
        <v>-0.34267502173805</v>
      </c>
      <c r="AA12" s="33" t="n">
        <v>0.201431195612402</v>
      </c>
      <c r="AB12" s="34" t="n">
        <f aca="false">IF(AA12&gt;0,Z12/AA12,"")</f>
        <v>-1.70120134915662</v>
      </c>
      <c r="AC12" s="34" t="n">
        <f aca="false">IF(AA12&gt;0,TDIST(ABS(AB12),MIN(Z27,Z28)-1,2),"")</f>
        <v>0.106115506597241</v>
      </c>
      <c r="AD12" s="33" t="n">
        <v>-0.227967797128218</v>
      </c>
      <c r="AE12" s="33" t="n">
        <v>0.228237115550848</v>
      </c>
      <c r="AF12" s="34" t="n">
        <f aca="false">IF(AE12&gt;0,AD12/AE12,"")</f>
        <v>-0.998820006018826</v>
      </c>
      <c r="AG12" s="34" t="n">
        <f aca="false">IF(AE12&gt;0,TDIST(ABS(AF12),MIN(AD27,AD28)-1,2),"")</f>
        <v>0.331120805883444</v>
      </c>
      <c r="AH12" s="33" t="n">
        <v>-0.034079724334971</v>
      </c>
      <c r="AI12" s="33" t="n">
        <v>0.0348838767573321</v>
      </c>
      <c r="AJ12" s="34" t="n">
        <f aca="false">IF(AI12&gt;0,AH12/AI12,"")</f>
        <v>-0.976947733534457</v>
      </c>
      <c r="AK12" s="34" t="n">
        <f aca="false">IF(AI12&gt;0,TDIST(ABS(AJ12),MIN(AH27,AH28)-1,2),"")</f>
        <v>0.341543233425411</v>
      </c>
      <c r="AL12" s="33" t="n">
        <v>-0.0765067218047427</v>
      </c>
      <c r="AM12" s="33" t="n">
        <v>0.0689312599828965</v>
      </c>
      <c r="AN12" s="34" t="n">
        <f aca="false">IF(AM12&gt;0,AL12/AM12,"")</f>
        <v>-1.10989878646823</v>
      </c>
      <c r="AO12" s="34" t="n">
        <f aca="false">IF(AM12&gt;0,TDIST(ABS(AN12),MIN(AL27,AL28)-1,2),"")</f>
        <v>0.281650753509268</v>
      </c>
      <c r="AP12" s="33" t="n">
        <v>-0.0672175440277276</v>
      </c>
      <c r="AQ12" s="33" t="n">
        <v>0.059672056920837</v>
      </c>
      <c r="AR12" s="34" t="n">
        <f aca="false">IF(AQ12&gt;0,AP12/AQ12,"")</f>
        <v>-1.12644925441234</v>
      </c>
      <c r="AS12" s="34" t="n">
        <f aca="false">IF(AQ12&gt;0,TDIST(ABS(AR12),MIN(AP27,AP28)-1,2),"")</f>
        <v>0.274769729770188</v>
      </c>
      <c r="AT12" s="33" t="n">
        <v>-0.0646599021529623</v>
      </c>
      <c r="AU12" s="33" t="n">
        <v>0.0559097921130442</v>
      </c>
      <c r="AV12" s="34" t="n">
        <f aca="false">IF(AU12&gt;0,AT12/AU12,"")</f>
        <v>-1.15650407038227</v>
      </c>
      <c r="AW12" s="34" t="n">
        <f aca="false">IF(AU12&gt;0,TDIST(ABS(AV12),MIN(AT27,AT28)-1,2),"")</f>
        <v>0.26259408961956</v>
      </c>
    </row>
    <row r="13" customFormat="false" ht="15" hidden="false" customHeight="false" outlineLevel="0" collapsed="false">
      <c r="A13" s="7" t="s">
        <v>17</v>
      </c>
      <c r="B13" s="33" t="n">
        <v>-0.129297559091688</v>
      </c>
      <c r="C13" s="33" t="n">
        <v>0.13420023294282</v>
      </c>
      <c r="D13" s="34" t="n">
        <f aca="false">IF(C13&gt;0,B13/C13,"")</f>
        <v>-0.963467471377482</v>
      </c>
      <c r="E13" s="34" t="n">
        <f aca="false">IF(C13&gt;0,TDIST(ABS(D13),MIN(B27,B28)-1,2),"")</f>
        <v>0.348079127757475</v>
      </c>
      <c r="F13" s="33" t="n">
        <v>-0.0387028269574025</v>
      </c>
      <c r="G13" s="33" t="n">
        <v>0.0655757485756806</v>
      </c>
      <c r="H13" s="34" t="n">
        <f aca="false">IF(G13&gt;0,F13/G13,"")</f>
        <v>-0.590200307248278</v>
      </c>
      <c r="I13" s="34" t="n">
        <f aca="false">IF(G13&gt;0,TDIST(ABS(H13),MIN(F27,F28)-1,2),"")</f>
        <v>0.562393383263574</v>
      </c>
      <c r="J13" s="33" t="n">
        <v>-0.0968520723083607</v>
      </c>
      <c r="K13" s="33" t="n">
        <v>0.0760483589902604</v>
      </c>
      <c r="L13" s="34" t="n">
        <f aca="false">IF(K13&gt;0,J13/K13,"")</f>
        <v>-1.27355900369612</v>
      </c>
      <c r="M13" s="34" t="n">
        <f aca="false">IF(K13&gt;0,TDIST(ABS(L13),MIN(J27,J28)-1,2),"")</f>
        <v>0.219020727999073</v>
      </c>
      <c r="N13" s="33" t="n">
        <v>-0.0827138053070119</v>
      </c>
      <c r="O13" s="33" t="n">
        <v>0.0740611260315613</v>
      </c>
      <c r="P13" s="34" t="n">
        <f aca="false">IF(O13&gt;0,N13/O13,"")</f>
        <v>-1.11683159221429</v>
      </c>
      <c r="Q13" s="34" t="n">
        <f aca="false">IF(O13&gt;0,TDIST(ABS(P13),MIN(N27,N28)-1,2),"")</f>
        <v>0.278753070315525</v>
      </c>
      <c r="R13" s="33" t="n">
        <v>-0.342715037753729</v>
      </c>
      <c r="S13" s="33" t="n">
        <v>0.12276891039311</v>
      </c>
      <c r="T13" s="34" t="n">
        <f aca="false">IF(S13&gt;0,R13/S13,"")</f>
        <v>-2.79154581283115</v>
      </c>
      <c r="U13" s="34" t="n">
        <f aca="false">IF(S13&gt;0,TDIST(ABS(T13),MIN(R27,R28)-1,2),"")</f>
        <v>0.0120530338336698</v>
      </c>
      <c r="V13" s="33" t="n">
        <v>-0.252669872930469</v>
      </c>
      <c r="W13" s="33" t="n">
        <v>0.136360032628983</v>
      </c>
      <c r="X13" s="34" t="n">
        <f aca="false">IF(W13&gt;0,V13/W13,"")</f>
        <v>-1.8529613704182</v>
      </c>
      <c r="Y13" s="34" t="n">
        <f aca="false">IF(W13&gt;0,TDIST(ABS(X13),MIN(V27,V28)-1,2),"")</f>
        <v>0.0803556954542608</v>
      </c>
      <c r="Z13" s="33" t="n">
        <v>-0.331249998100194</v>
      </c>
      <c r="AA13" s="33" t="n">
        <v>0.19738783031513</v>
      </c>
      <c r="AB13" s="34" t="n">
        <f aca="false">IF(AA13&gt;0,Z13/AA13,"")</f>
        <v>-1.67816829219589</v>
      </c>
      <c r="AC13" s="34" t="n">
        <f aca="false">IF(AA13&gt;0,TDIST(ABS(AB13),MIN(Z27,Z28)-1,2),"")</f>
        <v>0.110591241286518</v>
      </c>
      <c r="AD13" s="33" t="n">
        <v>-0.261657885817867</v>
      </c>
      <c r="AE13" s="33" t="n">
        <v>0.21680736060747</v>
      </c>
      <c r="AF13" s="34" t="n">
        <f aca="false">IF(AE13&gt;0,AD13/AE13,"")</f>
        <v>-1.20686809287623</v>
      </c>
      <c r="AG13" s="34" t="n">
        <f aca="false">IF(AE13&gt;0,TDIST(ABS(AF13),MIN(AD27,AD28)-1,2),"")</f>
        <v>0.243104774513702</v>
      </c>
      <c r="AH13" s="33" t="n">
        <v>-0.0218074512215736</v>
      </c>
      <c r="AI13" s="33" t="n">
        <v>0.0351675353576439</v>
      </c>
      <c r="AJ13" s="34" t="n">
        <f aca="false">IF(AI13&gt;0,AH13/AI13,"")</f>
        <v>-0.6201017785238</v>
      </c>
      <c r="AK13" s="34" t="n">
        <f aca="false">IF(AI13&gt;0,TDIST(ABS(AJ13),MIN(AH27,AH28)-1,2),"")</f>
        <v>0.542962268116454</v>
      </c>
      <c r="AL13" s="33" t="n">
        <v>-0.0644818386393767</v>
      </c>
      <c r="AM13" s="33" t="n">
        <v>0.0701918997304596</v>
      </c>
      <c r="AN13" s="34" t="n">
        <f aca="false">IF(AM13&gt;0,AL13/AM13,"")</f>
        <v>-0.918650711648925</v>
      </c>
      <c r="AO13" s="34" t="n">
        <f aca="false">IF(AM13&gt;0,TDIST(ABS(AN13),MIN(AL27,AL28)-1,2),"")</f>
        <v>0.370425097242535</v>
      </c>
      <c r="AP13" s="33" t="n">
        <v>-0.0685969235671865</v>
      </c>
      <c r="AQ13" s="33" t="n">
        <v>0.0587546252982753</v>
      </c>
      <c r="AR13" s="34" t="n">
        <f aca="false">IF(AQ13&gt;0,AP13/AQ13,"")</f>
        <v>-1.16751529294835</v>
      </c>
      <c r="AS13" s="34" t="n">
        <f aca="false">IF(AQ13&gt;0,TDIST(ABS(AR13),MIN(AP27,AP28)-1,2),"")</f>
        <v>0.25823585510627</v>
      </c>
      <c r="AT13" s="33" t="n">
        <v>-0.0690155442336617</v>
      </c>
      <c r="AU13" s="33" t="n">
        <v>0.0550184521037421</v>
      </c>
      <c r="AV13" s="34" t="n">
        <f aca="false">IF(AU13&gt;0,AT13/AU13,"")</f>
        <v>-1.25440723238682</v>
      </c>
      <c r="AW13" s="34" t="n">
        <f aca="false">IF(AU13&gt;0,TDIST(ABS(AV13),MIN(AT27,AT28)-1,2),"")</f>
        <v>0.225739268492852</v>
      </c>
    </row>
    <row r="14" customFormat="false" ht="15" hidden="false" customHeight="false" outlineLevel="0" collapsed="false">
      <c r="A14" s="7" t="s">
        <v>18</v>
      </c>
      <c r="B14" s="33" t="n">
        <v>-0.0963036391313547</v>
      </c>
      <c r="C14" s="33" t="n">
        <v>0.140398221726651</v>
      </c>
      <c r="D14" s="34" t="n">
        <f aca="false">IF(C14&gt;0,B14/C14,"")</f>
        <v>-0.68593204349022</v>
      </c>
      <c r="E14" s="34" t="n">
        <f aca="false">IF(C14&gt;0,TDIST(ABS(D14),MIN(B27,B28)-1,2),"")</f>
        <v>0.501496237579271</v>
      </c>
      <c r="F14" s="33" t="n">
        <v>-0.00965225555310146</v>
      </c>
      <c r="G14" s="33" t="n">
        <v>0.0614781520673076</v>
      </c>
      <c r="H14" s="34" t="n">
        <f aca="false">IF(G14&gt;0,F14/G14,"")</f>
        <v>-0.157003020236099</v>
      </c>
      <c r="I14" s="34" t="n">
        <f aca="false">IF(G14&gt;0,TDIST(ABS(H14),MIN(F27,F28)-1,2),"")</f>
        <v>0.876990124370766</v>
      </c>
      <c r="J14" s="33" t="n">
        <v>-0.114904070559068</v>
      </c>
      <c r="K14" s="33" t="n">
        <v>0.0854718618489751</v>
      </c>
      <c r="L14" s="34" t="n">
        <f aca="false">IF(K14&gt;0,J14/K14,"")</f>
        <v>-1.3443496850706</v>
      </c>
      <c r="M14" s="34" t="n">
        <f aca="false">IF(K14&gt;0,TDIST(ABS(L14),MIN(J27,J28)-1,2),"")</f>
        <v>0.195534041346399</v>
      </c>
      <c r="N14" s="33" t="n">
        <v>-0.0758237403895146</v>
      </c>
      <c r="O14" s="33" t="n">
        <v>0.0862535459612432</v>
      </c>
      <c r="P14" s="34" t="n">
        <f aca="false">IF(O14&gt;0,N14/O14,"")</f>
        <v>-0.879079689356597</v>
      </c>
      <c r="Q14" s="34" t="n">
        <f aca="false">IF(O14&gt;0,TDIST(ABS(P14),MIN(N27,N28)-1,2),"")</f>
        <v>0.390942801651592</v>
      </c>
      <c r="R14" s="33" t="n">
        <v>-0.304537816702214</v>
      </c>
      <c r="S14" s="33" t="n">
        <v>0.119345709455588</v>
      </c>
      <c r="T14" s="34" t="n">
        <f aca="false">IF(S14&gt;0,R14/S14,"")</f>
        <v>-2.55172823632626</v>
      </c>
      <c r="U14" s="34" t="n">
        <f aca="false">IF(S14&gt;0,TDIST(ABS(T14),MIN(R27,R28)-1,2),"")</f>
        <v>0.0200272634515681</v>
      </c>
      <c r="V14" s="33" t="n">
        <v>-0.217135028032326</v>
      </c>
      <c r="W14" s="33" t="n">
        <v>0.136930770562132</v>
      </c>
      <c r="X14" s="34" t="n">
        <f aca="false">IF(W14&gt;0,V14/W14,"")</f>
        <v>-1.58572851917021</v>
      </c>
      <c r="Y14" s="34" t="n">
        <f aca="false">IF(W14&gt;0,TDIST(ABS(X14),MIN(V27,V28)-1,2),"")</f>
        <v>0.130211889796303</v>
      </c>
      <c r="Z14" s="33" t="n">
        <v>-0.338955012144434</v>
      </c>
      <c r="AA14" s="33" t="n">
        <v>0.206527535563594</v>
      </c>
      <c r="AB14" s="34" t="n">
        <f aca="false">IF(AA14&gt;0,Z14/AA14,"")</f>
        <v>-1.64120978454257</v>
      </c>
      <c r="AC14" s="34" t="n">
        <f aca="false">IF(AA14&gt;0,TDIST(ABS(AB14),MIN(Z27,Z28)-1,2),"")</f>
        <v>0.118110497305245</v>
      </c>
      <c r="AD14" s="33" t="n">
        <v>-0.221472463311008</v>
      </c>
      <c r="AE14" s="33" t="n">
        <v>0.227983019227326</v>
      </c>
      <c r="AF14" s="34" t="n">
        <f aca="false">IF(AE14&gt;0,AD14/AE14,"")</f>
        <v>-0.971442803335163</v>
      </c>
      <c r="AG14" s="34" t="n">
        <f aca="false">IF(AE14&gt;0,TDIST(ABS(AF14),MIN(AD27,AD28)-1,2),"")</f>
        <v>0.344201936477407</v>
      </c>
      <c r="AH14" s="33" t="n">
        <v>-0.0339578513977617</v>
      </c>
      <c r="AI14" s="33" t="n">
        <v>0.0344087245436554</v>
      </c>
      <c r="AJ14" s="34" t="n">
        <f aca="false">IF(AI14&gt;0,AH14/AI14,"")</f>
        <v>-0.986896545807106</v>
      </c>
      <c r="AK14" s="34" t="n">
        <f aca="false">IF(AI14&gt;0,TDIST(ABS(AJ14),MIN(AH27,AH28)-1,2),"")</f>
        <v>0.336774536450228</v>
      </c>
      <c r="AL14" s="33" t="n">
        <v>-0.0747696951428547</v>
      </c>
      <c r="AM14" s="33" t="n">
        <v>0.0682466635323011</v>
      </c>
      <c r="AN14" s="34" t="n">
        <f aca="false">IF(AM14&gt;0,AL14/AM14,"")</f>
        <v>-1.09558022726585</v>
      </c>
      <c r="AO14" s="34" t="n">
        <f aca="false">IF(AM14&gt;0,TDIST(ABS(AN14),MIN(AL27,AL28)-1,2),"")</f>
        <v>0.287705483963755</v>
      </c>
      <c r="AP14" s="33" t="n">
        <v>-0.0743456833026128</v>
      </c>
      <c r="AQ14" s="33" t="n">
        <v>0.0588440096331926</v>
      </c>
      <c r="AR14" s="34" t="n">
        <f aca="false">IF(AQ14&gt;0,AP14/AQ14,"")</f>
        <v>-1.26343673325545</v>
      </c>
      <c r="AS14" s="34" t="n">
        <f aca="false">IF(AQ14&gt;0,TDIST(ABS(AR14),MIN(AP27,AP28)-1,2),"")</f>
        <v>0.222552025486122</v>
      </c>
      <c r="AT14" s="33" t="n">
        <v>-0.0731888883192778</v>
      </c>
      <c r="AU14" s="33" t="n">
        <v>0.0551493075815952</v>
      </c>
      <c r="AV14" s="34" t="n">
        <f aca="false">IF(AU14&gt;0,AT14/AU14,"")</f>
        <v>-1.3271043922173</v>
      </c>
      <c r="AW14" s="34" t="n">
        <f aca="false">IF(AU14&gt;0,TDIST(ABS(AV14),MIN(AT27,AT28)-1,2),"")</f>
        <v>0.201063167850877</v>
      </c>
    </row>
    <row r="15" customFormat="false" ht="15" hidden="false" customHeight="false" outlineLevel="0" collapsed="false">
      <c r="A15" s="7" t="s">
        <v>19</v>
      </c>
      <c r="B15" s="33" t="n">
        <v>-0.143344195335988</v>
      </c>
      <c r="C15" s="33" t="n">
        <v>0.138935914248512</v>
      </c>
      <c r="D15" s="34" t="n">
        <f aca="false">IF(C15&gt;0,B15/C15,"")</f>
        <v>-1.03172888098314</v>
      </c>
      <c r="E15" s="34" t="n">
        <f aca="false">IF(C15&gt;0,TDIST(ABS(D15),MIN(B27,B28)-1,2),"")</f>
        <v>0.315863504032165</v>
      </c>
      <c r="F15" s="33" t="n">
        <v>-0.046958739326876</v>
      </c>
      <c r="G15" s="33" t="n">
        <v>0.0609126602931264</v>
      </c>
      <c r="H15" s="34" t="n">
        <f aca="false">IF(G15&gt;0,F15/G15,"")</f>
        <v>-0.770919199734494</v>
      </c>
      <c r="I15" s="34" t="n">
        <f aca="false">IF(G15&gt;0,TDIST(ABS(H15),MIN(F27,F28)-1,2),"")</f>
        <v>0.450756408175417</v>
      </c>
      <c r="J15" s="33" t="n">
        <v>-0.138995056568092</v>
      </c>
      <c r="K15" s="33" t="n">
        <v>0.0953408443567651</v>
      </c>
      <c r="L15" s="34" t="n">
        <f aca="false">IF(K15&gt;0,J15/K15,"")</f>
        <v>-1.45787524230405</v>
      </c>
      <c r="M15" s="34" t="n">
        <f aca="false">IF(K15&gt;0,TDIST(ABS(L15),MIN(J27,J28)-1,2),"")</f>
        <v>0.162102167594176</v>
      </c>
      <c r="N15" s="33" t="n">
        <v>-0.123404989476307</v>
      </c>
      <c r="O15" s="33" t="n">
        <v>0.0983379140108944</v>
      </c>
      <c r="P15" s="34" t="n">
        <f aca="false">IF(O15&gt;0,N15/O15,"")</f>
        <v>-1.25490753711366</v>
      </c>
      <c r="Q15" s="34" t="n">
        <f aca="false">IF(O15&gt;0,TDIST(ABS(P15),MIN(N27,N28)-1,2),"")</f>
        <v>0.225561749905134</v>
      </c>
      <c r="R15" s="33" t="n">
        <v>-0.357373703166694</v>
      </c>
      <c r="S15" s="33" t="n">
        <v>0.129686540991759</v>
      </c>
      <c r="T15" s="34" t="n">
        <f aca="false">IF(S15&gt;0,R15/S15,"")</f>
        <v>-2.75567302847103</v>
      </c>
      <c r="U15" s="34" t="n">
        <f aca="false">IF(S15&gt;0,TDIST(ABS(T15),MIN(R27,R28)-1,2),"")</f>
        <v>0.0130138272950079</v>
      </c>
      <c r="V15" s="33" t="n">
        <v>-0.263423044592139</v>
      </c>
      <c r="W15" s="33" t="n">
        <v>0.139486379260108</v>
      </c>
      <c r="X15" s="34" t="n">
        <f aca="false">IF(W15&gt;0,V15/W15,"")</f>
        <v>-1.88852163192881</v>
      </c>
      <c r="Y15" s="34" t="n">
        <f aca="false">IF(W15&gt;0,TDIST(ABS(X15),MIN(V27,V28)-1,2),"")</f>
        <v>0.0751806857984942</v>
      </c>
      <c r="Z15" s="33" t="n">
        <v>-0.349335284929458</v>
      </c>
      <c r="AA15" s="33" t="n">
        <v>0.208410042344449</v>
      </c>
      <c r="AB15" s="34" t="n">
        <f aca="false">IF(AA15&gt;0,Z15/AA15,"")</f>
        <v>-1.67619218824443</v>
      </c>
      <c r="AC15" s="34" t="n">
        <f aca="false">IF(AA15&gt;0,TDIST(ABS(AB15),MIN(Z27,Z28)-1,2),"")</f>
        <v>0.110982661869557</v>
      </c>
      <c r="AD15" s="33" t="n">
        <v>-0.253403233504513</v>
      </c>
      <c r="AE15" s="33" t="n">
        <v>0.227740988202461</v>
      </c>
      <c r="AF15" s="34" t="n">
        <f aca="false">IF(AE15&gt;0,AD15/AE15,"")</f>
        <v>-1.11268171577107</v>
      </c>
      <c r="AG15" s="34" t="n">
        <f aca="false">IF(AE15&gt;0,TDIST(ABS(AF15),MIN(AD27,AD28)-1,2),"")</f>
        <v>0.280484927386263</v>
      </c>
      <c r="AH15" s="33" t="n">
        <v>-0.0320791887764176</v>
      </c>
      <c r="AI15" s="33" t="n">
        <v>0.0354108127611176</v>
      </c>
      <c r="AJ15" s="34" t="n">
        <f aca="false">IF(AI15&gt;0,AH15/AI15,"")</f>
        <v>-0.905915065910088</v>
      </c>
      <c r="AK15" s="34" t="n">
        <f aca="false">IF(AI15&gt;0,TDIST(ABS(AJ15),MIN(AH27,AH28)-1,2),"")</f>
        <v>0.376948101043772</v>
      </c>
      <c r="AL15" s="33" t="n">
        <v>-0.0728787988442432</v>
      </c>
      <c r="AM15" s="33" t="n">
        <v>0.0678871864959191</v>
      </c>
      <c r="AN15" s="34" t="n">
        <f aca="false">IF(AM15&gt;0,AL15/AM15,"")</f>
        <v>-1.07352804860493</v>
      </c>
      <c r="AO15" s="34" t="n">
        <f aca="false">IF(AM15&gt;0,TDIST(ABS(AN15),MIN(AL27,AL28)-1,2),"")</f>
        <v>0.297215854939275</v>
      </c>
      <c r="AP15" s="33" t="n">
        <v>-0.0816699816459308</v>
      </c>
      <c r="AQ15" s="33" t="n">
        <v>0.0578883246149584</v>
      </c>
      <c r="AR15" s="34" t="n">
        <f aca="false">IF(AQ15&gt;0,AP15/AQ15,"")</f>
        <v>-1.41081957698992</v>
      </c>
      <c r="AS15" s="34" t="n">
        <f aca="false">IF(AQ15&gt;0,TDIST(ABS(AR15),MIN(AP27,AP28)-1,2),"")</f>
        <v>0.175347306906619</v>
      </c>
      <c r="AT15" s="33" t="n">
        <v>-0.0825527442173372</v>
      </c>
      <c r="AU15" s="33" t="n">
        <v>0.0541670437764627</v>
      </c>
      <c r="AV15" s="34" t="n">
        <f aca="false">IF(AU15&gt;0,AT15/AU15,"")</f>
        <v>-1.52404005206592</v>
      </c>
      <c r="AW15" s="34" t="n">
        <f aca="false">IF(AU15&gt;0,TDIST(ABS(AV15),MIN(AT27,AT28)-1,2),"")</f>
        <v>0.144875522314131</v>
      </c>
    </row>
    <row r="16" customFormat="false" ht="15" hidden="false" customHeight="false" outlineLevel="0" collapsed="false">
      <c r="A16" s="7" t="s">
        <v>20</v>
      </c>
      <c r="B16" s="33" t="n">
        <v>-0.101514233549831</v>
      </c>
      <c r="C16" s="33" t="n">
        <v>0.147366089984265</v>
      </c>
      <c r="D16" s="34" t="n">
        <f aca="false">IF(C16&gt;0,B16/C16,"")</f>
        <v>-0.688857481125205</v>
      </c>
      <c r="E16" s="34" t="n">
        <f aca="false">IF(C16&gt;0,TDIST(ABS(D16),MIN(B27,B28)-1,2),"")</f>
        <v>0.499696561444377</v>
      </c>
      <c r="F16" s="33" t="n">
        <v>-0.0183365672303339</v>
      </c>
      <c r="G16" s="33" t="n">
        <v>0.0802287568187852</v>
      </c>
      <c r="H16" s="34" t="n">
        <f aca="false">IF(G16&gt;0,F16/G16,"")</f>
        <v>-0.228553550589736</v>
      </c>
      <c r="I16" s="34" t="n">
        <f aca="false">IF(G16&gt;0,TDIST(ABS(H16),MIN(F27,F28)-1,2),"")</f>
        <v>0.821792384431492</v>
      </c>
      <c r="J16" s="33" t="n">
        <v>-0.0683690307470596</v>
      </c>
      <c r="K16" s="33" t="n">
        <v>0.112000544908515</v>
      </c>
      <c r="L16" s="34" t="n">
        <f aca="false">IF(K16&gt;0,J16/K16,"")</f>
        <v>-0.610434804606579</v>
      </c>
      <c r="M16" s="34" t="n">
        <f aca="false">IF(K16&gt;0,TDIST(ABS(L16),MIN(J27,J28)-1,2),"")</f>
        <v>0.549204381894683</v>
      </c>
      <c r="N16" s="33" t="n">
        <v>-0.0461957598888445</v>
      </c>
      <c r="O16" s="33" t="n">
        <v>0.113729266084523</v>
      </c>
      <c r="P16" s="34" t="n">
        <f aca="false">IF(O16&gt;0,N16/O16,"")</f>
        <v>-0.406190609324005</v>
      </c>
      <c r="Q16" s="34" t="n">
        <f aca="false">IF(O16&gt;0,TDIST(ABS(P16),MIN(N27,N28)-1,2),"")</f>
        <v>0.689390888049788</v>
      </c>
      <c r="R16" s="33" t="n">
        <v>-0.299340612005414</v>
      </c>
      <c r="S16" s="33" t="n">
        <v>0.136199629987863</v>
      </c>
      <c r="T16" s="34" t="n">
        <f aca="false">IF(S16&gt;0,R16/S16,"")</f>
        <v>-2.19780782100574</v>
      </c>
      <c r="U16" s="34" t="n">
        <f aca="false">IF(S16&gt;0,TDIST(ABS(T16),MIN(R27,R28)-1,2),"")</f>
        <v>0.0412885301901977</v>
      </c>
      <c r="V16" s="33" t="n">
        <v>-0.220462071435183</v>
      </c>
      <c r="W16" s="33" t="n">
        <v>0.145558529056979</v>
      </c>
      <c r="X16" s="34" t="n">
        <f aca="false">IF(W16&gt;0,V16/W16,"")</f>
        <v>-1.51459397716834</v>
      </c>
      <c r="Y16" s="34" t="n">
        <f aca="false">IF(W16&gt;0,TDIST(ABS(X16),MIN(V27,V28)-1,2),"")</f>
        <v>0.147237902171687</v>
      </c>
      <c r="Z16" s="33" t="n">
        <v>-0.312509453246358</v>
      </c>
      <c r="AA16" s="33" t="n">
        <v>0.191923777815466</v>
      </c>
      <c r="AB16" s="34" t="n">
        <f aca="false">IF(AA16&gt;0,Z16/AA16,"")</f>
        <v>-1.62829982195763</v>
      </c>
      <c r="AC16" s="34" t="n">
        <f aca="false">IF(AA16&gt;0,TDIST(ABS(AB16),MIN(Z27,Z28)-1,2),"")</f>
        <v>0.120837663652045</v>
      </c>
      <c r="AD16" s="33" t="n">
        <v>-0.2371011298683</v>
      </c>
      <c r="AE16" s="33" t="n">
        <v>0.213684135590068</v>
      </c>
      <c r="AF16" s="34" t="n">
        <f aca="false">IF(AE16&gt;0,AD16/AE16,"")</f>
        <v>-1.10958695746677</v>
      </c>
      <c r="AG16" s="34" t="n">
        <f aca="false">IF(AE16&gt;0,TDIST(ABS(AF16),MIN(AD27,AD28)-1,2),"")</f>
        <v>0.281781606996807</v>
      </c>
      <c r="AH16" s="33" t="n">
        <v>-0.0363159348805042</v>
      </c>
      <c r="AI16" s="33" t="n">
        <v>0.0348712646115005</v>
      </c>
      <c r="AJ16" s="34" t="n">
        <f aca="false">IF(AI16&gt;0,AH16/AI16,"")</f>
        <v>-1.04142867444294</v>
      </c>
      <c r="AK16" s="34" t="n">
        <f aca="false">IF(AI16&gt;0,TDIST(ABS(AJ16),MIN(AH27,AH28)-1,2),"")</f>
        <v>0.311463442035458</v>
      </c>
      <c r="AL16" s="33" t="n">
        <v>-0.0817809119468937</v>
      </c>
      <c r="AM16" s="33" t="n">
        <v>0.0698841007558982</v>
      </c>
      <c r="AN16" s="34" t="n">
        <f aca="false">IF(AM16&gt;0,AL16/AM16,"")</f>
        <v>-1.17023630643185</v>
      </c>
      <c r="AO16" s="34" t="n">
        <f aca="false">IF(AM16&gt;0,TDIST(ABS(AN16),MIN(AL27,AL28)-1,2),"")</f>
        <v>0.257167307507478</v>
      </c>
      <c r="AP16" s="33" t="n">
        <v>-0.0798141274219784</v>
      </c>
      <c r="AQ16" s="33" t="n">
        <v>0.0591514128138445</v>
      </c>
      <c r="AR16" s="34" t="n">
        <f aca="false">IF(AQ16&gt;0,AP16/AQ16,"")</f>
        <v>-1.3493190377914</v>
      </c>
      <c r="AS16" s="34" t="n">
        <f aca="false">IF(AQ16&gt;0,TDIST(ABS(AR16),MIN(AP27,AP28)-1,2),"")</f>
        <v>0.19396341621592</v>
      </c>
      <c r="AT16" s="33" t="n">
        <v>-0.0797540683619493</v>
      </c>
      <c r="AU16" s="33" t="n">
        <v>0.0554049470335655</v>
      </c>
      <c r="AV16" s="34" t="n">
        <f aca="false">IF(AU16&gt;0,AT16/AU16,"")</f>
        <v>-1.43947558173158</v>
      </c>
      <c r="AW16" s="34" t="n">
        <f aca="false">IF(AU16&gt;0,TDIST(ABS(AV16),MIN(AT27,AT28)-1,2),"")</f>
        <v>0.167180594748092</v>
      </c>
    </row>
    <row r="17" customFormat="false" ht="15" hidden="false" customHeight="false" outlineLevel="0" collapsed="false">
      <c r="A17" s="7" t="s">
        <v>21</v>
      </c>
      <c r="B17" s="33" t="n">
        <v>0.110250769602273</v>
      </c>
      <c r="C17" s="33" t="n">
        <v>0.142973275706106</v>
      </c>
      <c r="D17" s="34" t="n">
        <f aca="false">IF(C17&gt;0,B17/C17,"")</f>
        <v>0.771128513757378</v>
      </c>
      <c r="E17" s="34" t="n">
        <f aca="false">IF(C17&gt;0,TDIST(ABS(D17),MIN(B27,B28)-1,2),"")</f>
        <v>0.450635445734829</v>
      </c>
      <c r="F17" s="33" t="n">
        <v>0.144467520786481</v>
      </c>
      <c r="G17" s="33" t="n">
        <v>0.14201096440384</v>
      </c>
      <c r="H17" s="34" t="n">
        <f aca="false">IF(G17&gt;0,F17/G17,"")</f>
        <v>1.01729835715822</v>
      </c>
      <c r="I17" s="34" t="n">
        <f aca="false">IF(G17&gt;0,TDIST(ABS(H17),MIN(F27,F28)-1,2),"")</f>
        <v>0.322491175827653</v>
      </c>
      <c r="R17" s="33" t="n">
        <v>-0.228630861398491</v>
      </c>
      <c r="S17" s="33" t="n">
        <v>0.312365250202176</v>
      </c>
      <c r="T17" s="34" t="n">
        <f aca="false">IF(S17&gt;0,R17/S17,"")</f>
        <v>-0.731934366100298</v>
      </c>
      <c r="U17" s="34" t="n">
        <f aca="false">IF(S17&gt;0,TDIST(ABS(T17),MIN(R27,R28)-1,2),"")</f>
        <v>0.473631510985509</v>
      </c>
      <c r="V17" s="33" t="n">
        <v>-0.186475734534902</v>
      </c>
      <c r="W17" s="33" t="n">
        <v>0.221973927603571</v>
      </c>
      <c r="X17" s="34" t="n">
        <f aca="false">IF(W17&gt;0,V17/W17,"")</f>
        <v>-0.840079447834677</v>
      </c>
      <c r="Y17" s="34" t="n">
        <f aca="false">IF(W17&gt;0,TDIST(ABS(X17),MIN(V27,V28)-1,2),"")</f>
        <v>0.411883865802581</v>
      </c>
      <c r="AH17" s="33" t="n">
        <v>-0.0124949205349772</v>
      </c>
      <c r="AI17" s="33" t="n">
        <v>0.0430481666358528</v>
      </c>
      <c r="AJ17" s="34" t="n">
        <f aca="false">IF(AI17&gt;0,AH17/AI17,"")</f>
        <v>-0.290254417584668</v>
      </c>
      <c r="AK17" s="34" t="n">
        <f aca="false">IF(AI17&gt;0,TDIST(ABS(AJ17),MIN(AH27,AH28)-1,2),"")</f>
        <v>0.774939014818239</v>
      </c>
      <c r="AL17" s="33" t="n">
        <v>0.0331643024430314</v>
      </c>
      <c r="AM17" s="33" t="n">
        <v>0.0407617396306659</v>
      </c>
      <c r="AN17" s="34" t="n">
        <f aca="false">IF(AM17&gt;0,AL17/AM17,"")</f>
        <v>0.813613519529016</v>
      </c>
      <c r="AO17" s="34" t="n">
        <f aca="false">IF(AM17&gt;0,TDIST(ABS(AN17),MIN(AL27,AL28)-1,2),"")</f>
        <v>0.42649864696651</v>
      </c>
    </row>
    <row r="18" customFormat="false" ht="15" hidden="false" customHeight="false" outlineLevel="0" collapsed="false">
      <c r="A18" s="7" t="s">
        <v>22</v>
      </c>
      <c r="F18" s="33" t="n">
        <v>-0.404446300298927</v>
      </c>
      <c r="G18" s="33" t="n">
        <v>0.528476727994656</v>
      </c>
      <c r="H18" s="34" t="n">
        <f aca="false">IF(G18&gt;0,F18/G18,"")</f>
        <v>-0.765305790916524</v>
      </c>
      <c r="I18" s="34" t="n">
        <f aca="false">IF(G18&gt;0,TDIST(ABS(H18),MIN(F27,F28)-1,2),"")</f>
        <v>0.454007828138598</v>
      </c>
      <c r="J18" s="33" t="n">
        <v>0.821000370780425</v>
      </c>
      <c r="K18" s="33" t="n">
        <v>0.643560097399244</v>
      </c>
      <c r="L18" s="34" t="n">
        <f aca="false">IF(K18&gt;0,J18/K18,"")</f>
        <v>1.27571671099289</v>
      </c>
      <c r="M18" s="34" t="n">
        <f aca="false">IF(K18&gt;0,TDIST(ABS(L18),MIN(J27,J28)-1,2),"")</f>
        <v>0.218273654085262</v>
      </c>
      <c r="N18" s="33" t="n">
        <v>0.916112060092399</v>
      </c>
      <c r="O18" s="33" t="n">
        <v>0.669547617873632</v>
      </c>
      <c r="P18" s="34" t="n">
        <f aca="false">IF(O18&gt;0,N18/O18,"")</f>
        <v>1.3682552751092</v>
      </c>
      <c r="Q18" s="34" t="n">
        <f aca="false">IF(O18&gt;0,TDIST(ABS(P18),MIN(N27,N28)-1,2),"")</f>
        <v>0.188070321457473</v>
      </c>
      <c r="V18" s="33" t="n">
        <v>-0.698717983009846</v>
      </c>
      <c r="W18" s="33" t="n">
        <v>0.421832978845893</v>
      </c>
      <c r="X18" s="34" t="n">
        <f aca="false">IF(W18&gt;0,V18/W18,"")</f>
        <v>-1.65638538959541</v>
      </c>
      <c r="Y18" s="34" t="n">
        <f aca="false">IF(W18&gt;0,TDIST(ABS(X18),MIN(V27,V28)-1,2),"")</f>
        <v>0.114971852298578</v>
      </c>
      <c r="Z18" s="33" t="n">
        <v>-0.881569341432029</v>
      </c>
      <c r="AA18" s="33" t="n">
        <v>0.77196990717792</v>
      </c>
      <c r="AB18" s="34" t="n">
        <f aca="false">IF(AA18&gt;0,Z18/AA18,"")</f>
        <v>-1.14197371326918</v>
      </c>
      <c r="AC18" s="34" t="n">
        <f aca="false">IF(AA18&gt;0,TDIST(ABS(AB18),MIN(Z27,Z28)-1,2),"")</f>
        <v>0.268429214861278</v>
      </c>
      <c r="AD18" s="33" t="n">
        <v>-1.0282485872364</v>
      </c>
      <c r="AE18" s="33" t="n">
        <v>0.750667215535241</v>
      </c>
      <c r="AF18" s="34" t="n">
        <f aca="false">IF(AE18&gt;0,AD18/AE18,"")</f>
        <v>-1.36977953207033</v>
      </c>
      <c r="AG18" s="34" t="n">
        <f aca="false">IF(AE18&gt;0,TDIST(ABS(AF18),MIN(AD27,AD28)-1,2),"")</f>
        <v>0.18760225795007</v>
      </c>
      <c r="AL18" s="33" t="n">
        <v>0.000657320869398719</v>
      </c>
      <c r="AM18" s="33" t="n">
        <v>0.0942849668892605</v>
      </c>
      <c r="AN18" s="34" t="n">
        <f aca="false">IF(AM18&gt;0,AL18/AM18,"")</f>
        <v>0.00697164024218999</v>
      </c>
      <c r="AO18" s="34" t="n">
        <f aca="false">IF(AM18&gt;0,TDIST(ABS(AN18),MIN(AL27,AL28)-1,2),"")</f>
        <v>0.994514167542297</v>
      </c>
      <c r="AP18" s="33" t="n">
        <v>-0.184643223324449</v>
      </c>
      <c r="AQ18" s="33" t="n">
        <v>0.103763619250314</v>
      </c>
      <c r="AR18" s="34" t="n">
        <f aca="false">IF(AQ18&gt;0,AP18/AQ18,"")</f>
        <v>-1.7794601292677</v>
      </c>
      <c r="AS18" s="34" t="n">
        <f aca="false">IF(AQ18&gt;0,TDIST(ABS(AR18),MIN(AP27,AP28)-1,2),"")</f>
        <v>0.0920547807372332</v>
      </c>
      <c r="AT18" s="33" t="n">
        <v>-0.154935049159671</v>
      </c>
      <c r="AU18" s="33" t="n">
        <v>0.103762778880472</v>
      </c>
      <c r="AV18" s="34" t="n">
        <f aca="false">IF(AU18&gt;0,AT18/AU18,"")</f>
        <v>-1.49316595826858</v>
      </c>
      <c r="AW18" s="34" t="n">
        <f aca="false">IF(AU18&gt;0,TDIST(ABS(AV18),MIN(AT27,AT28)-1,2),"")</f>
        <v>0.152715383181071</v>
      </c>
    </row>
    <row r="19" customFormat="false" ht="15" hidden="false" customHeight="false" outlineLevel="0" collapsed="false">
      <c r="A19" s="7" t="s">
        <v>23</v>
      </c>
      <c r="F19" s="33" t="n">
        <v>0.0361131873086129</v>
      </c>
      <c r="G19" s="33" t="n">
        <v>0.0956072058390644</v>
      </c>
      <c r="H19" s="34" t="n">
        <f aca="false">IF(G19&gt;0,F19/G19,"")</f>
        <v>0.377724534376648</v>
      </c>
      <c r="I19" s="34" t="n">
        <f aca="false">IF(G19&gt;0,TDIST(ABS(H19),MIN(F27,F28)-1,2),"")</f>
        <v>0.71005238716582</v>
      </c>
      <c r="J19" s="33" t="n">
        <v>-0.0121808825211934</v>
      </c>
      <c r="K19" s="33" t="n">
        <v>0.118723442922255</v>
      </c>
      <c r="L19" s="34" t="n">
        <f aca="false">IF(K19&gt;0,J19/K19,"")</f>
        <v>-0.102598797856376</v>
      </c>
      <c r="M19" s="34" t="n">
        <f aca="false">IF(K19&gt;0,TDIST(ABS(L19),MIN(J27,J28)-1,2),"")</f>
        <v>0.919415775750922</v>
      </c>
      <c r="N19" s="33" t="n">
        <v>-0.036556546968862</v>
      </c>
      <c r="O19" s="33" t="n">
        <v>0.128747992961838</v>
      </c>
      <c r="P19" s="34" t="n">
        <f aca="false">IF(O19&gt;0,N19/O19,"")</f>
        <v>-0.283938771610193</v>
      </c>
      <c r="Q19" s="34" t="n">
        <f aca="false">IF(O19&gt;0,TDIST(ABS(P19),MIN(N27,N28)-1,2),"")</f>
        <v>0.77969761165244</v>
      </c>
      <c r="V19" s="33" t="n">
        <v>-0.00606451365890599</v>
      </c>
      <c r="W19" s="33" t="n">
        <v>0.118267614185603</v>
      </c>
      <c r="X19" s="34" t="n">
        <f aca="false">IF(W19&gt;0,V19/W19,"")</f>
        <v>-0.0512778895614541</v>
      </c>
      <c r="Y19" s="34" t="n">
        <f aca="false">IF(W19&gt;0,TDIST(ABS(X19),MIN(V27,V28)-1,2),"")</f>
        <v>0.959668852725244</v>
      </c>
      <c r="Z19" s="33" t="n">
        <v>0.191626227059998</v>
      </c>
      <c r="AA19" s="33" t="n">
        <v>0.188701222702072</v>
      </c>
      <c r="AB19" s="34" t="n">
        <f aca="false">IF(AA19&gt;0,Z19/AA19,"")</f>
        <v>1.01550071756845</v>
      </c>
      <c r="AC19" s="34" t="n">
        <f aca="false">IF(AA19&gt;0,TDIST(ABS(AB19),MIN(Z27,Z28)-1,2),"")</f>
        <v>0.323323646838469</v>
      </c>
      <c r="AD19" s="33" t="n">
        <v>0.0821410324195722</v>
      </c>
      <c r="AE19" s="33" t="n">
        <v>0.190848806762105</v>
      </c>
      <c r="AF19" s="34" t="n">
        <f aca="false">IF(AE19&gt;0,AD19/AE19,"")</f>
        <v>0.430398459456767</v>
      </c>
      <c r="AG19" s="34" t="n">
        <f aca="false">IF(AE19&gt;0,TDIST(ABS(AF19),MIN(AD27,AD28)-1,2),"")</f>
        <v>0.672014991846422</v>
      </c>
      <c r="AL19" s="33" t="n">
        <v>-0.0148866300368887</v>
      </c>
      <c r="AM19" s="33" t="n">
        <v>0.0134431904832939</v>
      </c>
      <c r="AN19" s="34" t="n">
        <f aca="false">IF(AM19&gt;0,AL19/AM19,"")</f>
        <v>-1.1073732872705</v>
      </c>
      <c r="AO19" s="34" t="n">
        <f aca="false">IF(AM19&gt;0,TDIST(ABS(AN19),MIN(AL27,AL28)-1,2),"")</f>
        <v>0.282711820648731</v>
      </c>
      <c r="AP19" s="33" t="n">
        <v>0.0170993492577042</v>
      </c>
      <c r="AQ19" s="33" t="n">
        <v>0.0109216051788493</v>
      </c>
      <c r="AR19" s="34" t="n">
        <f aca="false">IF(AQ19&gt;0,AP19/AQ19,"")</f>
        <v>1.56564433319917</v>
      </c>
      <c r="AS19" s="34" t="n">
        <f aca="false">IF(AQ19&gt;0,TDIST(ABS(AR19),MIN(AP27,AP28)-1,2),"")</f>
        <v>0.134842824678975</v>
      </c>
      <c r="AT19" s="33" t="n">
        <v>0.0135682955824442</v>
      </c>
      <c r="AU19" s="33" t="n">
        <v>0.00997984813497247</v>
      </c>
      <c r="AV19" s="34" t="n">
        <f aca="false">IF(AU19&gt;0,AT19/AU19,"")</f>
        <v>1.35956934403608</v>
      </c>
      <c r="AW19" s="34" t="n">
        <f aca="false">IF(AU19&gt;0,TDIST(ABS(AV19),MIN(AT27,AT28)-1,2),"")</f>
        <v>0.190755428229536</v>
      </c>
    </row>
    <row r="20" customFormat="false" ht="15" hidden="false" customHeight="false" outlineLevel="0" collapsed="false">
      <c r="A20" s="7" t="s">
        <v>24</v>
      </c>
      <c r="F20" s="33" t="n">
        <v>0.0312620736996745</v>
      </c>
      <c r="G20" s="33" t="n">
        <v>0.106954088670927</v>
      </c>
      <c r="H20" s="34" t="n">
        <f aca="false">IF(G20&gt;0,F20/G20,"")</f>
        <v>0.292294330101401</v>
      </c>
      <c r="I20" s="34" t="n">
        <f aca="false">IF(G20&gt;0,TDIST(ABS(H20),MIN(F27,F28)-1,2),"")</f>
        <v>0.773403966647049</v>
      </c>
      <c r="J20" s="33" t="n">
        <v>-0.036698886791713</v>
      </c>
      <c r="K20" s="33" t="n">
        <v>0.164219490849715</v>
      </c>
      <c r="L20" s="34" t="n">
        <f aca="false">IF(K20&gt;0,J20/K20,"")</f>
        <v>-0.223474610728746</v>
      </c>
      <c r="M20" s="34" t="n">
        <f aca="false">IF(K20&gt;0,TDIST(ABS(L20),MIN(J27,J28)-1,2),"")</f>
        <v>0.825682762760703</v>
      </c>
      <c r="N20" s="33" t="n">
        <v>0.00411152095119167</v>
      </c>
      <c r="O20" s="33" t="n">
        <v>0.157021531202805</v>
      </c>
      <c r="P20" s="34" t="n">
        <f aca="false">IF(O20&gt;0,N20/O20,"")</f>
        <v>0.0261844405649143</v>
      </c>
      <c r="Q20" s="34" t="n">
        <f aca="false">IF(O20&gt;0,TDIST(ABS(P20),MIN(N27,N28)-1,2),"")</f>
        <v>0.979398340567554</v>
      </c>
      <c r="V20" s="33" t="n">
        <v>-0.0356802755822058</v>
      </c>
      <c r="W20" s="33" t="n">
        <v>0.135481442089858</v>
      </c>
      <c r="X20" s="34" t="n">
        <f aca="false">IF(W20&gt;0,V20/W20,"")</f>
        <v>-0.263359136364528</v>
      </c>
      <c r="Y20" s="34" t="n">
        <f aca="false">IF(W20&gt;0,TDIST(ABS(X20),MIN(V27,V28)-1,2),"")</f>
        <v>0.795264902161244</v>
      </c>
      <c r="Z20" s="33" t="n">
        <v>-0.0937469477603741</v>
      </c>
      <c r="AA20" s="33" t="n">
        <v>0.231973242580498</v>
      </c>
      <c r="AB20" s="34" t="n">
        <f aca="false">IF(AA20&gt;0,Z20/AA20,"")</f>
        <v>-0.404128280992764</v>
      </c>
      <c r="AC20" s="34" t="n">
        <f aca="false">IF(AA20&gt;0,TDIST(ABS(AB20),MIN(Z27,Z28)-1,2),"")</f>
        <v>0.690879610100134</v>
      </c>
      <c r="AD20" s="33" t="n">
        <v>-0.1920208292143</v>
      </c>
      <c r="AE20" s="33" t="n">
        <v>0.232776936741504</v>
      </c>
      <c r="AF20" s="34" t="n">
        <f aca="false">IF(AE20&gt;0,AD20/AE20,"")</f>
        <v>-0.824913463946545</v>
      </c>
      <c r="AG20" s="34" t="n">
        <f aca="false">IF(AE20&gt;0,TDIST(ABS(AF20),MIN(AD27,AD28)-1,2),"")</f>
        <v>0.420218913082512</v>
      </c>
      <c r="AL20" s="33" t="n">
        <v>-0.0561646633488208</v>
      </c>
      <c r="AM20" s="33" t="n">
        <v>0.0390450140121255</v>
      </c>
      <c r="AN20" s="34" t="n">
        <f aca="false">IF(AM20&gt;0,AL20/AM20,"")</f>
        <v>-1.43845929550387</v>
      </c>
      <c r="AO20" s="34" t="n">
        <f aca="false">IF(AM20&gt;0,TDIST(ABS(AN20),MIN(AL27,AL28)-1,2),"")</f>
        <v>0.167464836031707</v>
      </c>
      <c r="AP20" s="33" t="n">
        <v>-0.0728652309161562</v>
      </c>
      <c r="AQ20" s="33" t="n">
        <v>0.05341584371703</v>
      </c>
      <c r="AR20" s="34" t="n">
        <f aca="false">IF(AQ20&gt;0,AP20/AQ20,"")</f>
        <v>-1.36411270225664</v>
      </c>
      <c r="AS20" s="34" t="n">
        <f aca="false">IF(AQ20&gt;0,TDIST(ABS(AR20),MIN(AP27,AP28)-1,2),"")</f>
        <v>0.189347131150784</v>
      </c>
      <c r="AT20" s="33" t="n">
        <v>-0.0674280072932556</v>
      </c>
      <c r="AU20" s="33" t="n">
        <v>0.0511512392360329</v>
      </c>
      <c r="AV20" s="34" t="n">
        <f aca="false">IF(AU20&gt;0,AT20/AU20,"")</f>
        <v>-1.31820867490844</v>
      </c>
      <c r="AW20" s="34" t="n">
        <f aca="false">IF(AU20&gt;0,TDIST(ABS(AV20),MIN(AT27,AT28)-1,2),"")</f>
        <v>0.203963287346734</v>
      </c>
    </row>
    <row r="21" customFormat="false" ht="15" hidden="false" customHeight="false" outlineLevel="0" collapsed="false">
      <c r="A21" s="7" t="s">
        <v>25</v>
      </c>
      <c r="F21" s="33" t="n">
        <v>-0.111719021898067</v>
      </c>
      <c r="G21" s="33" t="n">
        <v>0.140429202074691</v>
      </c>
      <c r="H21" s="34" t="n">
        <f aca="false">IF(G21&gt;0,F21/G21,"")</f>
        <v>-0.795554060320345</v>
      </c>
      <c r="I21" s="34" t="n">
        <f aca="false">IF(G21&gt;0,TDIST(ABS(H21),MIN(F27,F28)-1,2),"")</f>
        <v>0.436657376786596</v>
      </c>
      <c r="J21" s="33" t="n">
        <v>0.243680293667172</v>
      </c>
      <c r="K21" s="33" t="n">
        <v>0.2422669399849</v>
      </c>
      <c r="L21" s="34" t="n">
        <f aca="false">IF(K21&gt;0,J21/K21,"")</f>
        <v>1.00583386937714</v>
      </c>
      <c r="M21" s="34" t="n">
        <f aca="false">IF(K21&gt;0,TDIST(ABS(L21),MIN(J27,J28)-1,2),"")</f>
        <v>0.327826327627622</v>
      </c>
      <c r="N21" s="33" t="n">
        <v>0.28856215094249</v>
      </c>
      <c r="O21" s="33" t="n">
        <v>0.239714292238323</v>
      </c>
      <c r="P21" s="34" t="n">
        <f aca="false">IF(O21&gt;0,N21/O21,"")</f>
        <v>1.20377532873844</v>
      </c>
      <c r="Q21" s="34" t="n">
        <f aca="false">IF(O21&gt;0,TDIST(ABS(P21),MIN(N27,N28)-1,2),"")</f>
        <v>0.244268945399072</v>
      </c>
      <c r="V21" s="33" t="n">
        <v>0.025748743045971</v>
      </c>
      <c r="W21" s="33" t="n">
        <v>0.179874838788214</v>
      </c>
      <c r="X21" s="34" t="n">
        <f aca="false">IF(W21&gt;0,V21/W21,"")</f>
        <v>0.143148109093166</v>
      </c>
      <c r="Y21" s="34" t="n">
        <f aca="false">IF(W21&gt;0,TDIST(ABS(X21),MIN(V27,V28)-1,2),"")</f>
        <v>0.887763511023249</v>
      </c>
      <c r="Z21" s="33" t="n">
        <v>0.330423058075545</v>
      </c>
      <c r="AA21" s="33" t="n">
        <v>0.152804768260993</v>
      </c>
      <c r="AB21" s="34" t="n">
        <f aca="false">IF(AA21&gt;0,Z21/AA21,"")</f>
        <v>2.16238708932942</v>
      </c>
      <c r="AC21" s="34" t="n">
        <f aca="false">IF(AA21&gt;0,TDIST(ABS(AB21),MIN(Z27,Z28)-1,2),"")</f>
        <v>0.0442979739177951</v>
      </c>
      <c r="AD21" s="33" t="n">
        <v>0.12923917038973</v>
      </c>
      <c r="AE21" s="33" t="n">
        <v>0.208920904893158</v>
      </c>
      <c r="AF21" s="34" t="n">
        <f aca="false">IF(AE21&gt;0,AD21/AE21,"")</f>
        <v>0.618603343958437</v>
      </c>
      <c r="AG21" s="34" t="n">
        <f aca="false">IF(AE21&gt;0,TDIST(ABS(AF21),MIN(AD27,AD28)-1,2),"")</f>
        <v>0.543927314182905</v>
      </c>
      <c r="AL21" s="33" t="n">
        <v>0.0326969620171097</v>
      </c>
      <c r="AM21" s="33" t="n">
        <v>0.04051704263842</v>
      </c>
      <c r="AN21" s="34" t="n">
        <f aca="false">IF(AM21&gt;0,AL21/AM21,"")</f>
        <v>0.80699280815982</v>
      </c>
      <c r="AO21" s="34" t="n">
        <f aca="false">IF(AM21&gt;0,TDIST(ABS(AN21),MIN(AL27,AL28)-1,2),"")</f>
        <v>0.430205434701383</v>
      </c>
      <c r="AP21" s="33" t="n">
        <v>-0.0585043952074095</v>
      </c>
      <c r="AQ21" s="33" t="n">
        <v>0.0374639380673612</v>
      </c>
      <c r="AR21" s="34" t="n">
        <f aca="false">IF(AQ21&gt;0,AP21/AQ21,"")</f>
        <v>-1.56161893878366</v>
      </c>
      <c r="AS21" s="34" t="n">
        <f aca="false">IF(AQ21&gt;0,TDIST(ABS(AR21),MIN(AP27,AP28)-1,2),"")</f>
        <v>0.135787413205493</v>
      </c>
      <c r="AT21" s="33" t="n">
        <v>-0.0586225463289042</v>
      </c>
      <c r="AU21" s="33" t="n">
        <v>0.035888646339194</v>
      </c>
      <c r="AV21" s="34" t="n">
        <f aca="false">IF(AU21&gt;0,AT21/AU21,"")</f>
        <v>-1.63345660281654</v>
      </c>
      <c r="AW21" s="34" t="n">
        <f aca="false">IF(AU21&gt;0,TDIST(ABS(AV21),MIN(AT27,AT28)-1,2),"")</f>
        <v>0.119741971172003</v>
      </c>
    </row>
    <row r="22" customFormat="false" ht="15" hidden="false" customHeight="false" outlineLevel="0" collapsed="false">
      <c r="A22" s="7" t="s">
        <v>26</v>
      </c>
      <c r="F22" s="33" t="n">
        <v>0.269077008230088</v>
      </c>
      <c r="G22" s="33" t="n">
        <v>0.131633109032841</v>
      </c>
      <c r="H22" s="34" t="n">
        <f aca="false">IF(G22&gt;0,F22/G22,"")</f>
        <v>2.04414383438254</v>
      </c>
      <c r="I22" s="34" t="n">
        <f aca="false">IF(G22&gt;0,TDIST(ABS(H22),MIN(F27,F28)-1,2),"")</f>
        <v>0.0558517993157244</v>
      </c>
      <c r="J22" s="33" t="n">
        <v>-0.259780498876628</v>
      </c>
      <c r="K22" s="33" t="n">
        <v>0.848621750519825</v>
      </c>
      <c r="L22" s="34" t="n">
        <f aca="false">IF(K22&gt;0,J22/K22,"")</f>
        <v>-0.306120481495435</v>
      </c>
      <c r="M22" s="34" t="n">
        <f aca="false">IF(K22&gt;0,TDIST(ABS(L22),MIN(J27,J28)-1,2),"")</f>
        <v>0.763025335695412</v>
      </c>
      <c r="N22" s="33" t="n">
        <v>-0.186903281953439</v>
      </c>
      <c r="O22" s="33" t="n">
        <v>0.986290901623803</v>
      </c>
      <c r="P22" s="34" t="n">
        <f aca="false">IF(O22&gt;0,N22/O22,"")</f>
        <v>-0.189501172165055</v>
      </c>
      <c r="Q22" s="34" t="n">
        <f aca="false">IF(O22&gt;0,TDIST(ABS(P22),MIN(N27,N28)-1,2),"")</f>
        <v>0.85182053199935</v>
      </c>
      <c r="V22" s="33" t="n">
        <v>0.231771431463643</v>
      </c>
      <c r="W22" s="33" t="n">
        <v>0.190990349431137</v>
      </c>
      <c r="X22" s="34" t="n">
        <f aca="false">IF(W22&gt;0,V22/W22,"")</f>
        <v>1.21352430713893</v>
      </c>
      <c r="Y22" s="34" t="n">
        <f aca="false">IF(W22&gt;0,TDIST(ABS(X22),MIN(V27,V28)-1,2),"")</f>
        <v>0.24061361766958</v>
      </c>
      <c r="Z22" s="33" t="n">
        <v>-3.25422558557185</v>
      </c>
      <c r="AA22" s="33" t="n">
        <v>0.928706562635581</v>
      </c>
      <c r="AB22" s="34" t="n">
        <f aca="false">IF(AA22&gt;0,Z22/AA22,"")</f>
        <v>-3.50404069110556</v>
      </c>
      <c r="AC22" s="34" t="n">
        <f aca="false">IF(AA22&gt;0,TDIST(ABS(AB22),MIN(Z27,Z28)-1,2),"")</f>
        <v>0.00253389047269119</v>
      </c>
      <c r="AD22" s="33" t="n">
        <v>-1.87538284661066</v>
      </c>
      <c r="AE22" s="33" t="n">
        <v>0.857061139066715</v>
      </c>
      <c r="AF22" s="34" t="n">
        <f aca="false">IF(AE22&gt;0,AD22/AE22,"")</f>
        <v>-2.18815526819105</v>
      </c>
      <c r="AG22" s="34" t="n">
        <f aca="false">IF(AE22&gt;0,TDIST(ABS(AF22),MIN(AD27,AD28)-1,2),"")</f>
        <v>0.0420894837874586</v>
      </c>
      <c r="AL22" s="33" t="n">
        <v>0.00246903924119752</v>
      </c>
      <c r="AM22" s="33" t="n">
        <v>0.0424181371652779</v>
      </c>
      <c r="AN22" s="34" t="n">
        <f aca="false">IF(AM22&gt;0,AL22/AM22,"")</f>
        <v>0.0582071586872653</v>
      </c>
      <c r="AO22" s="34" t="n">
        <f aca="false">IF(AM22&gt;0,TDIST(ABS(AN22),MIN(AL27,AL28)-1,2),"")</f>
        <v>0.95422494229413</v>
      </c>
      <c r="AP22" s="33" t="n">
        <v>-0.276751766987492</v>
      </c>
      <c r="AQ22" s="33" t="n">
        <v>0.0780984881796886</v>
      </c>
      <c r="AR22" s="34" t="n">
        <f aca="false">IF(AQ22&gt;0,AP22/AQ22,"")</f>
        <v>-3.54362515124164</v>
      </c>
      <c r="AS22" s="34" t="n">
        <f aca="false">IF(AQ22&gt;0,TDIST(ABS(AR22),MIN(AP27,AP28)-1,2),"")</f>
        <v>0.00232058632969922</v>
      </c>
      <c r="AT22" s="33" t="n">
        <v>-0.255506195426355</v>
      </c>
      <c r="AU22" s="33" t="n">
        <v>0.0793685541710431</v>
      </c>
      <c r="AV22" s="34" t="n">
        <f aca="false">IF(AU22&gt;0,AT22/AU22,"")</f>
        <v>-3.21923711594552</v>
      </c>
      <c r="AW22" s="34" t="n">
        <f aca="false">IF(AU22&gt;0,TDIST(ABS(AV22),MIN(AT27,AT28)-1,2),"")</f>
        <v>0.00475692079584615</v>
      </c>
    </row>
    <row r="23" customFormat="false" ht="15" hidden="false" customHeight="false" outlineLevel="0" collapsed="false">
      <c r="A23" s="7" t="s">
        <v>27</v>
      </c>
      <c r="F23" s="33" t="n">
        <v>-0.372807516877103</v>
      </c>
      <c r="G23" s="33" t="n">
        <v>0.24291745680961</v>
      </c>
      <c r="H23" s="34" t="n">
        <f aca="false">IF(G23&gt;0,F23/G23,"")</f>
        <v>-1.5347086280806</v>
      </c>
      <c r="I23" s="34" t="n">
        <f aca="false">IF(G23&gt;0,TDIST(ABS(H23),MIN(F27,F28)-1,2),"")</f>
        <v>0.142245369616464</v>
      </c>
      <c r="J23" s="33" t="n">
        <v>-0.0675069799967529</v>
      </c>
      <c r="K23" s="33" t="n">
        <v>1.62823088209986</v>
      </c>
      <c r="L23" s="34" t="n">
        <f aca="false">IF(K23&gt;0,J23/K23,"")</f>
        <v>-0.0414603240479581</v>
      </c>
      <c r="M23" s="34" t="n">
        <f aca="false">IF(K23&gt;0,TDIST(ABS(L23),MIN(J27,J28)-1,2),"")</f>
        <v>0.967385354514503</v>
      </c>
      <c r="N23" s="33" t="n">
        <v>-0.466461783464562</v>
      </c>
      <c r="O23" s="33" t="n">
        <v>1.65177888349339</v>
      </c>
      <c r="P23" s="34" t="n">
        <f aca="false">IF(O23&gt;0,N23/O23,"")</f>
        <v>-0.28239965295962</v>
      </c>
      <c r="Q23" s="34" t="n">
        <f aca="false">IF(O23&gt;0,TDIST(ABS(P23),MIN(N27,N28)-1,2),"")</f>
        <v>0.780858645615495</v>
      </c>
      <c r="V23" s="33" t="n">
        <v>0.3854404176387</v>
      </c>
      <c r="W23" s="33" t="n">
        <v>0.463775631529262</v>
      </c>
      <c r="X23" s="34" t="n">
        <f aca="false">IF(W23&gt;0,V23/W23,"")</f>
        <v>0.831092432277527</v>
      </c>
      <c r="Y23" s="34" t="n">
        <f aca="false">IF(W23&gt;0,TDIST(ABS(X23),MIN(V27,V28)-1,2),"")</f>
        <v>0.41681011408785</v>
      </c>
      <c r="Z23" s="33" t="n">
        <v>-0.128509969888905</v>
      </c>
      <c r="AA23" s="33" t="n">
        <v>1.56673970548528</v>
      </c>
      <c r="AB23" s="34" t="n">
        <f aca="false">IF(AA23&gt;0,Z23/AA23,"")</f>
        <v>-0.082023816361442</v>
      </c>
      <c r="AC23" s="34" t="n">
        <f aca="false">IF(AA23&gt;0,TDIST(ABS(AB23),MIN(Z27,Z28)-1,2),"")</f>
        <v>0.935532990981573</v>
      </c>
      <c r="AD23" s="33" t="n">
        <v>-0.688978933731881</v>
      </c>
      <c r="AE23" s="33" t="n">
        <v>1.45928313507962</v>
      </c>
      <c r="AF23" s="34" t="n">
        <f aca="false">IF(AE23&gt;0,AD23/AE23,"")</f>
        <v>-0.472135199242393</v>
      </c>
      <c r="AG23" s="34" t="n">
        <f aca="false">IF(AE23&gt;0,TDIST(ABS(AF23),MIN(AD27,AD28)-1,2),"")</f>
        <v>0.642503594438963</v>
      </c>
      <c r="AL23" s="33" t="n">
        <v>-0.0767536935021354</v>
      </c>
      <c r="AM23" s="33" t="n">
        <v>0.0517804003406124</v>
      </c>
      <c r="AN23" s="34" t="n">
        <f aca="false">IF(AM23&gt;0,AL23/AM23,"")</f>
        <v>-1.48229239243513</v>
      </c>
      <c r="AO23" s="34" t="n">
        <f aca="false">IF(AM23&gt;0,TDIST(ABS(AN23),MIN(AL27,AL28)-1,2),"")</f>
        <v>0.155558621753505</v>
      </c>
      <c r="AP23" s="33" t="n">
        <v>-0.0698500140422402</v>
      </c>
      <c r="AQ23" s="33" t="n">
        <v>0.130471080297398</v>
      </c>
      <c r="AR23" s="34" t="n">
        <f aca="false">IF(AQ23&gt;0,AP23/AQ23,"")</f>
        <v>-0.535367790954309</v>
      </c>
      <c r="AS23" s="34" t="n">
        <f aca="false">IF(AQ23&gt;0,TDIST(ABS(AR23),MIN(AP27,AP28)-1,2),"")</f>
        <v>0.598948466684306</v>
      </c>
      <c r="AT23" s="33" t="n">
        <v>-0.118423192725048</v>
      </c>
      <c r="AU23" s="33" t="n">
        <v>0.134514794829928</v>
      </c>
      <c r="AV23" s="34" t="n">
        <f aca="false">IF(AU23&gt;0,AT23/AU23,"")</f>
        <v>-0.880372994470794</v>
      </c>
      <c r="AW23" s="34" t="n">
        <f aca="false">IF(AU23&gt;0,TDIST(ABS(AV23),MIN(AT27,AT28)-1,2),"")</f>
        <v>0.390260574074749</v>
      </c>
    </row>
    <row r="24" customFormat="false" ht="15" hidden="false" customHeight="false" outlineLevel="0" collapsed="false">
      <c r="A24" s="7" t="s">
        <v>114</v>
      </c>
      <c r="B24" s="33" t="n">
        <v>0.105026507024676</v>
      </c>
      <c r="C24" s="33" t="n">
        <v>0.232845212111942</v>
      </c>
      <c r="D24" s="34" t="n">
        <f aca="false">IF(C24&gt;0,B24/C24,"")</f>
        <v>0.451057189761685</v>
      </c>
      <c r="E24" s="34" t="n">
        <f aca="false">IF(C24&gt;0,TDIST(ABS(D24),MIN(B27,B28)-1,2),"")</f>
        <v>0.657335027852644</v>
      </c>
      <c r="F24" s="33" t="n">
        <v>-0.0235960296722092</v>
      </c>
      <c r="G24" s="33" t="n">
        <v>0.209406746000321</v>
      </c>
      <c r="H24" s="34" t="n">
        <f aca="false">IF(G24&gt;0,F24/G24,"")</f>
        <v>-0.112680370250217</v>
      </c>
      <c r="I24" s="34" t="n">
        <f aca="false">IF(G24&gt;0,TDIST(ABS(H24),MIN(F27,F28)-1,2),"")</f>
        <v>0.911531118919469</v>
      </c>
      <c r="J24" s="33" t="n">
        <v>-0.220732184049309</v>
      </c>
      <c r="K24" s="33" t="n">
        <v>0.216151992880373</v>
      </c>
      <c r="L24" s="34" t="n">
        <f aca="false">IF(K24&gt;0,J24/K24,"")</f>
        <v>-1.02118967818849</v>
      </c>
      <c r="M24" s="34" t="n">
        <f aca="false">IF(K24&gt;0,TDIST(ABS(L24),MIN(J27,J28)-1,2),"")</f>
        <v>0.320694339145249</v>
      </c>
      <c r="N24" s="33" t="n">
        <v>-0.282303553782618</v>
      </c>
      <c r="O24" s="33" t="n">
        <v>0.233335247759787</v>
      </c>
      <c r="P24" s="34" t="n">
        <f aca="false">IF(O24&gt;0,N24/O24,"")</f>
        <v>-1.20986244681405</v>
      </c>
      <c r="Q24" s="34" t="n">
        <f aca="false">IF(O24&gt;0,TDIST(ABS(P24),MIN(N27,N28)-1,2),"")</f>
        <v>0.241981682651842</v>
      </c>
      <c r="R24" s="33" t="n">
        <v>1.11003970613887</v>
      </c>
      <c r="S24" s="33" t="n">
        <v>0.630622794180844</v>
      </c>
      <c r="T24" s="34" t="n">
        <f aca="false">IF(S24&gt;0,R24/S24,"")</f>
        <v>1.76022769297576</v>
      </c>
      <c r="U24" s="34" t="n">
        <f aca="false">IF(S24&gt;0,TDIST(ABS(T24),MIN(R27,R28)-1,2),"")</f>
        <v>0.0953512083372153</v>
      </c>
      <c r="V24" s="33" t="n">
        <v>0.724046566136609</v>
      </c>
      <c r="W24" s="33" t="n">
        <v>0.454963031216213</v>
      </c>
      <c r="X24" s="34" t="n">
        <f aca="false">IF(W24&gt;0,V24/W24,"")</f>
        <v>1.59144043902002</v>
      </c>
      <c r="Y24" s="34" t="n">
        <f aca="false">IF(W24&gt;0,TDIST(ABS(X24),MIN(V27,V28)-1,2),"")</f>
        <v>0.128919557266808</v>
      </c>
      <c r="Z24" s="33" t="n">
        <v>0.690877596830809</v>
      </c>
      <c r="AA24" s="33" t="n">
        <v>0.537797424244429</v>
      </c>
      <c r="AB24" s="34" t="n">
        <f aca="false">IF(AA24&gt;0,Z24/AA24,"")</f>
        <v>1.28464281472052</v>
      </c>
      <c r="AC24" s="34" t="n">
        <f aca="false">IF(AA24&gt;0,TDIST(ABS(AB24),MIN(Z27,Z28)-1,2),"")</f>
        <v>0.215204219300812</v>
      </c>
      <c r="AD24" s="33" t="n">
        <v>0.842702657155698</v>
      </c>
      <c r="AE24" s="33" t="n">
        <v>0.512311529000246</v>
      </c>
      <c r="AF24" s="34" t="n">
        <f aca="false">IF(AE24&gt;0,AD24/AE24,"")</f>
        <v>1.64490277780825</v>
      </c>
      <c r="AG24" s="34" t="n">
        <f aca="false">IF(AE24&gt;0,TDIST(ABS(AF24),MIN(AD27,AD28)-1,2),"")</f>
        <v>0.117340066441959</v>
      </c>
      <c r="AH24" s="33" t="n">
        <v>0.00208687491540036</v>
      </c>
      <c r="AI24" s="33" t="n">
        <v>0.0420072580713002</v>
      </c>
      <c r="AJ24" s="34" t="n">
        <f aca="false">IF(AI24&gt;0,AH24/AI24,"")</f>
        <v>0.0496789129121029</v>
      </c>
      <c r="AK24" s="34" t="n">
        <f aca="false">IF(AI24&gt;0,TDIST(ABS(AJ24),MIN(AH27,AH28)-1,2),"")</f>
        <v>0.960925372575723</v>
      </c>
      <c r="AL24" s="33" t="n">
        <v>0.00680544257501681</v>
      </c>
      <c r="AM24" s="33" t="n">
        <v>0.0437236963829511</v>
      </c>
      <c r="AN24" s="34" t="n">
        <f aca="false">IF(AM24&gt;0,AL24/AM24,"")</f>
        <v>0.155646551824251</v>
      </c>
      <c r="AO24" s="34" t="n">
        <f aca="false">IF(AM24&gt;0,TDIST(ABS(AN24),MIN(AL27,AL28)-1,2),"")</f>
        <v>0.878043839960362</v>
      </c>
      <c r="AP24" s="33" t="n">
        <v>0.00776512000141731</v>
      </c>
      <c r="AQ24" s="33" t="n">
        <v>0.0403131432037019</v>
      </c>
      <c r="AR24" s="34" t="n">
        <f aca="false">IF(AQ24&gt;0,AP24/AQ24,"")</f>
        <v>0.19262005848019</v>
      </c>
      <c r="AS24" s="34" t="n">
        <f aca="false">IF(AQ24&gt;0,TDIST(ABS(AR24),MIN(AP27,AP28)-1,2),"")</f>
        <v>0.849413111405078</v>
      </c>
      <c r="AT24" s="33" t="n">
        <v>0.00867134554664069</v>
      </c>
      <c r="AU24" s="33" t="n">
        <v>0.0379095017955387</v>
      </c>
      <c r="AV24" s="34" t="n">
        <f aca="false">IF(AU24&gt;0,AT24/AU24,"")</f>
        <v>0.228738050777052</v>
      </c>
      <c r="AW24" s="34" t="n">
        <f aca="false">IF(AU24&gt;0,TDIST(ABS(AV24),MIN(AT27,AT28)-1,2),"")</f>
        <v>0.821651149356285</v>
      </c>
    </row>
    <row r="26" customFormat="false" ht="15" hidden="false" customHeight="false" outlineLevel="0" collapsed="false">
      <c r="A26" s="7" t="s">
        <v>28</v>
      </c>
      <c r="B26" s="35" t="n">
        <v>1727</v>
      </c>
      <c r="F26" s="35" t="n">
        <v>1483</v>
      </c>
      <c r="J26" s="35" t="n">
        <v>1482</v>
      </c>
      <c r="N26" s="35" t="n">
        <v>1482</v>
      </c>
      <c r="R26" s="35" t="n">
        <v>1240</v>
      </c>
      <c r="V26" s="35" t="n">
        <v>1072</v>
      </c>
      <c r="Z26" s="35" t="n">
        <v>1069</v>
      </c>
      <c r="AD26" s="35" t="n">
        <v>1069</v>
      </c>
      <c r="AH26" s="35" t="n">
        <v>1485</v>
      </c>
      <c r="AL26" s="35" t="n">
        <v>1301</v>
      </c>
      <c r="AP26" s="35" t="n">
        <v>1299</v>
      </c>
      <c r="AT26" s="35" t="n">
        <v>1299</v>
      </c>
    </row>
    <row r="27" customFormat="false" ht="15" hidden="false" customHeight="false" outlineLevel="0" collapsed="false">
      <c r="A27" s="7" t="s">
        <v>115</v>
      </c>
      <c r="B27" s="35" t="n">
        <v>19</v>
      </c>
      <c r="F27" s="35" t="n">
        <v>19</v>
      </c>
      <c r="J27" s="35" t="n">
        <v>19</v>
      </c>
      <c r="N27" s="35" t="n">
        <v>19</v>
      </c>
      <c r="R27" s="35" t="n">
        <v>19</v>
      </c>
      <c r="V27" s="35" t="n">
        <v>19</v>
      </c>
      <c r="Z27" s="35" t="n">
        <v>19</v>
      </c>
      <c r="AD27" s="35" t="n">
        <v>19</v>
      </c>
      <c r="AH27" s="35" t="n">
        <v>19</v>
      </c>
      <c r="AL27" s="35" t="n">
        <v>19</v>
      </c>
      <c r="AP27" s="35" t="n">
        <v>19</v>
      </c>
      <c r="AT27" s="35" t="n">
        <v>19</v>
      </c>
    </row>
    <row r="28" customFormat="false" ht="15" hidden="false" customHeight="false" outlineLevel="0" collapsed="false">
      <c r="A28" s="7" t="s">
        <v>116</v>
      </c>
      <c r="B28" s="35" t="n">
        <v>19</v>
      </c>
      <c r="F28" s="35" t="n">
        <v>19</v>
      </c>
      <c r="J28" s="35" t="n">
        <v>19</v>
      </c>
      <c r="N28" s="35" t="n">
        <v>19</v>
      </c>
      <c r="R28" s="35" t="n">
        <v>19</v>
      </c>
      <c r="V28" s="35" t="n">
        <v>19</v>
      </c>
      <c r="Z28" s="35" t="n">
        <v>19</v>
      </c>
      <c r="AD28" s="35" t="n">
        <v>19</v>
      </c>
      <c r="AH28" s="35" t="n">
        <v>19</v>
      </c>
      <c r="AL28" s="35" t="n">
        <v>19</v>
      </c>
      <c r="AP28" s="35" t="n">
        <v>19</v>
      </c>
      <c r="AT28" s="35" t="n">
        <v>19</v>
      </c>
    </row>
    <row r="29" customFormat="false" ht="15" hidden="false" customHeight="false" outlineLevel="0" collapsed="false">
      <c r="A29" s="7" t="s">
        <v>29</v>
      </c>
      <c r="B29" s="35" t="n">
        <v>0.048732205240218</v>
      </c>
      <c r="F29" s="35" t="n">
        <v>0.0583512387267881</v>
      </c>
      <c r="J29" s="35" t="n">
        <v>0.0805095842434804</v>
      </c>
      <c r="N29" s="35" t="n">
        <v>0.0952588261959438</v>
      </c>
      <c r="R29" s="35" t="n">
        <v>0.137788735832478</v>
      </c>
      <c r="V29" s="35" t="n">
        <v>0.12487805749188</v>
      </c>
      <c r="Z29" s="35" t="n">
        <v>0.0126046929722075</v>
      </c>
      <c r="AD29" s="35" t="n">
        <v>0.109733285172217</v>
      </c>
      <c r="AH29" s="35" t="n">
        <v>0.342677598096958</v>
      </c>
      <c r="AL29" s="35" t="n">
        <v>0.360686893191692</v>
      </c>
      <c r="AP29" s="35" t="n">
        <v>0.661655111871864</v>
      </c>
      <c r="AT29" s="35" t="n">
        <v>0.670564522582896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U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4" width="34"/>
    <col collapsed="false" customWidth="true" hidden="false" outlineLevel="0" max="73" min="2" style="14" width="9"/>
  </cols>
  <sheetData>
    <row r="1" customFormat="false" ht="15" hidden="false" customHeight="true" outlineLevel="0" collapsed="false">
      <c r="A1" s="22" t="s">
        <v>117</v>
      </c>
    </row>
    <row r="3" customFormat="false" ht="23.25" hidden="false" customHeight="true" outlineLevel="0" collapsed="false">
      <c r="A3" s="15" t="s">
        <v>65</v>
      </c>
      <c r="B3" s="32" t="s">
        <v>118</v>
      </c>
      <c r="C3" s="32" t="s">
        <v>119</v>
      </c>
      <c r="D3" s="32" t="s">
        <v>120</v>
      </c>
      <c r="E3" s="32" t="s">
        <v>121</v>
      </c>
      <c r="F3" s="32" t="s">
        <v>122</v>
      </c>
      <c r="G3" s="32" t="s">
        <v>123</v>
      </c>
      <c r="H3" s="32" t="s">
        <v>124</v>
      </c>
      <c r="I3" s="32" t="s">
        <v>125</v>
      </c>
      <c r="J3" s="32" t="s">
        <v>126</v>
      </c>
      <c r="K3" s="32" t="s">
        <v>127</v>
      </c>
      <c r="L3" s="32" t="s">
        <v>128</v>
      </c>
      <c r="M3" s="32" t="s">
        <v>129</v>
      </c>
      <c r="N3" s="32" t="s">
        <v>130</v>
      </c>
      <c r="O3" s="32" t="s">
        <v>131</v>
      </c>
      <c r="P3" s="32" t="s">
        <v>132</v>
      </c>
      <c r="Q3" s="32" t="s">
        <v>133</v>
      </c>
      <c r="R3" s="32" t="s">
        <v>134</v>
      </c>
      <c r="S3" s="32" t="s">
        <v>135</v>
      </c>
      <c r="T3" s="32" t="s">
        <v>136</v>
      </c>
      <c r="U3" s="32" t="s">
        <v>137</v>
      </c>
      <c r="V3" s="32" t="s">
        <v>138</v>
      </c>
      <c r="W3" s="32" t="s">
        <v>139</v>
      </c>
      <c r="X3" s="32" t="s">
        <v>140</v>
      </c>
      <c r="Y3" s="32" t="s">
        <v>141</v>
      </c>
      <c r="Z3" s="32" t="s">
        <v>142</v>
      </c>
      <c r="AA3" s="32" t="s">
        <v>143</v>
      </c>
      <c r="AB3" s="32" t="s">
        <v>144</v>
      </c>
      <c r="AC3" s="32" t="s">
        <v>145</v>
      </c>
      <c r="AD3" s="32" t="s">
        <v>146</v>
      </c>
      <c r="AE3" s="32" t="s">
        <v>147</v>
      </c>
      <c r="AF3" s="32" t="s">
        <v>148</v>
      </c>
      <c r="AG3" s="32" t="s">
        <v>149</v>
      </c>
      <c r="AH3" s="32" t="s">
        <v>150</v>
      </c>
      <c r="AI3" s="32" t="s">
        <v>151</v>
      </c>
      <c r="AJ3" s="32" t="s">
        <v>152</v>
      </c>
      <c r="AK3" s="32" t="s">
        <v>153</v>
      </c>
      <c r="AL3" s="32" t="s">
        <v>154</v>
      </c>
      <c r="AM3" s="32" t="s">
        <v>155</v>
      </c>
      <c r="AN3" s="32" t="s">
        <v>156</v>
      </c>
      <c r="AO3" s="32" t="s">
        <v>157</v>
      </c>
      <c r="AP3" s="32" t="s">
        <v>158</v>
      </c>
      <c r="AQ3" s="32" t="s">
        <v>159</v>
      </c>
      <c r="AR3" s="32" t="s">
        <v>160</v>
      </c>
      <c r="AS3" s="32" t="s">
        <v>161</v>
      </c>
      <c r="AT3" s="32" t="s">
        <v>162</v>
      </c>
      <c r="AU3" s="32" t="s">
        <v>163</v>
      </c>
      <c r="AV3" s="32" t="s">
        <v>164</v>
      </c>
      <c r="AW3" s="32" t="s">
        <v>165</v>
      </c>
      <c r="AX3" s="32" t="s">
        <v>166</v>
      </c>
      <c r="AY3" s="32" t="s">
        <v>167</v>
      </c>
      <c r="AZ3" s="32" t="s">
        <v>168</v>
      </c>
      <c r="BA3" s="32" t="s">
        <v>169</v>
      </c>
      <c r="BB3" s="32" t="s">
        <v>170</v>
      </c>
      <c r="BC3" s="32" t="s">
        <v>171</v>
      </c>
      <c r="BD3" s="32" t="s">
        <v>172</v>
      </c>
      <c r="BE3" s="32" t="s">
        <v>173</v>
      </c>
      <c r="BF3" s="32" t="s">
        <v>174</v>
      </c>
      <c r="BG3" s="32" t="s">
        <v>175</v>
      </c>
      <c r="BH3" s="32" t="s">
        <v>176</v>
      </c>
      <c r="BI3" s="32" t="s">
        <v>177</v>
      </c>
      <c r="BJ3" s="32" t="s">
        <v>178</v>
      </c>
      <c r="BK3" s="32" t="s">
        <v>179</v>
      </c>
      <c r="BL3" s="32" t="s">
        <v>180</v>
      </c>
      <c r="BM3" s="32" t="s">
        <v>181</v>
      </c>
      <c r="BN3" s="32" t="s">
        <v>182</v>
      </c>
      <c r="BO3" s="32" t="s">
        <v>183</v>
      </c>
      <c r="BP3" s="32" t="s">
        <v>184</v>
      </c>
      <c r="BQ3" s="32" t="s">
        <v>185</v>
      </c>
      <c r="BR3" s="32" t="s">
        <v>186</v>
      </c>
      <c r="BS3" s="32" t="s">
        <v>187</v>
      </c>
      <c r="BT3" s="32" t="s">
        <v>188</v>
      </c>
      <c r="BU3" s="32" t="s">
        <v>189</v>
      </c>
    </row>
    <row r="4" customFormat="false" ht="15" hidden="false" customHeight="true" outlineLevel="0" collapsed="false">
      <c r="A4" s="18" t="s">
        <v>43</v>
      </c>
      <c r="B4" s="36" t="n">
        <v>-0.228876533792825</v>
      </c>
      <c r="C4" s="36" t="n">
        <v>0.182493663546778</v>
      </c>
      <c r="D4" s="37" t="n">
        <f aca="false">IF(C4&gt;0,B4/C4,"")</f>
        <v>-1.2541615382397</v>
      </c>
      <c r="E4" s="37" t="n">
        <f aca="false">IF(C4&gt;0,TDIST(ABS(D4),MIN(B25,B26)-1,2),"")</f>
        <v>0.22675494089516</v>
      </c>
      <c r="F4" s="36" t="n">
        <v>-0.143974278103345</v>
      </c>
      <c r="G4" s="36" t="n">
        <v>0.212030283086408</v>
      </c>
      <c r="H4" s="37" t="n">
        <f aca="false">IF(G4&gt;0,F4/G4,"")</f>
        <v>-0.679026957883519</v>
      </c>
      <c r="I4" s="37" t="n">
        <f aca="false">IF(G4&gt;0,TDIST(ABS(H4),MIN(F25,F26)-1,2),"")</f>
        <v>0.50626104141877</v>
      </c>
      <c r="J4" s="36" t="n">
        <v>0.0442935012407187</v>
      </c>
      <c r="K4" s="36" t="n">
        <v>0.268145173822546</v>
      </c>
      <c r="L4" s="37" t="n">
        <f aca="false">IF(K4&gt;0,J4/K4,"")</f>
        <v>0.165184778861735</v>
      </c>
      <c r="M4" s="37" t="n">
        <f aca="false">IF(K4&gt;0,TDIST(ABS(L4),MIN(J25,J26)-1,2),"")</f>
        <v>0.870746922729389</v>
      </c>
      <c r="N4" s="36" t="n">
        <v>-0.0825195046056031</v>
      </c>
      <c r="O4" s="36" t="n">
        <v>0.305305240151861</v>
      </c>
      <c r="P4" s="37" t="n">
        <f aca="false">IF(O4&gt;0,N4/O4,"")</f>
        <v>-0.270285254732468</v>
      </c>
      <c r="Q4" s="37" t="n">
        <f aca="false">IF(O4&gt;0,TDIST(ABS(P4),MIN(N25,N26)-1,2),"")</f>
        <v>0.790194718836961</v>
      </c>
      <c r="R4" s="36" t="n">
        <v>-0.969469676843483</v>
      </c>
      <c r="S4" s="36" t="n">
        <v>0.501657420730607</v>
      </c>
      <c r="T4" s="37" t="n">
        <f aca="false">IF(S4&gt;0,R4/S4,"")</f>
        <v>-1.93253331213871</v>
      </c>
      <c r="U4" s="37" t="n">
        <f aca="false">IF(S4&gt;0,TDIST(ABS(T4),MIN(R25,R26)-1,2),"")</f>
        <v>0.0701310374414492</v>
      </c>
      <c r="V4" s="36" t="n">
        <v>-0.308557125499811</v>
      </c>
      <c r="W4" s="36" t="n">
        <v>0.937343353250155</v>
      </c>
      <c r="X4" s="37" t="n">
        <f aca="false">IF(W4&gt;0,V4/W4,"")</f>
        <v>-0.329182603610424</v>
      </c>
      <c r="Y4" s="37" t="n">
        <f aca="false">IF(W4&gt;0,TDIST(ABS(X4),MIN(V25,V26)-1,2),"")</f>
        <v>0.746038502101681</v>
      </c>
      <c r="Z4" s="36" t="n">
        <v>-1.16623864163502</v>
      </c>
      <c r="AA4" s="36" t="n">
        <v>0.552759032915941</v>
      </c>
      <c r="AB4" s="37" t="n">
        <f aca="false">IF(AA4&gt;0,Z4/AA4,"")</f>
        <v>-2.10984999283109</v>
      </c>
      <c r="AC4" s="37" t="n">
        <f aca="false">IF(AA4&gt;0,TDIST(ABS(AB4),MIN(Z25,Z26)-1,2),"")</f>
        <v>0.0499966638517794</v>
      </c>
      <c r="AD4" s="36" t="n">
        <v>-1.03018246723759</v>
      </c>
      <c r="AE4" s="36" t="n">
        <v>0.504109818148072</v>
      </c>
      <c r="AF4" s="37" t="n">
        <f aca="false">IF(AE4&gt;0,AD4/AE4,"")</f>
        <v>-2.04356755244746</v>
      </c>
      <c r="AG4" s="37" t="n">
        <f aca="false">IF(AE4&gt;0,TDIST(ABS(AF4),MIN(AD25,AD26)-1,2),"")</f>
        <v>0.0568114239843889</v>
      </c>
      <c r="AH4" s="36" t="n">
        <v>-1.97818103223586</v>
      </c>
      <c r="AI4" s="36" t="n">
        <v>0.940891563091033</v>
      </c>
      <c r="AJ4" s="37" t="n">
        <f aca="false">IF(AI4&gt;0,AH4/AI4,"")</f>
        <v>-2.10245378940067</v>
      </c>
      <c r="AK4" s="37" t="n">
        <f aca="false">IF(AI4&gt;0,TDIST(ABS(AJ4),MIN(AH25,AH26)-1,2),"")</f>
        <v>0.0507183322844263</v>
      </c>
      <c r="AL4" s="36" t="n">
        <v>-1.96582526329639</v>
      </c>
      <c r="AM4" s="36" t="n">
        <v>0.868324587568233</v>
      </c>
      <c r="AN4" s="37" t="n">
        <f aca="false">IF(AM4&gt;0,AL4/AM4,"")</f>
        <v>-2.26392905537978</v>
      </c>
      <c r="AO4" s="37" t="n">
        <f aca="false">IF(AM4&gt;0,TDIST(ABS(AN4),MIN(AL25,AL26)-1,2),"")</f>
        <v>0.0369476967292197</v>
      </c>
      <c r="AP4" s="36" t="n">
        <v>-2.08706566315104</v>
      </c>
      <c r="AQ4" s="36" t="n">
        <v>1.14466868381113</v>
      </c>
      <c r="AR4" s="37" t="n">
        <f aca="false">IF(AQ4&gt;0,AP4/AQ4,"")</f>
        <v>-1.82329235757742</v>
      </c>
      <c r="AS4" s="37" t="n">
        <f aca="false">IF(AQ4&gt;0,TDIST(ABS(AR4),MIN(AP25,AP26)-1,2),"")</f>
        <v>0.0858925853320391</v>
      </c>
      <c r="AT4" s="36" t="n">
        <v>-4.21120061124028</v>
      </c>
      <c r="AU4" s="36" t="n">
        <v>3.04415103014839</v>
      </c>
      <c r="AV4" s="37" t="n">
        <f aca="false">IF(AU4&gt;0,AT4/AU4,"")</f>
        <v>-1.38337440210219</v>
      </c>
      <c r="AW4" s="37" t="n">
        <f aca="false">IF(AU4&gt;0,TDIST(ABS(AV4),MIN(AT25,AT26)-1,2),"")</f>
        <v>0.1844488975624</v>
      </c>
      <c r="AX4" s="36" t="n">
        <v>-0.0586294131710979</v>
      </c>
      <c r="AY4" s="36" t="n">
        <v>0.0345019702041036</v>
      </c>
      <c r="AZ4" s="37" t="n">
        <f aca="false">IF(AY4&gt;0,AX4/AY4,"")</f>
        <v>-1.69930623741958</v>
      </c>
      <c r="BA4" s="37" t="n">
        <f aca="false">IF(AY4&gt;0,TDIST(ABS(AZ4),MIN(AX25,AX26)-1,2),"")</f>
        <v>0.107485043005761</v>
      </c>
      <c r="BB4" s="36" t="n">
        <v>-0.0766189827571837</v>
      </c>
      <c r="BC4" s="36" t="n">
        <v>0.0557773930768415</v>
      </c>
      <c r="BD4" s="37" t="n">
        <f aca="false">IF(BC4&gt;0,BB4/BC4,"")</f>
        <v>-1.37365657537329</v>
      </c>
      <c r="BE4" s="37" t="n">
        <f aca="false">IF(BC4&gt;0,TDIST(ABS(BD4),MIN(BB25,BB26)-1,2),"")</f>
        <v>0.18739297230484</v>
      </c>
      <c r="BF4" s="36" t="n">
        <v>-0.0180515211318006</v>
      </c>
      <c r="BG4" s="36" t="n">
        <v>0.0458074047953463</v>
      </c>
      <c r="BH4" s="37" t="n">
        <f aca="false">IF(BG4&gt;0,BF4/BG4,"")</f>
        <v>-0.39407430332387</v>
      </c>
      <c r="BI4" s="37" t="n">
        <f aca="false">IF(BG4&gt;0,TDIST(ABS(BH4),MIN(BF25,BF26)-1,2),"")</f>
        <v>0.698425504883682</v>
      </c>
      <c r="BJ4" s="36" t="n">
        <v>-0.0533526216457331</v>
      </c>
      <c r="BK4" s="36" t="n">
        <v>0.0414725732030889</v>
      </c>
      <c r="BL4" s="37" t="n">
        <f aca="false">IF(BK4&gt;0,BJ4/BK4,"")</f>
        <v>-1.2864555421837</v>
      </c>
      <c r="BM4" s="37" t="n">
        <f aca="false">IF(BK4&gt;0,TDIST(ABS(BL4),MIN(BJ25,BJ26)-1,2),"")</f>
        <v>0.215528511791968</v>
      </c>
      <c r="BN4" s="36" t="n">
        <v>-0.0595466759092928</v>
      </c>
      <c r="BO4" s="36" t="n">
        <v>0.054436314899569</v>
      </c>
      <c r="BP4" s="37" t="n">
        <f aca="false">IF(BO4&gt;0,BN4/BO4,"")</f>
        <v>-1.0938777913081</v>
      </c>
      <c r="BQ4" s="37" t="n">
        <f aca="false">IF(BO4&gt;0,TDIST(ABS(BP4),MIN(BN25,BN26)-1,2),"")</f>
        <v>0.289266600890371</v>
      </c>
      <c r="BR4" s="36" t="n">
        <v>-0.0267649863519499</v>
      </c>
      <c r="BS4" s="36" t="n">
        <v>0.0638485450699842</v>
      </c>
      <c r="BT4" s="37" t="n">
        <f aca="false">IF(BS4&gt;0,BR4/BS4,"")</f>
        <v>-0.419194929541666</v>
      </c>
      <c r="BU4" s="37" t="n">
        <f aca="false">IF(BS4&gt;0,TDIST(ABS(BT4),MIN(BR25,BR26)-1,2),"")</f>
        <v>0.680322787341227</v>
      </c>
    </row>
    <row r="5" customFormat="false" ht="15" hidden="false" customHeight="true" outlineLevel="0" collapsed="false">
      <c r="A5" s="18" t="s">
        <v>10</v>
      </c>
      <c r="B5" s="36" t="n">
        <v>0.061228727928144</v>
      </c>
      <c r="C5" s="36" t="n">
        <v>0.0696901569228191</v>
      </c>
      <c r="D5" s="37" t="n">
        <f aca="false">IF(C5&gt;0,B5/C5,"")</f>
        <v>0.878585020205278</v>
      </c>
      <c r="E5" s="37" t="n">
        <f aca="false">IF(C5&gt;0,TDIST(ABS(D5),MIN(B25,B26)-1,2),"")</f>
        <v>0.391875493069914</v>
      </c>
      <c r="F5" s="36" t="n">
        <v>0.0318260209600784</v>
      </c>
      <c r="G5" s="36" t="n">
        <v>0.0552525845271621</v>
      </c>
      <c r="H5" s="37" t="n">
        <f aca="false">IF(G5&gt;0,F5/G5,"")</f>
        <v>0.57600963343955</v>
      </c>
      <c r="I5" s="37" t="n">
        <f aca="false">IF(G5&gt;0,TDIST(ABS(H5),MIN(F25,F26)-1,2),"")</f>
        <v>0.572156164171918</v>
      </c>
      <c r="J5" s="36" t="n">
        <v>-0.00251192607785526</v>
      </c>
      <c r="K5" s="36" t="n">
        <v>0.0164019667302554</v>
      </c>
      <c r="L5" s="37" t="n">
        <f aca="false">IF(K5&gt;0,J5/K5,"")</f>
        <v>-0.153147858373698</v>
      </c>
      <c r="M5" s="37" t="n">
        <f aca="false">IF(K5&gt;0,TDIST(ABS(L5),MIN(J25,J26)-1,2),"")</f>
        <v>0.8800848243593</v>
      </c>
      <c r="N5" s="36" t="n">
        <v>0.015491242847928</v>
      </c>
      <c r="O5" s="36" t="n">
        <v>0.0376371579469152</v>
      </c>
      <c r="P5" s="37" t="n">
        <f aca="false">IF(O5&gt;0,N5/O5,"")</f>
        <v>0.411594384192808</v>
      </c>
      <c r="Q5" s="37" t="n">
        <f aca="false">IF(O5&gt;0,TDIST(ABS(P5),MIN(N25,N26)-1,2),"")</f>
        <v>0.685779454855826</v>
      </c>
      <c r="R5" s="36" t="n">
        <v>-0.00181917221538409</v>
      </c>
      <c r="S5" s="36" t="n">
        <v>0.0342252184533117</v>
      </c>
      <c r="T5" s="37" t="n">
        <f aca="false">IF(S5&gt;0,R5/S5,"")</f>
        <v>-0.0531529760099475</v>
      </c>
      <c r="U5" s="37" t="n">
        <f aca="false">IF(S5&gt;0,TDIST(ABS(T5),MIN(R25,R26)-1,2),"")</f>
        <v>0.958229645742021</v>
      </c>
      <c r="V5" s="36" t="n">
        <v>0.0296501051407562</v>
      </c>
      <c r="W5" s="36" t="n">
        <v>0.0492383765523591</v>
      </c>
      <c r="X5" s="37" t="n">
        <f aca="false">IF(W5&gt;0,V5/W5,"")</f>
        <v>0.602174710395394</v>
      </c>
      <c r="Y5" s="37" t="n">
        <f aca="false">IF(W5&gt;0,TDIST(ABS(X5),MIN(V25,V26)-1,2),"")</f>
        <v>0.555005317265614</v>
      </c>
      <c r="Z5" s="36" t="n">
        <v>0.13548023874103</v>
      </c>
      <c r="AA5" s="36" t="n">
        <v>0.146172922827912</v>
      </c>
      <c r="AB5" s="37" t="n">
        <f aca="false">IF(AA5&gt;0,Z5/AA5,"")</f>
        <v>0.926849077927583</v>
      </c>
      <c r="AC5" s="37" t="n">
        <f aca="false">IF(AA5&gt;0,TDIST(ABS(AB5),MIN(Z25,Z26)-1,2),"")</f>
        <v>0.366977320985291</v>
      </c>
      <c r="AD5" s="36" t="n">
        <v>0.101955317288827</v>
      </c>
      <c r="AE5" s="36" t="n">
        <v>0.118393193122039</v>
      </c>
      <c r="AF5" s="37" t="n">
        <f aca="false">IF(AE5&gt;0,AD5/AE5,"")</f>
        <v>0.861158607182189</v>
      </c>
      <c r="AG5" s="37" t="n">
        <f aca="false">IF(AE5&gt;0,TDIST(ABS(AF5),MIN(AD25,AD26)-1,2),"")</f>
        <v>0.401134177273628</v>
      </c>
      <c r="AH5" s="36" t="n">
        <v>-0.0140605363541593</v>
      </c>
      <c r="AI5" s="36" t="n">
        <v>0.0346195339886774</v>
      </c>
      <c r="AJ5" s="37" t="n">
        <f aca="false">IF(AI5&gt;0,AH5/AI5,"")</f>
        <v>-0.406144587583354</v>
      </c>
      <c r="AK5" s="37" t="n">
        <f aca="false">IF(AI5&gt;0,TDIST(ABS(AJ5),MIN(AH25,AH26)-1,2),"")</f>
        <v>0.689703082986149</v>
      </c>
      <c r="AL5" s="36" t="n">
        <v>0.0319985742375435</v>
      </c>
      <c r="AM5" s="36" t="n">
        <v>0.104203432061713</v>
      </c>
      <c r="AN5" s="37" t="n">
        <f aca="false">IF(AM5&gt;0,AL5/AM5,"")</f>
        <v>0.307077930202844</v>
      </c>
      <c r="AO5" s="37" t="n">
        <f aca="false">IF(AM5&gt;0,TDIST(ABS(AN5),MIN(AL25,AL26)-1,2),"")</f>
        <v>0.762513766446519</v>
      </c>
      <c r="AP5" s="36" t="n">
        <v>0.0140343690369614</v>
      </c>
      <c r="AQ5" s="36" t="n">
        <v>0.110145379210564</v>
      </c>
      <c r="AR5" s="37" t="n">
        <f aca="false">IF(AQ5&gt;0,AP5/AQ5,"")</f>
        <v>0.127416775334097</v>
      </c>
      <c r="AS5" s="37" t="n">
        <f aca="false">IF(AQ5&gt;0,TDIST(ABS(AR5),MIN(AP25,AP26)-1,2),"")</f>
        <v>0.900105591490532</v>
      </c>
      <c r="AT5" s="36" t="n">
        <v>0.75949907549527</v>
      </c>
      <c r="AU5" s="36" t="n">
        <v>0.375407207740616</v>
      </c>
      <c r="AV5" s="37" t="n">
        <f aca="false">IF(AU5&gt;0,AT5/AU5,"")</f>
        <v>2.02313397248366</v>
      </c>
      <c r="AW5" s="37" t="n">
        <f aca="false">IF(AU5&gt;0,TDIST(ABS(AV5),MIN(AT25,AT26)-1,2),"")</f>
        <v>0.059076224254304</v>
      </c>
      <c r="AX5" s="36" t="n">
        <v>0.000210635209850443</v>
      </c>
      <c r="AY5" s="36" t="n">
        <v>0.00174465587151984</v>
      </c>
      <c r="AZ5" s="37" t="n">
        <f aca="false">IF(AY5&gt;0,AX5/AY5,"")</f>
        <v>0.120731665934182</v>
      </c>
      <c r="BA5" s="37" t="n">
        <f aca="false">IF(AY5&gt;0,TDIST(ABS(AZ5),MIN(AX25,AX26)-1,2),"")</f>
        <v>0.905319060949649</v>
      </c>
      <c r="BB5" s="36" t="n">
        <v>0.000751887839298294</v>
      </c>
      <c r="BC5" s="36" t="n">
        <v>0.00157598786665829</v>
      </c>
      <c r="BD5" s="37" t="n">
        <f aca="false">IF(BC5&gt;0,BB5/BC5,"")</f>
        <v>0.477089865477575</v>
      </c>
      <c r="BE5" s="37" t="n">
        <f aca="false">IF(BC5&gt;0,TDIST(ABS(BD5),MIN(BB25,BB26)-1,2),"")</f>
        <v>0.639373695924212</v>
      </c>
      <c r="BF5" s="36" t="n">
        <v>-0.00155132469131662</v>
      </c>
      <c r="BG5" s="36" t="n">
        <v>0.00213028698209517</v>
      </c>
      <c r="BH5" s="37" t="n">
        <f aca="false">IF(BG5&gt;0,BF5/BG5,"")</f>
        <v>-0.728223335332439</v>
      </c>
      <c r="BI5" s="37" t="n">
        <f aca="false">IF(BG5&gt;0,TDIST(ABS(BH5),MIN(BF25,BF26)-1,2),"")</f>
        <v>0.476388948907798</v>
      </c>
      <c r="BJ5" s="36" t="n">
        <v>-0.000393482552739148</v>
      </c>
      <c r="BK5" s="36" t="n">
        <v>0.00189491813893297</v>
      </c>
      <c r="BL5" s="37" t="n">
        <f aca="false">IF(BK5&gt;0,BJ5/BK5,"")</f>
        <v>-0.207651478264237</v>
      </c>
      <c r="BM5" s="37" t="n">
        <f aca="false">IF(BK5&gt;0,TDIST(ABS(BL5),MIN(BJ25,BJ26)-1,2),"")</f>
        <v>0.837968315338217</v>
      </c>
      <c r="BN5" s="36" t="n">
        <v>-0.00116356130727552</v>
      </c>
      <c r="BO5" s="36" t="n">
        <v>0.00172422423755283</v>
      </c>
      <c r="BP5" s="37" t="n">
        <f aca="false">IF(BO5&gt;0,BN5/BO5,"")</f>
        <v>-0.674831777638707</v>
      </c>
      <c r="BQ5" s="37" t="n">
        <f aca="false">IF(BO5&gt;0,TDIST(ABS(BP5),MIN(BN25,BN26)-1,2),"")</f>
        <v>0.508857283330666</v>
      </c>
      <c r="BR5" s="36" t="n">
        <v>0.000177377711122692</v>
      </c>
      <c r="BS5" s="36" t="n">
        <v>0.000982752079437065</v>
      </c>
      <c r="BT5" s="37" t="n">
        <f aca="false">IF(BS5&gt;0,BR5/BS5,"")</f>
        <v>0.180490802140349</v>
      </c>
      <c r="BU5" s="37" t="n">
        <f aca="false">IF(BS5&gt;0,TDIST(ABS(BT5),MIN(BR25,BR26)-1,2),"")</f>
        <v>0.858901441094262</v>
      </c>
    </row>
    <row r="6" customFormat="false" ht="15" hidden="false" customHeight="true" outlineLevel="0" collapsed="false">
      <c r="A6" s="18" t="s">
        <v>11</v>
      </c>
      <c r="B6" s="36" t="n">
        <v>-0.0461891665029063</v>
      </c>
      <c r="C6" s="36" t="n">
        <v>0.109277141842555</v>
      </c>
      <c r="D6" s="37" t="n">
        <f aca="false">IF(C6&gt;0,B6/C6,"")</f>
        <v>-0.422679123228305</v>
      </c>
      <c r="E6" s="37" t="n">
        <f aca="false">IF(C6&gt;0,TDIST(ABS(D6),MIN(B25,B26)-1,2),"")</f>
        <v>0.677827441014933</v>
      </c>
      <c r="F6" s="36" t="n">
        <v>-0.0848352847406193</v>
      </c>
      <c r="G6" s="36" t="n">
        <v>0.109595839837423</v>
      </c>
      <c r="H6" s="37" t="n">
        <f aca="false">IF(G6&gt;0,F6/G6,"")</f>
        <v>-0.77407395085859</v>
      </c>
      <c r="I6" s="37" t="n">
        <f aca="false">IF(G6&gt;0,TDIST(ABS(H6),MIN(F25,F26)-1,2),"")</f>
        <v>0.449518940530598</v>
      </c>
      <c r="J6" s="36" t="n">
        <v>-0.405490781903644</v>
      </c>
      <c r="K6" s="36" t="n">
        <v>0.950464522520999</v>
      </c>
      <c r="L6" s="37" t="n">
        <f aca="false">IF(K6&gt;0,J6/K6,"")</f>
        <v>-0.426623795308136</v>
      </c>
      <c r="M6" s="37" t="n">
        <f aca="false">IF(K6&gt;0,TDIST(ABS(L6),MIN(J25,J26)-1,2),"")</f>
        <v>0.675006949764187</v>
      </c>
      <c r="N6" s="36" t="n">
        <v>0.129787782419854</v>
      </c>
      <c r="O6" s="36" t="n">
        <v>1.05136572248804</v>
      </c>
      <c r="P6" s="37" t="n">
        <f aca="false">IF(O6&gt;0,N6/O6,"")</f>
        <v>0.123446845986869</v>
      </c>
      <c r="Q6" s="37" t="n">
        <f aca="false">IF(O6&gt;0,TDIST(ABS(P6),MIN(N25,N26)-1,2),"")</f>
        <v>0.903201041734177</v>
      </c>
      <c r="R6" s="36" t="n">
        <v>1.40893422104604</v>
      </c>
      <c r="S6" s="36" t="n">
        <v>2.18736838162303</v>
      </c>
      <c r="T6" s="37" t="n">
        <f aca="false">IF(S6&gt;0,R6/S6,"")</f>
        <v>0.644122971184492</v>
      </c>
      <c r="U6" s="37" t="n">
        <f aca="false">IF(S6&gt;0,TDIST(ABS(T6),MIN(R25,R26)-1,2),"")</f>
        <v>0.528091476222881</v>
      </c>
      <c r="V6" s="36" t="n">
        <v>1.20119953270289</v>
      </c>
      <c r="W6" s="36" t="n">
        <v>2.30826947242334</v>
      </c>
      <c r="X6" s="37" t="n">
        <f aca="false">IF(W6&gt;0,V6/W6,"")</f>
        <v>0.520389645599657</v>
      </c>
      <c r="Y6" s="37" t="n">
        <f aca="false">IF(W6&gt;0,TDIST(ABS(X6),MIN(V25,V26)-1,2),"")</f>
        <v>0.609503288302262</v>
      </c>
      <c r="Z6" s="36" t="n">
        <v>0.0769653933231039</v>
      </c>
      <c r="AA6" s="36" t="n">
        <v>0.155961893192777</v>
      </c>
      <c r="AB6" s="37" t="n">
        <f aca="false">IF(AA6&gt;0,Z6/AA6,"")</f>
        <v>0.493488452515581</v>
      </c>
      <c r="AC6" s="37" t="n">
        <f aca="false">IF(AA6&gt;0,TDIST(ABS(AB6),MIN(Z25,Z26)-1,2),"")</f>
        <v>0.627982119425538</v>
      </c>
      <c r="AD6" s="36" t="n">
        <v>-0.0187617761768456</v>
      </c>
      <c r="AE6" s="36" t="n">
        <v>0.243938454453929</v>
      </c>
      <c r="AF6" s="37" t="n">
        <f aca="false">IF(AE6&gt;0,AD6/AE6,"")</f>
        <v>-0.076911925259365</v>
      </c>
      <c r="AG6" s="37" t="n">
        <f aca="false">IF(AE6&gt;0,TDIST(ABS(AF6),MIN(AD25,AD26)-1,2),"")</f>
        <v>0.939591562243499</v>
      </c>
      <c r="AH6" s="36" t="n">
        <v>0.605601600971052</v>
      </c>
      <c r="AI6" s="36" t="n">
        <v>1.35843989137819</v>
      </c>
      <c r="AJ6" s="37" t="n">
        <f aca="false">IF(AI6&gt;0,AH6/AI6,"")</f>
        <v>0.445806696943098</v>
      </c>
      <c r="AK6" s="37" t="n">
        <f aca="false">IF(AI6&gt;0,TDIST(ABS(AJ6),MIN(AH25,AH26)-1,2),"")</f>
        <v>0.661362412778671</v>
      </c>
      <c r="AL6" s="36" t="n">
        <v>-1.9636516765841</v>
      </c>
      <c r="AM6" s="36" t="n">
        <v>1.39784663611993</v>
      </c>
      <c r="AN6" s="37" t="n">
        <f aca="false">IF(AM6&gt;0,AL6/AM6,"")</f>
        <v>-1.4047690396385</v>
      </c>
      <c r="AO6" s="37" t="n">
        <f aca="false">IF(AM6&gt;0,TDIST(ABS(AN6),MIN(AL25,AL26)-1,2),"")</f>
        <v>0.178098780057074</v>
      </c>
      <c r="AP6" s="36" t="n">
        <v>-6.95147750157896</v>
      </c>
      <c r="AQ6" s="36" t="n">
        <v>7.19952295725103</v>
      </c>
      <c r="AR6" s="37" t="n">
        <f aca="false">IF(AQ6&gt;0,AP6/AQ6,"")</f>
        <v>-0.965546959549278</v>
      </c>
      <c r="AS6" s="37" t="n">
        <f aca="false">IF(AQ6&gt;0,TDIST(ABS(AR6),MIN(AP25,AP26)-1,2),"")</f>
        <v>0.347806720004796</v>
      </c>
      <c r="AT6" s="36" t="n">
        <v>-7.36282719024491</v>
      </c>
      <c r="AU6" s="36" t="n">
        <v>11.359253298463</v>
      </c>
      <c r="AV6" s="37" t="n">
        <f aca="false">IF(AU6&gt;0,AT6/AU6,"")</f>
        <v>-0.648178801615522</v>
      </c>
      <c r="AW6" s="37" t="n">
        <f aca="false">IF(AU6&gt;0,TDIST(ABS(AV6),MIN(AT25,AT26)-1,2),"")</f>
        <v>0.525528160310585</v>
      </c>
      <c r="AX6" s="36" t="n">
        <v>-0.0383161555153124</v>
      </c>
      <c r="AY6" s="36" t="n">
        <v>0.0193297990771028</v>
      </c>
      <c r="AZ6" s="37" t="n">
        <f aca="false">IF(AY6&gt;0,AX6/AY6,"")</f>
        <v>-1.98223247755844</v>
      </c>
      <c r="BA6" s="37" t="n">
        <f aca="false">IF(AY6&gt;0,TDIST(ABS(AZ6),MIN(AX25,AX26)-1,2),"")</f>
        <v>0.0638563292452613</v>
      </c>
      <c r="BB6" s="36" t="n">
        <v>-0.0459700687614089</v>
      </c>
      <c r="BC6" s="36" t="n">
        <v>0.0203514975427198</v>
      </c>
      <c r="BD6" s="37" t="n">
        <f aca="false">IF(BC6&gt;0,BB6/BC6,"")</f>
        <v>-2.25880521396095</v>
      </c>
      <c r="BE6" s="37" t="n">
        <f aca="false">IF(BC6&gt;0,TDIST(ABS(BD6),MIN(BB25,BB26)-1,2),"")</f>
        <v>0.0373254666065819</v>
      </c>
      <c r="BF6" s="36" t="n">
        <v>-0.0426768280466997</v>
      </c>
      <c r="BG6" s="36" t="n">
        <v>0.107711667748317</v>
      </c>
      <c r="BH6" s="37" t="n">
        <f aca="false">IF(BG6&gt;0,BF6/BG6,"")</f>
        <v>-0.396213603770577</v>
      </c>
      <c r="BI6" s="37" t="n">
        <f aca="false">IF(BG6&gt;0,TDIST(ABS(BH6),MIN(BF25,BF26)-1,2),"")</f>
        <v>0.696876356204164</v>
      </c>
      <c r="BJ6" s="36" t="n">
        <v>-0.284005556719616</v>
      </c>
      <c r="BK6" s="36" t="n">
        <v>0.134340677443776</v>
      </c>
      <c r="BL6" s="37" t="n">
        <f aca="false">IF(BK6&gt;0,BJ6/BK6,"")</f>
        <v>-2.1140697078774</v>
      </c>
      <c r="BM6" s="37" t="n">
        <f aca="false">IF(BK6&gt;0,TDIST(ABS(BL6),MIN(BJ25,BJ26)-1,2),"")</f>
        <v>0.0495891469139476</v>
      </c>
      <c r="BN6" s="36" t="n">
        <v>-0.16856967263422</v>
      </c>
      <c r="BO6" s="36" t="n">
        <v>0.196819293380351</v>
      </c>
      <c r="BP6" s="37" t="n">
        <f aca="false">IF(BO6&gt;0,BN6/BO6,"")</f>
        <v>-0.85646925023992</v>
      </c>
      <c r="BQ6" s="37" t="n">
        <f aca="false">IF(BO6&gt;0,TDIST(ABS(BP6),MIN(BN25,BN26)-1,2),"")</f>
        <v>0.403649915004977</v>
      </c>
      <c r="BR6" s="36" t="n">
        <v>-0.0771416035780699</v>
      </c>
      <c r="BS6" s="36" t="n">
        <v>0.19400793346623</v>
      </c>
      <c r="BT6" s="37" t="n">
        <f aca="false">IF(BS6&gt;0,BR6/BS6,"")</f>
        <v>-0.397620871475844</v>
      </c>
      <c r="BU6" s="37" t="n">
        <f aca="false">IF(BS6&gt;0,TDIST(ABS(BT6),MIN(BR25,BR26)-1,2),"")</f>
        <v>0.695858050683375</v>
      </c>
    </row>
    <row r="7" customFormat="false" ht="15" hidden="false" customHeight="true" outlineLevel="0" collapsed="false">
      <c r="A7" s="18" t="s">
        <v>12</v>
      </c>
      <c r="B7" s="36" t="n">
        <v>-0.018621379661747</v>
      </c>
      <c r="C7" s="36" t="n">
        <v>0.00970267983564468</v>
      </c>
      <c r="D7" s="37" t="n">
        <f aca="false">IF(C7&gt;0,B7/C7,"")</f>
        <v>-1.91919964145758</v>
      </c>
      <c r="E7" s="37" t="n">
        <f aca="false">IF(C7&gt;0,TDIST(ABS(D7),MIN(B25,B26)-1,2),"")</f>
        <v>0.0719057554709928</v>
      </c>
      <c r="F7" s="36" t="n">
        <v>-0.013996776347004</v>
      </c>
      <c r="G7" s="36" t="n">
        <v>0.0088025929745664</v>
      </c>
      <c r="H7" s="37" t="n">
        <f aca="false">IF(G7&gt;0,F7/G7,"")</f>
        <v>-1.59007424147013</v>
      </c>
      <c r="I7" s="37" t="n">
        <f aca="false">IF(G7&gt;0,TDIST(ABS(H7),MIN(F25,F26)-1,2),"")</f>
        <v>0.130241363379005</v>
      </c>
      <c r="J7" s="36" t="n">
        <v>-0.0160503884576385</v>
      </c>
      <c r="K7" s="36" t="n">
        <v>0.033084987636075</v>
      </c>
      <c r="L7" s="37" t="n">
        <f aca="false">IF(K7&gt;0,J7/K7,"")</f>
        <v>-0.485126022538923</v>
      </c>
      <c r="M7" s="37" t="n">
        <f aca="false">IF(K7&gt;0,TDIST(ABS(L7),MIN(J25,J26)-1,2),"")</f>
        <v>0.633779404650782</v>
      </c>
      <c r="N7" s="36" t="n">
        <v>-0.0346303742997375</v>
      </c>
      <c r="O7" s="36" t="n">
        <v>0.039111669685502</v>
      </c>
      <c r="P7" s="37" t="n">
        <f aca="false">IF(O7&gt;0,N7/O7,"")</f>
        <v>-0.885423061152881</v>
      </c>
      <c r="Q7" s="37" t="n">
        <f aca="false">IF(O7&gt;0,TDIST(ABS(P7),MIN(N25,N26)-1,2),"")</f>
        <v>0.388281328539283</v>
      </c>
      <c r="R7" s="36" t="n">
        <v>-0.0930984253317562</v>
      </c>
      <c r="S7" s="36" t="n">
        <v>0.0378609956720525</v>
      </c>
      <c r="T7" s="37" t="n">
        <f aca="false">IF(S7&gt;0,R7/S7,"")</f>
        <v>-2.45895343424573</v>
      </c>
      <c r="U7" s="37" t="n">
        <f aca="false">IF(S7&gt;0,TDIST(ABS(T7),MIN(R25,R26)-1,2),"")</f>
        <v>0.0249540709701155</v>
      </c>
      <c r="V7" s="36" t="n">
        <v>-0.0926418095438933</v>
      </c>
      <c r="W7" s="36" t="n">
        <v>0.0462804331733899</v>
      </c>
      <c r="X7" s="37" t="n">
        <f aca="false">IF(W7&gt;0,V7/W7,"")</f>
        <v>-2.00174897233157</v>
      </c>
      <c r="Y7" s="37" t="n">
        <f aca="false">IF(W7&gt;0,TDIST(ABS(X7),MIN(V25,V26)-1,2),"")</f>
        <v>0.0615336057040864</v>
      </c>
      <c r="Z7" s="36" t="n">
        <v>-0.0118003695232902</v>
      </c>
      <c r="AA7" s="36" t="n">
        <v>0.0143178960339179</v>
      </c>
      <c r="AB7" s="37" t="n">
        <f aca="false">IF(AA7&gt;0,Z7/AA7,"")</f>
        <v>-0.824169242138378</v>
      </c>
      <c r="AC7" s="37" t="n">
        <f aca="false">IF(AA7&gt;0,TDIST(ABS(AB7),MIN(Z25,Z26)-1,2),"")</f>
        <v>0.421256771628661</v>
      </c>
      <c r="AD7" s="36" t="n">
        <v>-0.00497796611324467</v>
      </c>
      <c r="AE7" s="36" t="n">
        <v>0.0155312088065239</v>
      </c>
      <c r="AF7" s="37" t="n">
        <f aca="false">IF(AE7&gt;0,AD7/AE7,"")</f>
        <v>-0.320513758797298</v>
      </c>
      <c r="AG7" s="37" t="n">
        <f aca="false">IF(AE7&gt;0,TDIST(ABS(AF7),MIN(AD25,AD26)-1,2),"")</f>
        <v>0.752485081468524</v>
      </c>
      <c r="AH7" s="36" t="n">
        <v>-0.104619197747259</v>
      </c>
      <c r="AI7" s="36" t="n">
        <v>0.0575894183964379</v>
      </c>
      <c r="AJ7" s="37" t="n">
        <f aca="false">IF(AI7&gt;0,AH7/AI7,"")</f>
        <v>-1.81663924832639</v>
      </c>
      <c r="AK7" s="37" t="n">
        <f aca="false">IF(AI7&gt;0,TDIST(ABS(AJ7),MIN(AH25,AH26)-1,2),"")</f>
        <v>0.0869464780141492</v>
      </c>
      <c r="AL7" s="36" t="n">
        <v>-0.0494386763784876</v>
      </c>
      <c r="AM7" s="36" t="n">
        <v>0.0398316299646049</v>
      </c>
      <c r="AN7" s="37" t="n">
        <f aca="false">IF(AM7&gt;0,AL7/AM7,"")</f>
        <v>-1.24119139544176</v>
      </c>
      <c r="AO7" s="37" t="n">
        <f aca="false">IF(AM7&gt;0,TDIST(ABS(AN7),MIN(AL25,AL26)-1,2),"")</f>
        <v>0.231389816687797</v>
      </c>
      <c r="AP7" s="36" t="n">
        <v>-0.114017369691286</v>
      </c>
      <c r="AQ7" s="36" t="n">
        <v>0.0679039481582386</v>
      </c>
      <c r="AR7" s="37" t="n">
        <f aca="false">IF(AQ7&gt;0,AP7/AQ7,"")</f>
        <v>-1.67909779598659</v>
      </c>
      <c r="AS7" s="37" t="n">
        <f aca="false">IF(AQ7&gt;0,TDIST(ABS(AR7),MIN(AP25,AP26)-1,2),"")</f>
        <v>0.111417174231156</v>
      </c>
      <c r="AT7" s="36" t="n">
        <v>-0.0168454022484539</v>
      </c>
      <c r="AU7" s="36" t="n">
        <v>0.0279755943294935</v>
      </c>
      <c r="AV7" s="37" t="n">
        <f aca="false">IF(AU7&gt;0,AT7/AU7,"")</f>
        <v>-0.60214635835974</v>
      </c>
      <c r="AW7" s="37" t="n">
        <f aca="false">IF(AU7&gt;0,TDIST(ABS(AV7),MIN(AT25,AT26)-1,2),"")</f>
        <v>0.555023752529129</v>
      </c>
      <c r="AX7" s="36" t="n">
        <v>-0.0022394212750087</v>
      </c>
      <c r="AY7" s="36" t="n">
        <v>0.000744130459503591</v>
      </c>
      <c r="AZ7" s="37" t="n">
        <f aca="false">IF(AY7&gt;0,AX7/AY7,"")</f>
        <v>-3.00944712907279</v>
      </c>
      <c r="BA7" s="37" t="n">
        <f aca="false">IF(AY7&gt;0,TDIST(ABS(AZ7),MIN(AX25,AX26)-1,2),"")</f>
        <v>0.00789404633224638</v>
      </c>
      <c r="BB7" s="36" t="n">
        <v>-0.00225577785595253</v>
      </c>
      <c r="BC7" s="36" t="n">
        <v>0.000751273146881232</v>
      </c>
      <c r="BD7" s="37" t="n">
        <f aca="false">IF(BC7&gt;0,BB7/BC7,"")</f>
        <v>-3.0026067953007</v>
      </c>
      <c r="BE7" s="37" t="n">
        <f aca="false">IF(BC7&gt;0,TDIST(ABS(BD7),MIN(BB25,BB26)-1,2),"")</f>
        <v>0.00801005221270451</v>
      </c>
      <c r="BF7" s="36" t="n">
        <v>-0.00558612033161036</v>
      </c>
      <c r="BG7" s="36" t="n">
        <v>0.00339830365100012</v>
      </c>
      <c r="BH7" s="37" t="n">
        <f aca="false">IF(BG7&gt;0,BF7/BG7,"")</f>
        <v>-1.64379670132372</v>
      </c>
      <c r="BI7" s="37" t="n">
        <f aca="false">IF(BG7&gt;0,TDIST(ABS(BH7),MIN(BF25,BF26)-1,2),"")</f>
        <v>0.118582886996987</v>
      </c>
      <c r="BJ7" s="36" t="n">
        <v>-0.00119015563581952</v>
      </c>
      <c r="BK7" s="36" t="n">
        <v>0.00274002395288605</v>
      </c>
      <c r="BL7" s="37" t="n">
        <f aca="false">IF(BK7&gt;0,BJ7/BK7,"")</f>
        <v>-0.434359573596405</v>
      </c>
      <c r="BM7" s="37" t="n">
        <f aca="false">IF(BK7&gt;0,TDIST(ABS(BL7),MIN(BJ25,BJ26)-1,2),"")</f>
        <v>0.669490227122749</v>
      </c>
      <c r="BN7" s="36" t="n">
        <v>-0.000721424629359217</v>
      </c>
      <c r="BO7" s="36" t="n">
        <v>0.00218957165777971</v>
      </c>
      <c r="BP7" s="37" t="n">
        <f aca="false">IF(BO7&gt;0,BN7/BO7,"")</f>
        <v>-0.329482082395405</v>
      </c>
      <c r="BQ7" s="37" t="n">
        <f aca="false">IF(BO7&gt;0,TDIST(ABS(BP7),MIN(BN25,BN26)-1,2),"")</f>
        <v>0.745816137743039</v>
      </c>
      <c r="BR7" s="36" t="n">
        <v>-0.00112525406730686</v>
      </c>
      <c r="BS7" s="36" t="n">
        <v>0.00163030744908282</v>
      </c>
      <c r="BT7" s="37" t="n">
        <f aca="false">IF(BS7&gt;0,BR7/BS7,"")</f>
        <v>-0.690209731875976</v>
      </c>
      <c r="BU7" s="37" t="n">
        <f aca="false">IF(BS7&gt;0,TDIST(ABS(BT7),MIN(BR25,BR26)-1,2),"")</f>
        <v>0.499377688810586</v>
      </c>
    </row>
    <row r="8" customFormat="false" ht="15" hidden="false" customHeight="true" outlineLevel="0" collapsed="false">
      <c r="A8" s="18" t="s">
        <v>13</v>
      </c>
      <c r="B8" s="36" t="n">
        <v>0.0756427122062554</v>
      </c>
      <c r="C8" s="36" t="n">
        <v>0.112675238385655</v>
      </c>
      <c r="D8" s="37" t="n">
        <f aca="false">IF(C8&gt;0,B8/C8,"")</f>
        <v>0.671333944263354</v>
      </c>
      <c r="E8" s="37" t="n">
        <f aca="false">IF(C8&gt;0,TDIST(ABS(D8),MIN(B25,B26)-1,2),"")</f>
        <v>0.511027766733618</v>
      </c>
      <c r="F8" s="36" t="n">
        <v>0.103255992612555</v>
      </c>
      <c r="G8" s="36" t="n">
        <v>0.115938206235189</v>
      </c>
      <c r="H8" s="37" t="n">
        <f aca="false">IF(G8&gt;0,F8/G8,"")</f>
        <v>0.890612300858725</v>
      </c>
      <c r="I8" s="37" t="n">
        <f aca="false">IF(G8&gt;0,TDIST(ABS(H8),MIN(F25,F26)-1,2),"")</f>
        <v>0.385568449100751</v>
      </c>
      <c r="J8" s="36" t="n">
        <v>-0.628886858509682</v>
      </c>
      <c r="K8" s="36" t="n">
        <v>0.294261743451398</v>
      </c>
      <c r="L8" s="37" t="n">
        <f aca="false">IF(K8&gt;0,J8/K8,"")</f>
        <v>-2.13716826092806</v>
      </c>
      <c r="M8" s="37" t="n">
        <f aca="false">IF(K8&gt;0,TDIST(ABS(L8),MIN(J25,J26)-1,2),"")</f>
        <v>0.0474117163691751</v>
      </c>
      <c r="N8" s="36" t="n">
        <v>-0.611162330828329</v>
      </c>
      <c r="O8" s="36" t="n">
        <v>0.375278150093399</v>
      </c>
      <c r="P8" s="37" t="n">
        <f aca="false">IF(O8&gt;0,N8/O8,"")</f>
        <v>-1.62855825919048</v>
      </c>
      <c r="Q8" s="37" t="n">
        <f aca="false">IF(O8&gt;0,TDIST(ABS(P8),MIN(N25,N26)-1,2),"")</f>
        <v>0.121795802529953</v>
      </c>
      <c r="R8" s="36" t="n">
        <v>-1.55776364296202</v>
      </c>
      <c r="S8" s="36" t="n">
        <v>0.448454183125272</v>
      </c>
      <c r="T8" s="37" t="n">
        <f aca="false">IF(S8&gt;0,R8/S8,"")</f>
        <v>-3.47362941762742</v>
      </c>
      <c r="U8" s="37" t="n">
        <f aca="false">IF(S8&gt;0,TDIST(ABS(T8),MIN(R25,R26)-1,2),"")</f>
        <v>0.00290547045653999</v>
      </c>
      <c r="V8" s="36" t="n">
        <v>-2.15593273573753</v>
      </c>
      <c r="W8" s="36" t="n">
        <v>0.580756828197699</v>
      </c>
      <c r="X8" s="37" t="n">
        <f aca="false">IF(W8&gt;0,V8/W8,"")</f>
        <v>-3.71228133886635</v>
      </c>
      <c r="Y8" s="37" t="n">
        <f aca="false">IF(W8&gt;0,TDIST(ABS(X8),MIN(V25,V26)-1,2),"")</f>
        <v>0.00173104988751672</v>
      </c>
      <c r="Z8" s="36" t="n">
        <v>-0.467388590506135</v>
      </c>
      <c r="AA8" s="36" t="n">
        <v>0.349293636828465</v>
      </c>
      <c r="AB8" s="37" t="n">
        <f aca="false">IF(AA8&gt;0,Z8/AA8,"")</f>
        <v>-1.33809649311094</v>
      </c>
      <c r="AC8" s="37" t="n">
        <f aca="false">IF(AA8&gt;0,TDIST(ABS(AB8),MIN(Z25,Z26)-1,2),"")</f>
        <v>0.198489434324688</v>
      </c>
      <c r="AD8" s="36" t="n">
        <v>-0.299525287051966</v>
      </c>
      <c r="AE8" s="36" t="n">
        <v>0.401191021689945</v>
      </c>
      <c r="AF8" s="37" t="n">
        <f aca="false">IF(AE8&gt;0,AD8/AE8,"")</f>
        <v>-0.746590204811338</v>
      </c>
      <c r="AG8" s="37" t="n">
        <f aca="false">IF(AE8&gt;0,TDIST(ABS(AF8),MIN(AD25,AD26)-1,2),"")</f>
        <v>0.465511575151645</v>
      </c>
      <c r="AH8" s="36" t="n">
        <v>-1.12553213920823</v>
      </c>
      <c r="AI8" s="36" t="n">
        <v>0.765228450074009</v>
      </c>
      <c r="AJ8" s="37" t="n">
        <f aca="false">IF(AI8&gt;0,AH8/AI8,"")</f>
        <v>-1.47084460738408</v>
      </c>
      <c r="AK8" s="37" t="n">
        <f aca="false">IF(AI8&gt;0,TDIST(ABS(AJ8),MIN(AH25,AH26)-1,2),"")</f>
        <v>0.159600773766936</v>
      </c>
      <c r="AL8" s="36" t="n">
        <v>-0.973186350958556</v>
      </c>
      <c r="AM8" s="36" t="n">
        <v>0.867925243177988</v>
      </c>
      <c r="AN8" s="37" t="n">
        <f aca="false">IF(AM8&gt;0,AL8/AM8,"")</f>
        <v>-1.12127900254997</v>
      </c>
      <c r="AO8" s="37" t="n">
        <f aca="false">IF(AM8&gt;0,TDIST(ABS(AN8),MIN(AL25,AL26)-1,2),"")</f>
        <v>0.277758784597559</v>
      </c>
      <c r="AP8" s="36" t="n">
        <v>-1.50589771632033</v>
      </c>
      <c r="AQ8" s="36" t="n">
        <v>0.725429937377952</v>
      </c>
      <c r="AR8" s="37" t="n">
        <f aca="false">IF(AQ8&gt;0,AP8/AQ8,"")</f>
        <v>-2.07586927245291</v>
      </c>
      <c r="AS8" s="37" t="n">
        <f aca="false">IF(AQ8&gt;0,TDIST(ABS(AR8),MIN(AP25,AP26)-1,2),"")</f>
        <v>0.0533913830940959</v>
      </c>
      <c r="AT8" s="36" t="n">
        <v>-1.77476404424718</v>
      </c>
      <c r="AU8" s="36" t="n">
        <v>1.37624296880703</v>
      </c>
      <c r="AV8" s="37" t="n">
        <f aca="false">IF(AU8&gt;0,AT8/AU8,"")</f>
        <v>-1.2895717431244</v>
      </c>
      <c r="AW8" s="37" t="n">
        <f aca="false">IF(AU8&gt;0,TDIST(ABS(AV8),MIN(AT25,AT26)-1,2),"")</f>
        <v>0.214468692034947</v>
      </c>
      <c r="AX8" s="36" t="n">
        <v>-0.0845730425428799</v>
      </c>
      <c r="AY8" s="36" t="n">
        <v>0.0715902783692616</v>
      </c>
      <c r="AZ8" s="37" t="n">
        <f aca="false">IF(AY8&gt;0,AX8/AY8,"")</f>
        <v>-1.18134814487874</v>
      </c>
      <c r="BA8" s="37" t="n">
        <f aca="false">IF(AY8&gt;0,TDIST(ABS(AZ8),MIN(AX25,AX26)-1,2),"")</f>
        <v>0.253727885969343</v>
      </c>
      <c r="BB8" s="36" t="n">
        <v>-0.038038931512466</v>
      </c>
      <c r="BC8" s="36" t="n">
        <v>0.0609680184817225</v>
      </c>
      <c r="BD8" s="37" t="n">
        <f aca="false">IF(BC8&gt;0,BB8/BC8,"")</f>
        <v>-0.623916152431125</v>
      </c>
      <c r="BE8" s="37" t="n">
        <f aca="false">IF(BC8&gt;0,TDIST(ABS(BD8),MIN(BB25,BB26)-1,2),"")</f>
        <v>0.540965164982582</v>
      </c>
      <c r="BF8" s="36" t="n">
        <v>-0.0823113701972818</v>
      </c>
      <c r="BG8" s="36" t="n">
        <v>0.0604534175852903</v>
      </c>
      <c r="BH8" s="37" t="n">
        <f aca="false">IF(BG8&gt;0,BF8/BG8,"")</f>
        <v>-1.36156686396023</v>
      </c>
      <c r="BI8" s="37" t="n">
        <f aca="false">IF(BG8&gt;0,TDIST(ABS(BH8),MIN(BF25,BF26)-1,2),"")</f>
        <v>0.191108270744086</v>
      </c>
      <c r="BJ8" s="36" t="n">
        <v>-0.05559513579883</v>
      </c>
      <c r="BK8" s="36" t="n">
        <v>0.0280058866639571</v>
      </c>
      <c r="BL8" s="37" t="n">
        <f aca="false">IF(BK8&gt;0,BJ8/BK8,"")</f>
        <v>-1.9851232159123</v>
      </c>
      <c r="BM8" s="37" t="n">
        <f aca="false">IF(BK8&gt;0,TDIST(ABS(BL8),MIN(BJ25,BJ26)-1,2),"")</f>
        <v>0.0635073866878969</v>
      </c>
      <c r="BN8" s="36" t="n">
        <v>-0.0549427575999379</v>
      </c>
      <c r="BO8" s="36" t="n">
        <v>0.0451793619131172</v>
      </c>
      <c r="BP8" s="37" t="n">
        <f aca="false">IF(BO8&gt;0,BN8/BO8,"")</f>
        <v>-1.21610300087009</v>
      </c>
      <c r="BQ8" s="37" t="n">
        <f aca="false">IF(BO8&gt;0,TDIST(ABS(BP8),MIN(BN25,BN26)-1,2),"")</f>
        <v>0.240562774608231</v>
      </c>
      <c r="BR8" s="36" t="n">
        <v>0.00596838333499629</v>
      </c>
      <c r="BS8" s="36" t="n">
        <v>0.0667708246489551</v>
      </c>
      <c r="BT8" s="37" t="n">
        <f aca="false">IF(BS8&gt;0,BR8/BS8,"")</f>
        <v>0.0893860958940499</v>
      </c>
      <c r="BU8" s="37" t="n">
        <f aca="false">IF(BS8&gt;0,TDIST(ABS(BT8),MIN(BR25,BR26)-1,2),"")</f>
        <v>0.92981971929914</v>
      </c>
    </row>
    <row r="9" customFormat="false" ht="15" hidden="false" customHeight="true" outlineLevel="0" collapsed="false">
      <c r="A9" s="18" t="s">
        <v>14</v>
      </c>
      <c r="B9" s="36" t="n">
        <v>0.037077366260526</v>
      </c>
      <c r="C9" s="36" t="n">
        <v>0.127571442077559</v>
      </c>
      <c r="D9" s="37" t="n">
        <f aca="false">IF(C9&gt;0,B9/C9,"")</f>
        <v>0.290640018304287</v>
      </c>
      <c r="E9" s="37" t="n">
        <f aca="false">IF(C9&gt;0,TDIST(ABS(D9),MIN(B25,B26)-1,2),"")</f>
        <v>0.774842461036878</v>
      </c>
      <c r="F9" s="36" t="n">
        <v>0.0556416387213013</v>
      </c>
      <c r="G9" s="36" t="n">
        <v>0.122056185481899</v>
      </c>
      <c r="H9" s="37" t="n">
        <f aca="false">IF(G9&gt;0,F9/G9,"")</f>
        <v>0.455869061462297</v>
      </c>
      <c r="I9" s="37" t="n">
        <f aca="false">IF(G9&gt;0,TDIST(ABS(H9),MIN(F25,F26)-1,2),"")</f>
        <v>0.654253546814553</v>
      </c>
      <c r="J9" s="36" t="n">
        <v>-0.657764679636872</v>
      </c>
      <c r="K9" s="36" t="n">
        <v>0.305478907830779</v>
      </c>
      <c r="L9" s="37" t="n">
        <f aca="false">IF(K9&gt;0,J9/K9,"")</f>
        <v>-2.15322453621329</v>
      </c>
      <c r="M9" s="37" t="n">
        <f aca="false">IF(K9&gt;0,TDIST(ABS(L9),MIN(J25,J26)-1,2),"")</f>
        <v>0.0459501009312831</v>
      </c>
      <c r="N9" s="36" t="n">
        <v>-0.648225953717322</v>
      </c>
      <c r="O9" s="36" t="n">
        <v>0.372465058817297</v>
      </c>
      <c r="P9" s="37" t="n">
        <f aca="false">IF(O9&gt;0,N9/O9,"")</f>
        <v>-1.74036715222539</v>
      </c>
      <c r="Q9" s="37" t="n">
        <f aca="false">IF(O9&gt;0,TDIST(ABS(P9),MIN(N25,N26)-1,2),"")</f>
        <v>0.0998632261438928</v>
      </c>
      <c r="R9" s="36" t="n">
        <v>-1.61856661925684</v>
      </c>
      <c r="S9" s="36" t="n">
        <v>0.457473238376558</v>
      </c>
      <c r="T9" s="37" t="n">
        <f aca="false">IF(S9&gt;0,R9/S9,"")</f>
        <v>-3.53805749381247</v>
      </c>
      <c r="U9" s="37" t="n">
        <f aca="false">IF(S9&gt;0,TDIST(ABS(T9),MIN(R25,R26)-1,2),"")</f>
        <v>0.00252666685439883</v>
      </c>
      <c r="V9" s="36" t="n">
        <v>-2.25487206155632</v>
      </c>
      <c r="W9" s="36" t="n">
        <v>0.590568726139974</v>
      </c>
      <c r="X9" s="37" t="n">
        <f aca="false">IF(W9&gt;0,V9/W9,"")</f>
        <v>-3.81813658893593</v>
      </c>
      <c r="Y9" s="37" t="n">
        <f aca="false">IF(W9&gt;0,TDIST(ABS(X9),MIN(V25,V26)-1,2),"")</f>
        <v>0.00137560423299901</v>
      </c>
      <c r="Z9" s="36" t="n">
        <v>-0.503424722448088</v>
      </c>
      <c r="AA9" s="36" t="n">
        <v>0.316191022957317</v>
      </c>
      <c r="AB9" s="37" t="n">
        <f aca="false">IF(AA9&gt;0,Z9/AA9,"")</f>
        <v>-1.59215374851438</v>
      </c>
      <c r="AC9" s="37" t="n">
        <f aca="false">IF(AA9&gt;0,TDIST(ABS(AB9),MIN(Z25,Z26)-1,2),"")</f>
        <v>0.129772648541901</v>
      </c>
      <c r="AD9" s="36" t="n">
        <v>-0.322346528374291</v>
      </c>
      <c r="AE9" s="36" t="n">
        <v>0.373429045081806</v>
      </c>
      <c r="AF9" s="37" t="n">
        <f aca="false">IF(AE9&gt;0,AD9/AE9,"")</f>
        <v>-0.863206899998032</v>
      </c>
      <c r="AG9" s="37" t="n">
        <f aca="false">IF(AE9&gt;0,TDIST(ABS(AF9),MIN(AD25,AD26)-1,2),"")</f>
        <v>0.400038540025651</v>
      </c>
      <c r="AH9" s="36" t="n">
        <v>-1.25732762260841</v>
      </c>
      <c r="AI9" s="36" t="n">
        <v>0.748957462594353</v>
      </c>
      <c r="AJ9" s="37" t="n">
        <f aca="false">IF(AI9&gt;0,AH9/AI9,"")</f>
        <v>-1.67877040473445</v>
      </c>
      <c r="AK9" s="37" t="n">
        <f aca="false">IF(AI9&gt;0,TDIST(ABS(AJ9),MIN(AH25,AH26)-1,2),"")</f>
        <v>0.11148188317767</v>
      </c>
      <c r="AL9" s="36" t="n">
        <v>-0.950167305620029</v>
      </c>
      <c r="AM9" s="36" t="n">
        <v>0.885969814716392</v>
      </c>
      <c r="AN9" s="37" t="n">
        <f aca="false">IF(AM9&gt;0,AL9/AM9,"")</f>
        <v>-1.07246013333331</v>
      </c>
      <c r="AO9" s="37" t="n">
        <f aca="false">IF(AM9&gt;0,TDIST(ABS(AN9),MIN(AL25,AL26)-1,2),"")</f>
        <v>0.29850245845582</v>
      </c>
      <c r="AP9" s="36" t="n">
        <v>-1.55748985390116</v>
      </c>
      <c r="AQ9" s="36" t="n">
        <v>0.786400775397529</v>
      </c>
      <c r="AR9" s="37" t="n">
        <f aca="false">IF(AQ9&gt;0,AP9/AQ9,"")</f>
        <v>-1.98052939751216</v>
      </c>
      <c r="AS9" s="37" t="n">
        <f aca="false">IF(AQ9&gt;0,TDIST(ABS(AR9),MIN(AP25,AP26)-1,2),"")</f>
        <v>0.0640627154848441</v>
      </c>
      <c r="AT9" s="36" t="n">
        <v>-1.71679966326322</v>
      </c>
      <c r="AU9" s="36" t="n">
        <v>1.51667671302792</v>
      </c>
      <c r="AV9" s="37" t="n">
        <f aca="false">IF(AU9&gt;0,AT9/AU9,"")</f>
        <v>-1.13194832393501</v>
      </c>
      <c r="AW9" s="37" t="n">
        <f aca="false">IF(AU9&gt;0,TDIST(ABS(AV9),MIN(AT25,AT26)-1,2),"")</f>
        <v>0.27337098613837</v>
      </c>
      <c r="AX9" s="36" t="n">
        <v>-0.093708738125858</v>
      </c>
      <c r="AY9" s="36" t="n">
        <v>0.0724133062515805</v>
      </c>
      <c r="AZ9" s="37" t="n">
        <f aca="false">IF(AY9&gt;0,AX9/AY9,"")</f>
        <v>-1.29408175067014</v>
      </c>
      <c r="BA9" s="37" t="n">
        <f aca="false">IF(AY9&gt;0,TDIST(ABS(AZ9),MIN(AX25,AX26)-1,2),"")</f>
        <v>0.212942097031416</v>
      </c>
      <c r="BB9" s="36" t="n">
        <v>-0.0478230314820267</v>
      </c>
      <c r="BC9" s="36" t="n">
        <v>0.0606644286834089</v>
      </c>
      <c r="BD9" s="37" t="n">
        <f aca="false">IF(BC9&gt;0,BB9/BC9,"")</f>
        <v>-0.788320808749425</v>
      </c>
      <c r="BE9" s="37" t="n">
        <f aca="false">IF(BC9&gt;0,TDIST(ABS(BD9),MIN(BB25,BB26)-1,2),"")</f>
        <v>0.441363990726885</v>
      </c>
      <c r="BF9" s="36" t="n">
        <v>-0.0920477638048381</v>
      </c>
      <c r="BG9" s="36" t="n">
        <v>0.0602231998553415</v>
      </c>
      <c r="BH9" s="37" t="n">
        <f aca="false">IF(BG9&gt;0,BF9/BG9,"")</f>
        <v>-1.52844359027651</v>
      </c>
      <c r="BI9" s="37" t="n">
        <f aca="false">IF(BG9&gt;0,TDIST(ABS(BH9),MIN(BF25,BF26)-1,2),"")</f>
        <v>0.144795128356333</v>
      </c>
      <c r="BJ9" s="36" t="n">
        <v>-0.0640844731417516</v>
      </c>
      <c r="BK9" s="36" t="n">
        <v>0.0284761321528056</v>
      </c>
      <c r="BL9" s="37" t="n">
        <f aca="false">IF(BK9&gt;0,BJ9/BK9,"")</f>
        <v>-2.25046269619302</v>
      </c>
      <c r="BM9" s="37" t="n">
        <f aca="false">IF(BK9&gt;0,TDIST(ABS(BL9),MIN(BJ25,BJ26)-1,2),"")</f>
        <v>0.0379482102185191</v>
      </c>
      <c r="BN9" s="36" t="n">
        <v>-0.0649968075493079</v>
      </c>
      <c r="BO9" s="36" t="n">
        <v>0.0472994986026149</v>
      </c>
      <c r="BP9" s="37" t="n">
        <f aca="false">IF(BO9&gt;0,BN9/BO9,"")</f>
        <v>-1.37415426102878</v>
      </c>
      <c r="BQ9" s="37" t="n">
        <f aca="false">IF(BO9&gt;0,TDIST(ABS(BP9),MIN(BN25,BN26)-1,2),"")</f>
        <v>0.18724128188815</v>
      </c>
      <c r="BR9" s="36" t="n">
        <v>-0.00101634298751284</v>
      </c>
      <c r="BS9" s="36" t="n">
        <v>0.0699228905369388</v>
      </c>
      <c r="BT9" s="37" t="n">
        <f aca="false">IF(BS9&gt;0,BR9/BS9,"")</f>
        <v>-0.0145351969821088</v>
      </c>
      <c r="BU9" s="37" t="n">
        <f aca="false">IF(BS9&gt;0,TDIST(ABS(BT9),MIN(BR25,BR26)-1,2),"")</f>
        <v>0.988572222497913</v>
      </c>
    </row>
    <row r="10" customFormat="false" ht="15" hidden="false" customHeight="true" outlineLevel="0" collapsed="false">
      <c r="A10" s="18" t="s">
        <v>15</v>
      </c>
      <c r="B10" s="36" t="n">
        <v>0.126036697478359</v>
      </c>
      <c r="C10" s="36" t="n">
        <v>0.145842616650348</v>
      </c>
      <c r="D10" s="37" t="n">
        <f aca="false">IF(C10&gt;0,B10/C10,"")</f>
        <v>0.864196627660124</v>
      </c>
      <c r="E10" s="37" t="n">
        <f aca="false">IF(C10&gt;0,TDIST(ABS(D10),MIN(B25,B26)-1,2),"")</f>
        <v>0.399509835543348</v>
      </c>
      <c r="F10" s="36" t="n">
        <v>0.153622756117087</v>
      </c>
      <c r="G10" s="36" t="n">
        <v>0.128494700040056</v>
      </c>
      <c r="H10" s="37" t="n">
        <f aca="false">IF(G10&gt;0,F10/G10,"")</f>
        <v>1.19555714024935</v>
      </c>
      <c r="I10" s="37" t="n">
        <f aca="false">IF(G10&gt;0,TDIST(ABS(H10),MIN(F25,F26)-1,2),"")</f>
        <v>0.248280792467326</v>
      </c>
      <c r="J10" s="36" t="n">
        <v>-0.717616125553227</v>
      </c>
      <c r="K10" s="36" t="n">
        <v>0.348015364545084</v>
      </c>
      <c r="L10" s="37" t="n">
        <f aca="false">IF(K10&gt;0,J10/K10,"")</f>
        <v>-2.06202426289792</v>
      </c>
      <c r="M10" s="37" t="n">
        <f aca="false">IF(K10&gt;0,TDIST(ABS(L10),MIN(J25,J26)-1,2),"")</f>
        <v>0.054833682871932</v>
      </c>
      <c r="N10" s="36" t="n">
        <v>-0.657895461071974</v>
      </c>
      <c r="O10" s="36" t="n">
        <v>0.402575184392331</v>
      </c>
      <c r="P10" s="37" t="n">
        <f aca="false">IF(O10&gt;0,N10/O10,"")</f>
        <v>-1.63421762338639</v>
      </c>
      <c r="Q10" s="37" t="n">
        <f aca="false">IF(O10&gt;0,TDIST(ABS(P10),MIN(N25,N26)-1,2),"")</f>
        <v>0.120594006825615</v>
      </c>
      <c r="R10" s="36" t="n">
        <v>-1.71550184911473</v>
      </c>
      <c r="S10" s="36" t="n">
        <v>0.669749775545105</v>
      </c>
      <c r="T10" s="37" t="n">
        <f aca="false">IF(S10&gt;0,R10/S10,"")</f>
        <v>-2.56140712808525</v>
      </c>
      <c r="U10" s="37" t="n">
        <f aca="false">IF(S10&gt;0,TDIST(ABS(T10),MIN(R25,R26)-1,2),"")</f>
        <v>0.0202290957046571</v>
      </c>
      <c r="V10" s="36" t="n">
        <v>-2.64479438878887</v>
      </c>
      <c r="W10" s="36" t="n">
        <v>0.782791195943186</v>
      </c>
      <c r="X10" s="37" t="n">
        <f aca="false">IF(W10&gt;0,V10/W10,"")</f>
        <v>-3.37867160808082</v>
      </c>
      <c r="Y10" s="37" t="n">
        <f aca="false">IF(W10&gt;0,TDIST(ABS(X10),MIN(V25,V26)-1,2),"")</f>
        <v>0.00356872848730954</v>
      </c>
      <c r="Z10" s="36" t="n">
        <v>-0.515232128698594</v>
      </c>
      <c r="AA10" s="36" t="n">
        <v>0.274013595578361</v>
      </c>
      <c r="AB10" s="37" t="n">
        <f aca="false">IF(AA10&gt;0,Z10/AA10,"")</f>
        <v>-1.88031592962055</v>
      </c>
      <c r="AC10" s="37" t="n">
        <f aca="false">IF(AA10&gt;0,TDIST(ABS(AB10),MIN(Z25,Z26)-1,2),"")</f>
        <v>0.077312022188318</v>
      </c>
      <c r="AD10" s="36" t="n">
        <v>-0.329752487803061</v>
      </c>
      <c r="AE10" s="36" t="n">
        <v>0.350803762000653</v>
      </c>
      <c r="AF10" s="37" t="n">
        <f aca="false">IF(AE10&gt;0,AD10/AE10,"")</f>
        <v>-0.93999131002035</v>
      </c>
      <c r="AG10" s="37" t="n">
        <f aca="false">IF(AE10&gt;0,TDIST(ABS(AF10),MIN(AD25,AD26)-1,2),"")</f>
        <v>0.36038760140617</v>
      </c>
      <c r="AH10" s="36" t="n">
        <v>-1.05937391212257</v>
      </c>
      <c r="AI10" s="36" t="n">
        <v>0.784582092727871</v>
      </c>
      <c r="AJ10" s="37" t="n">
        <f aca="false">IF(AI10&gt;0,AH10/AI10,"")</f>
        <v>-1.35023972882084</v>
      </c>
      <c r="AK10" s="37" t="n">
        <f aca="false">IF(AI10&gt;0,TDIST(ABS(AJ10),MIN(AH25,AH26)-1,2),"")</f>
        <v>0.194642608930133</v>
      </c>
      <c r="AL10" s="36" t="n">
        <v>-1.25112543048312</v>
      </c>
      <c r="AM10" s="36" t="n">
        <v>0.879658717349141</v>
      </c>
      <c r="AN10" s="37" t="n">
        <f aca="false">IF(AM10&gt;0,AL10/AM10,"")</f>
        <v>-1.42228503601192</v>
      </c>
      <c r="AO10" s="37" t="n">
        <f aca="false">IF(AM10&gt;0,TDIST(ABS(AN10),MIN(AL25,AL26)-1,2),"")</f>
        <v>0.173032899276503</v>
      </c>
      <c r="AP10" s="36" t="n">
        <v>-2.43020562736509</v>
      </c>
      <c r="AQ10" s="36" t="n">
        <v>1.09885282317799</v>
      </c>
      <c r="AR10" s="37" t="n">
        <f aca="false">IF(AQ10&gt;0,AP10/AQ10,"")</f>
        <v>-2.21158427780774</v>
      </c>
      <c r="AS10" s="37" t="n">
        <f aca="false">IF(AQ10&gt;0,TDIST(ABS(AR10),MIN(AP25,AP26)-1,2),"")</f>
        <v>0.0409792139726183</v>
      </c>
      <c r="AT10" s="36" t="n">
        <v>-3.88325511759268</v>
      </c>
      <c r="AU10" s="36" t="n">
        <v>2.09338166195686</v>
      </c>
      <c r="AV10" s="37" t="n">
        <f aca="false">IF(AU10&gt;0,AT10/AU10,"")</f>
        <v>-1.85501535059912</v>
      </c>
      <c r="AW10" s="37" t="n">
        <f aca="false">IF(AU10&gt;0,TDIST(ABS(AV10),MIN(AT25,AT26)-1,2),"")</f>
        <v>0.0810207316216291</v>
      </c>
      <c r="AX10" s="36" t="n">
        <v>-0.0751086722721332</v>
      </c>
      <c r="AY10" s="36" t="n">
        <v>0.074172756288121</v>
      </c>
      <c r="AZ10" s="37" t="n">
        <f aca="false">IF(AY10&gt;0,AX10/AY10,"")</f>
        <v>-1.01261805588533</v>
      </c>
      <c r="BA10" s="37" t="n">
        <f aca="false">IF(AY10&gt;0,TDIST(ABS(AZ10),MIN(AX25,AX26)-1,2),"")</f>
        <v>0.325439036008589</v>
      </c>
      <c r="BB10" s="36" t="n">
        <v>-0.0322244222891679</v>
      </c>
      <c r="BC10" s="36" t="n">
        <v>0.0635549509448168</v>
      </c>
      <c r="BD10" s="37" t="n">
        <f aca="false">IF(BC10&gt;0,BB10/BC10,"")</f>
        <v>-0.507032446884391</v>
      </c>
      <c r="BE10" s="37" t="n">
        <f aca="false">IF(BC10&gt;0,TDIST(ABS(BD10),MIN(BB25,BB26)-1,2),"")</f>
        <v>0.618645692127778</v>
      </c>
      <c r="BF10" s="36" t="n">
        <v>-0.0778475719413308</v>
      </c>
      <c r="BG10" s="36" t="n">
        <v>0.0592261192749239</v>
      </c>
      <c r="BH10" s="37" t="n">
        <f aca="false">IF(BG10&gt;0,BF10/BG10,"")</f>
        <v>-1.31441284511598</v>
      </c>
      <c r="BI10" s="37" t="n">
        <f aca="false">IF(BG10&gt;0,TDIST(ABS(BH10),MIN(BF25,BF26)-1,2),"")</f>
        <v>0.206166184836922</v>
      </c>
      <c r="BJ10" s="36" t="n">
        <v>-0.0752108965939685</v>
      </c>
      <c r="BK10" s="36" t="n">
        <v>0.0389658094180199</v>
      </c>
      <c r="BL10" s="37" t="n">
        <f aca="false">IF(BK10&gt;0,BJ10/BK10,"")</f>
        <v>-1.9301766784084</v>
      </c>
      <c r="BM10" s="37" t="n">
        <f aca="false">IF(BK10&gt;0,TDIST(ABS(BL10),MIN(BJ25,BJ26)-1,2),"")</f>
        <v>0.0704418302957128</v>
      </c>
      <c r="BN10" s="36" t="n">
        <v>-0.0766738537838244</v>
      </c>
      <c r="BO10" s="36" t="n">
        <v>0.0621988265126679</v>
      </c>
      <c r="BP10" s="37" t="n">
        <f aca="false">IF(BO10&gt;0,BN10/BO10,"")</f>
        <v>-1.2327218708573</v>
      </c>
      <c r="BQ10" s="37" t="n">
        <f aca="false">IF(BO10&gt;0,TDIST(ABS(BP10),MIN(BN25,BN26)-1,2),"")</f>
        <v>0.234455769042486</v>
      </c>
      <c r="BR10" s="36" t="n">
        <v>-0.0114188609746808</v>
      </c>
      <c r="BS10" s="36" t="n">
        <v>0.0878946099259141</v>
      </c>
      <c r="BT10" s="37" t="n">
        <f aca="false">IF(BS10&gt;0,BR10/BS10,"")</f>
        <v>-0.129915372334045</v>
      </c>
      <c r="BU10" s="37" t="n">
        <f aca="false">IF(BS10&gt;0,TDIST(ABS(BT10),MIN(BR25,BR26)-1,2),"")</f>
        <v>0.898158220621693</v>
      </c>
    </row>
    <row r="11" customFormat="false" ht="15" hidden="false" customHeight="true" outlineLevel="0" collapsed="false">
      <c r="A11" s="18" t="s">
        <v>16</v>
      </c>
      <c r="B11" s="36" t="n">
        <v>0.0461169874405414</v>
      </c>
      <c r="C11" s="36" t="n">
        <v>0.139517492351469</v>
      </c>
      <c r="D11" s="37" t="n">
        <f aca="false">IF(C11&gt;0,B11/C11,"")</f>
        <v>0.330546275332735</v>
      </c>
      <c r="E11" s="37" t="n">
        <f aca="false">IF(C11&gt;0,TDIST(ABS(D11),MIN(B25,B26)-1,2),"")</f>
        <v>0.745026156530639</v>
      </c>
      <c r="F11" s="36" t="n">
        <v>0.096687588674497</v>
      </c>
      <c r="G11" s="36" t="n">
        <v>0.12160676113624</v>
      </c>
      <c r="H11" s="37" t="n">
        <f aca="false">IF(G11&gt;0,F11/G11,"")</f>
        <v>0.795083988514214</v>
      </c>
      <c r="I11" s="37" t="n">
        <f aca="false">IF(G11&gt;0,TDIST(ABS(H11),MIN(F25,F26)-1,2),"")</f>
        <v>0.437525253760694</v>
      </c>
      <c r="J11" s="36" t="n">
        <v>-0.512969422861222</v>
      </c>
      <c r="K11" s="36" t="n">
        <v>0.308256440351168</v>
      </c>
      <c r="L11" s="37" t="n">
        <f aca="false">IF(K11&gt;0,J11/K11,"")</f>
        <v>-1.66409961224766</v>
      </c>
      <c r="M11" s="37" t="n">
        <f aca="false">IF(K11&gt;0,TDIST(ABS(L11),MIN(J25,J26)-1,2),"")</f>
        <v>0.114414906425916</v>
      </c>
      <c r="N11" s="36" t="n">
        <v>-0.553176753812578</v>
      </c>
      <c r="O11" s="36" t="n">
        <v>0.395449666729396</v>
      </c>
      <c r="P11" s="37" t="n">
        <f aca="false">IF(O11&gt;0,N11/O11,"")</f>
        <v>-1.39885502594471</v>
      </c>
      <c r="Q11" s="37" t="n">
        <f aca="false">IF(O11&gt;0,TDIST(ABS(P11),MIN(N25,N26)-1,2),"")</f>
        <v>0.179836136065513</v>
      </c>
      <c r="R11" s="36" t="n">
        <v>-1.47065765925614</v>
      </c>
      <c r="S11" s="36" t="n">
        <v>0.422484045484389</v>
      </c>
      <c r="T11" s="37" t="n">
        <f aca="false">IF(S11&gt;0,R11/S11,"")</f>
        <v>-3.48097798005601</v>
      </c>
      <c r="U11" s="37" t="n">
        <f aca="false">IF(S11&gt;0,TDIST(ABS(T11),MIN(R25,R26)-1,2),"")</f>
        <v>0.00285956226662668</v>
      </c>
      <c r="V11" s="36" t="n">
        <v>-1.96007669431145</v>
      </c>
      <c r="W11" s="36" t="n">
        <v>0.539088009750746</v>
      </c>
      <c r="X11" s="37" t="n">
        <f aca="false">IF(W11&gt;0,V11/W11,"")</f>
        <v>-3.63591224226581</v>
      </c>
      <c r="Y11" s="37" t="n">
        <f aca="false">IF(W11&gt;0,TDIST(ABS(X11),MIN(V25,V26)-1,2),"")</f>
        <v>0.00204325152569785</v>
      </c>
      <c r="Z11" s="36" t="n">
        <v>-0.498072139674179</v>
      </c>
      <c r="AA11" s="36" t="n">
        <v>0.362139324931549</v>
      </c>
      <c r="AB11" s="37" t="n">
        <f aca="false">IF(AA11&gt;0,Z11/AA11,"")</f>
        <v>-1.37536054602279</v>
      </c>
      <c r="AC11" s="37" t="n">
        <f aca="false">IF(AA11&gt;0,TDIST(ABS(AB11),MIN(Z25,Z26)-1,2),"")</f>
        <v>0.186874026332003</v>
      </c>
      <c r="AD11" s="36" t="n">
        <v>-0.318503208700469</v>
      </c>
      <c r="AE11" s="36" t="n">
        <v>0.43885327213623</v>
      </c>
      <c r="AF11" s="37" t="n">
        <f aca="false">IF(AE11&gt;0,AD11/AE11,"")</f>
        <v>-0.725762410634592</v>
      </c>
      <c r="AG11" s="37" t="n">
        <f aca="false">IF(AE11&gt;0,TDIST(ABS(AF11),MIN(AD25,AD26)-1,2),"")</f>
        <v>0.477857836918215</v>
      </c>
      <c r="AH11" s="36" t="n">
        <v>-1.19864996737128</v>
      </c>
      <c r="AI11" s="36" t="n">
        <v>0.729676172088779</v>
      </c>
      <c r="AJ11" s="37" t="n">
        <f aca="false">IF(AI11&gt;0,AH11/AI11,"")</f>
        <v>-1.64271496483161</v>
      </c>
      <c r="AK11" s="37" t="n">
        <f aca="false">IF(AI11&gt;0,TDIST(ABS(AJ11),MIN(AH25,AH26)-1,2),"")</f>
        <v>0.118808552581996</v>
      </c>
      <c r="AL11" s="36" t="n">
        <v>-0.861491927823798</v>
      </c>
      <c r="AM11" s="36" t="n">
        <v>0.834101862207745</v>
      </c>
      <c r="AN11" s="37" t="n">
        <f aca="false">IF(AM11&gt;0,AL11/AM11,"")</f>
        <v>-1.03283779458729</v>
      </c>
      <c r="AO11" s="37" t="n">
        <f aca="false">IF(AM11&gt;0,TDIST(ABS(AN11),MIN(AL25,AL26)-1,2),"")</f>
        <v>0.316150410557972</v>
      </c>
      <c r="AP11" s="36" t="n">
        <v>-1.52876688802237</v>
      </c>
      <c r="AQ11" s="36" t="n">
        <v>0.71720972798802</v>
      </c>
      <c r="AR11" s="37" t="n">
        <f aca="false">IF(AQ11&gt;0,AP11/AQ11,"")</f>
        <v>-2.13154789786664</v>
      </c>
      <c r="AS11" s="37" t="n">
        <f aca="false">IF(AQ11&gt;0,TDIST(ABS(AR11),MIN(AP25,AP26)-1,2),"")</f>
        <v>0.0479333230744125</v>
      </c>
      <c r="AT11" s="36" t="n">
        <v>-1.43415905491517</v>
      </c>
      <c r="AU11" s="36" t="n">
        <v>1.43552500224035</v>
      </c>
      <c r="AV11" s="37" t="n">
        <f aca="false">IF(AU11&gt;0,AT11/AU11,"")</f>
        <v>-0.999048468453668</v>
      </c>
      <c r="AW11" s="37" t="n">
        <f aca="false">IF(AU11&gt;0,TDIST(ABS(AV11),MIN(AT25,AT26)-1,2),"")</f>
        <v>0.331780243001807</v>
      </c>
      <c r="AX11" s="36" t="n">
        <v>-0.0828676719127178</v>
      </c>
      <c r="AY11" s="36" t="n">
        <v>0.0716425851789754</v>
      </c>
      <c r="AZ11" s="37" t="n">
        <f aca="false">IF(AY11&gt;0,AX11/AY11,"")</f>
        <v>-1.15668176554071</v>
      </c>
      <c r="BA11" s="37" t="n">
        <f aca="false">IF(AY11&gt;0,TDIST(ABS(AZ11),MIN(AX25,AX26)-1,2),"")</f>
        <v>0.2633984089225</v>
      </c>
      <c r="BB11" s="36" t="n">
        <v>-0.037951174990567</v>
      </c>
      <c r="BC11" s="36" t="n">
        <v>0.0601697920728187</v>
      </c>
      <c r="BD11" s="37" t="n">
        <f aca="false">IF(BC11&gt;0,BB11/BC11,"")</f>
        <v>-0.630734687343405</v>
      </c>
      <c r="BE11" s="37" t="n">
        <f aca="false">IF(BC11&gt;0,TDIST(ABS(BD11),MIN(BB25,BB26)-1,2),"")</f>
        <v>0.536602049169457</v>
      </c>
      <c r="BF11" s="36" t="n">
        <v>-0.0645949508613979</v>
      </c>
      <c r="BG11" s="36" t="n">
        <v>0.0608656059590321</v>
      </c>
      <c r="BH11" s="37" t="n">
        <f aca="false">IF(BG11&gt;0,BF11/BG11,"")</f>
        <v>-1.06127179453164</v>
      </c>
      <c r="BI11" s="37" t="n">
        <f aca="false">IF(BG11&gt;0,TDIST(ABS(BH11),MIN(BF25,BF26)-1,2),"")</f>
        <v>0.303411709042222</v>
      </c>
      <c r="BJ11" s="36" t="n">
        <v>-0.033226397628314</v>
      </c>
      <c r="BK11" s="36" t="n">
        <v>0.0277397467726027</v>
      </c>
      <c r="BL11" s="37" t="n">
        <f aca="false">IF(BK11&gt;0,BJ11/BK11,"")</f>
        <v>-1.19779022860909</v>
      </c>
      <c r="BM11" s="37" t="n">
        <f aca="false">IF(BK11&gt;0,TDIST(ABS(BL11),MIN(BJ25,BJ26)-1,2),"")</f>
        <v>0.24743289132302</v>
      </c>
      <c r="BN11" s="36" t="n">
        <v>-0.0407238871232552</v>
      </c>
      <c r="BO11" s="36" t="n">
        <v>0.0427242251919683</v>
      </c>
      <c r="BP11" s="37" t="n">
        <f aca="false">IF(BO11&gt;0,BN11/BO11,"")</f>
        <v>-0.953180237681896</v>
      </c>
      <c r="BQ11" s="37" t="n">
        <f aca="false">IF(BO11&gt;0,TDIST(ABS(BP11),MIN(BN25,BN26)-1,2),"")</f>
        <v>0.353856330313325</v>
      </c>
      <c r="BR11" s="36" t="n">
        <v>0.0163745125794065</v>
      </c>
      <c r="BS11" s="36" t="n">
        <v>0.0645604084432187</v>
      </c>
      <c r="BT11" s="37" t="n">
        <f aca="false">IF(BS11&gt;0,BR11/BS11,"")</f>
        <v>0.253630870284967</v>
      </c>
      <c r="BU11" s="37" t="n">
        <f aca="false">IF(BS11&gt;0,TDIST(ABS(BT11),MIN(BR25,BR26)-1,2),"")</f>
        <v>0.802822728472928</v>
      </c>
    </row>
    <row r="12" customFormat="false" ht="15" hidden="false" customHeight="true" outlineLevel="0" collapsed="false">
      <c r="A12" s="18" t="s">
        <v>17</v>
      </c>
      <c r="B12" s="36" t="n">
        <v>0.0434660926683232</v>
      </c>
      <c r="C12" s="36" t="n">
        <v>0.114815982630813</v>
      </c>
      <c r="D12" s="37" t="n">
        <f aca="false">IF(C12&gt;0,B12/C12,"")</f>
        <v>0.37857179525334</v>
      </c>
      <c r="E12" s="37" t="n">
        <f aca="false">IF(C12&gt;0,TDIST(ABS(D12),MIN(B25,B26)-1,2),"")</f>
        <v>0.709692040059329</v>
      </c>
      <c r="F12" s="36" t="n">
        <v>0.0473862478063623</v>
      </c>
      <c r="G12" s="36" t="n">
        <v>0.102298331690983</v>
      </c>
      <c r="H12" s="37" t="n">
        <f aca="false">IF(G12&gt;0,F12/G12,"")</f>
        <v>0.463216232592179</v>
      </c>
      <c r="I12" s="37" t="n">
        <f aca="false">IF(G12&gt;0,TDIST(ABS(H12),MIN(F25,F26)-1,2),"")</f>
        <v>0.649084374261575</v>
      </c>
      <c r="J12" s="36" t="n">
        <v>-0.678572810157923</v>
      </c>
      <c r="K12" s="36" t="n">
        <v>0.280406965132517</v>
      </c>
      <c r="L12" s="37" t="n">
        <f aca="false">IF(K12&gt;0,J12/K12,"")</f>
        <v>-2.41995704292594</v>
      </c>
      <c r="M12" s="37" t="n">
        <f aca="false">IF(K12&gt;0,TDIST(ABS(L12),MIN(J25,J26)-1,2),"")</f>
        <v>0.0270123652786952</v>
      </c>
      <c r="N12" s="36" t="n">
        <v>-0.648093984729751</v>
      </c>
      <c r="O12" s="36" t="n">
        <v>0.322610724830539</v>
      </c>
      <c r="P12" s="37" t="n">
        <f aca="false">IF(O12&gt;0,N12/O12,"")</f>
        <v>-2.00890402843917</v>
      </c>
      <c r="Q12" s="37" t="n">
        <f aca="false">IF(O12&gt;0,TDIST(ABS(P12),MIN(N25,N26)-1,2),"")</f>
        <v>0.060701324472915</v>
      </c>
      <c r="R12" s="36" t="n">
        <v>-1.56607046895108</v>
      </c>
      <c r="S12" s="36" t="n">
        <v>0.456928398626153</v>
      </c>
      <c r="T12" s="37" t="n">
        <f aca="false">IF(S12&gt;0,R12/S12,"")</f>
        <v>-3.42738703407314</v>
      </c>
      <c r="U12" s="37" t="n">
        <f aca="false">IF(S12&gt;0,TDIST(ABS(T12),MIN(R25,R26)-1,2),"")</f>
        <v>0.00321160969383596</v>
      </c>
      <c r="V12" s="36" t="n">
        <v>-2.1007682371899</v>
      </c>
      <c r="W12" s="36" t="n">
        <v>0.582142930483711</v>
      </c>
      <c r="X12" s="37" t="n">
        <f aca="false">IF(W12&gt;0,V12/W12,"")</f>
        <v>-3.60868117979951</v>
      </c>
      <c r="Y12" s="37" t="n">
        <f aca="false">IF(W12&gt;0,TDIST(ABS(X12),MIN(V25,V26)-1,2),"")</f>
        <v>0.00216767288666459</v>
      </c>
      <c r="Z12" s="36" t="n">
        <v>-0.650100439346698</v>
      </c>
      <c r="AA12" s="36" t="n">
        <v>0.291014706426798</v>
      </c>
      <c r="AB12" s="37" t="n">
        <f aca="false">IF(AA12&gt;0,Z12/AA12,"")</f>
        <v>-2.23390923204159</v>
      </c>
      <c r="AC12" s="37" t="n">
        <f aca="false">IF(AA12&gt;0,TDIST(ABS(AB12),MIN(Z25,Z26)-1,2),"")</f>
        <v>0.0392124571343685</v>
      </c>
      <c r="AD12" s="36" t="n">
        <v>-0.462726932738545</v>
      </c>
      <c r="AE12" s="36" t="n">
        <v>0.353385093641336</v>
      </c>
      <c r="AF12" s="37" t="n">
        <f aca="false">IF(AE12&gt;0,AD12/AE12,"")</f>
        <v>-1.3094127088682</v>
      </c>
      <c r="AG12" s="37" t="n">
        <f aca="false">IF(AE12&gt;0,TDIST(ABS(AF12),MIN(AD25,AD26)-1,2),"")</f>
        <v>0.20781660345457</v>
      </c>
      <c r="AH12" s="36" t="n">
        <v>-1.21487182985041</v>
      </c>
      <c r="AI12" s="36" t="n">
        <v>0.753490954435795</v>
      </c>
      <c r="AJ12" s="37" t="n">
        <f aca="false">IF(AI12&gt;0,AH12/AI12,"")</f>
        <v>-1.6123243719098</v>
      </c>
      <c r="AK12" s="37" t="n">
        <f aca="false">IF(AI12&gt;0,TDIST(ABS(AJ12),MIN(AH25,AH26)-1,2),"")</f>
        <v>0.125299889602226</v>
      </c>
      <c r="AL12" s="36" t="n">
        <v>-1.23605114970036</v>
      </c>
      <c r="AM12" s="36" t="n">
        <v>0.783025707198574</v>
      </c>
      <c r="AN12" s="37" t="n">
        <f aca="false">IF(AM12&gt;0,AL12/AM12,"")</f>
        <v>-1.57855755990767</v>
      </c>
      <c r="AO12" s="37" t="n">
        <f aca="false">IF(AM12&gt;0,TDIST(ABS(AN12),MIN(AL25,AL26)-1,2),"")</f>
        <v>0.132863174261994</v>
      </c>
      <c r="AP12" s="36" t="n">
        <v>-2.40948618435719</v>
      </c>
      <c r="AQ12" s="36" t="n">
        <v>0.88328824061634</v>
      </c>
      <c r="AR12" s="37" t="n">
        <f aca="false">IF(AQ12&gt;0,AP12/AQ12,"")</f>
        <v>-2.72785946145496</v>
      </c>
      <c r="AS12" s="37" t="n">
        <f aca="false">IF(AQ12&gt;0,TDIST(ABS(AR12),MIN(AP25,AP26)-1,2),"")</f>
        <v>0.0143167033227386</v>
      </c>
      <c r="AT12" s="36" t="n">
        <v>-4.03517632327888</v>
      </c>
      <c r="AU12" s="36" t="n">
        <v>1.76402432018463</v>
      </c>
      <c r="AV12" s="37" t="n">
        <f aca="false">IF(AU12&gt;0,AT12/AU12,"")</f>
        <v>-2.28748338506838</v>
      </c>
      <c r="AW12" s="37" t="n">
        <f aca="false">IF(AU12&gt;0,TDIST(ABS(AV12),MIN(AT25,AT26)-1,2),"")</f>
        <v>0.0352562872863636</v>
      </c>
      <c r="AX12" s="36" t="n">
        <v>-0.0896874060282553</v>
      </c>
      <c r="AY12" s="36" t="n">
        <v>0.068177881007746</v>
      </c>
      <c r="AZ12" s="37" t="n">
        <f aca="false">IF(AY12&gt;0,AX12/AY12,"")</f>
        <v>-1.31549125174579</v>
      </c>
      <c r="BA12" s="37" t="n">
        <f aca="false">IF(AY12&gt;0,TDIST(ABS(AZ12),MIN(AX25,AX26)-1,2),"")</f>
        <v>0.20581159363145</v>
      </c>
      <c r="BB12" s="36" t="n">
        <v>-0.0475235545462806</v>
      </c>
      <c r="BC12" s="36" t="n">
        <v>0.0575471491154125</v>
      </c>
      <c r="BD12" s="37" t="n">
        <f aca="false">IF(BC12&gt;0,BB12/BC12,"")</f>
        <v>-0.825819441567309</v>
      </c>
      <c r="BE12" s="37" t="n">
        <f aca="false">IF(BC12&gt;0,TDIST(ABS(BD12),MIN(BB25,BB26)-1,2),"")</f>
        <v>0.420345480156576</v>
      </c>
      <c r="BF12" s="36" t="n">
        <v>-0.0791768022884559</v>
      </c>
      <c r="BG12" s="36" t="n">
        <v>0.0613264847924885</v>
      </c>
      <c r="BH12" s="37" t="n">
        <f aca="false">IF(BG12&gt;0,BF12/BG12,"")</f>
        <v>-1.29107028645728</v>
      </c>
      <c r="BI12" s="37" t="n">
        <f aca="false">IF(BG12&gt;0,TDIST(ABS(BH12),MIN(BF25,BF26)-1,2),"")</f>
        <v>0.213960497796619</v>
      </c>
      <c r="BJ12" s="36" t="n">
        <v>-0.0518266354886551</v>
      </c>
      <c r="BK12" s="36" t="n">
        <v>0.0270149475498933</v>
      </c>
      <c r="BL12" s="37" t="n">
        <f aca="false">IF(BK12&gt;0,BJ12/BK12,"")</f>
        <v>-1.91844294322385</v>
      </c>
      <c r="BM12" s="37" t="n">
        <f aca="false">IF(BK12&gt;0,TDIST(ABS(BL12),MIN(BJ25,BJ26)-1,2),"")</f>
        <v>0.0720076640796991</v>
      </c>
      <c r="BN12" s="36" t="n">
        <v>-0.055609325371576</v>
      </c>
      <c r="BO12" s="36" t="n">
        <v>0.0432695186025811</v>
      </c>
      <c r="BP12" s="37" t="n">
        <f aca="false">IF(BO12&gt;0,BN12/BO12,"")</f>
        <v>-1.28518474823658</v>
      </c>
      <c r="BQ12" s="37" t="n">
        <f aca="false">IF(BO12&gt;0,TDIST(ABS(BP12),MIN(BN25,BN26)-1,2),"")</f>
        <v>0.215961887350428</v>
      </c>
      <c r="BR12" s="36" t="n">
        <v>-0.00321023487277235</v>
      </c>
      <c r="BS12" s="36" t="n">
        <v>0.0660511657514977</v>
      </c>
      <c r="BT12" s="37" t="n">
        <f aca="false">IF(BS12&gt;0,BR12/BS12,"")</f>
        <v>-0.0486022439762853</v>
      </c>
      <c r="BU12" s="37" t="n">
        <f aca="false">IF(BS12&gt;0,TDIST(ABS(BT12),MIN(BR25,BR26)-1,2),"")</f>
        <v>0.961802726254375</v>
      </c>
    </row>
    <row r="13" customFormat="false" ht="15" hidden="false" customHeight="true" outlineLevel="0" collapsed="false">
      <c r="A13" s="18" t="s">
        <v>18</v>
      </c>
      <c r="B13" s="36" t="n">
        <v>0.100577049819823</v>
      </c>
      <c r="C13" s="36" t="n">
        <v>0.130679498789811</v>
      </c>
      <c r="D13" s="37" t="n">
        <f aca="false">IF(C13&gt;0,B13/C13,"")</f>
        <v>0.769646736873351</v>
      </c>
      <c r="E13" s="37" t="n">
        <f aca="false">IF(C13&gt;0,TDIST(ABS(D13),MIN(B25,B26)-1,2),"")</f>
        <v>0.452071956925027</v>
      </c>
      <c r="F13" s="36" t="n">
        <v>0.136852072237567</v>
      </c>
      <c r="G13" s="36" t="n">
        <v>0.0842298758662448</v>
      </c>
      <c r="H13" s="37" t="n">
        <f aca="false">IF(G13&gt;0,F13/G13,"")</f>
        <v>1.6247450305505</v>
      </c>
      <c r="I13" s="37" t="n">
        <f aca="false">IF(G13&gt;0,TDIST(ABS(H13),MIN(F25,F26)-1,2),"")</f>
        <v>0.122611303000838</v>
      </c>
      <c r="J13" s="36" t="n">
        <v>-0.251503634374293</v>
      </c>
      <c r="K13" s="36" t="n">
        <v>0.796213287972009</v>
      </c>
      <c r="L13" s="37" t="n">
        <f aca="false">IF(K13&gt;0,J13/K13,"")</f>
        <v>-0.315874701130503</v>
      </c>
      <c r="M13" s="37" t="n">
        <f aca="false">IF(K13&gt;0,TDIST(ABS(L13),MIN(J25,J26)-1,2),"")</f>
        <v>0.75594269620804</v>
      </c>
      <c r="N13" s="36" t="n">
        <v>-0.310507782408379</v>
      </c>
      <c r="O13" s="36" t="n">
        <v>1.03084425967422</v>
      </c>
      <c r="P13" s="37" t="n">
        <f aca="false">IF(O13&gt;0,N13/O13,"")</f>
        <v>-0.301216968028235</v>
      </c>
      <c r="Q13" s="37" t="n">
        <f aca="false">IF(O13&gt;0,TDIST(ABS(P13),MIN(N25,N26)-1,2),"")</f>
        <v>0.76690224600017</v>
      </c>
      <c r="R13" s="36" t="n">
        <v>-1.69727229760933</v>
      </c>
      <c r="S13" s="36" t="n">
        <v>0.940292136063559</v>
      </c>
      <c r="T13" s="37" t="n">
        <f aca="false">IF(S13&gt;0,R13/S13,"")</f>
        <v>-1.80504784897468</v>
      </c>
      <c r="U13" s="37" t="n">
        <f aca="false">IF(S13&gt;0,TDIST(ABS(T13),MIN(R25,R26)-1,2),"")</f>
        <v>0.0888098066564066</v>
      </c>
      <c r="V13" s="36" t="n">
        <v>-2.53801667839661</v>
      </c>
      <c r="W13" s="36" t="n">
        <v>0.925783811550685</v>
      </c>
      <c r="X13" s="37" t="n">
        <f aca="false">IF(W13&gt;0,V13/W13,"")</f>
        <v>-2.74147878449661</v>
      </c>
      <c r="Y13" s="37" t="n">
        <f aca="false">IF(W13&gt;0,TDIST(ABS(X13),MIN(V25,V26)-1,2),"")</f>
        <v>0.0139142497402406</v>
      </c>
      <c r="AX13" s="36" t="n">
        <v>-0.0922685273839358</v>
      </c>
      <c r="AY13" s="36" t="n">
        <v>0.0707607293832224</v>
      </c>
      <c r="AZ13" s="37" t="n">
        <f aca="false">IF(AY13&gt;0,AX13/AY13,"")</f>
        <v>-1.30395105008362</v>
      </c>
      <c r="BA13" s="37" t="n">
        <f aca="false">IF(AY13&gt;0,TDIST(ABS(AZ13),MIN(AX25,AX26)-1,2),"")</f>
        <v>0.209631273942402</v>
      </c>
      <c r="BB13" s="36" t="n">
        <v>-0.0654899451319295</v>
      </c>
      <c r="BC13" s="36" t="n">
        <v>0.0622066247775856</v>
      </c>
      <c r="BD13" s="37" t="n">
        <f aca="false">IF(BC13&gt;0,BB13/BC13,"")</f>
        <v>-1.05278087930479</v>
      </c>
      <c r="BE13" s="37" t="n">
        <f aca="false">IF(BC13&gt;0,TDIST(ABS(BD13),MIN(BB25,BB26)-1,2),"")</f>
        <v>0.307176231176093</v>
      </c>
      <c r="BF13" s="36" t="n">
        <v>-0.081524835490868</v>
      </c>
      <c r="BG13" s="36" t="n">
        <v>0.0619046425906248</v>
      </c>
      <c r="BH13" s="37" t="n">
        <f aca="false">IF(BG13&gt;0,BF13/BG13,"")</f>
        <v>-1.31694218848805</v>
      </c>
      <c r="BI13" s="37" t="n">
        <f aca="false">IF(BG13&gt;0,TDIST(ABS(BH13),MIN(BF25,BF26)-1,2),"")</f>
        <v>0.20533527285812</v>
      </c>
      <c r="BJ13" s="36" t="n">
        <v>-0.0893361981960388</v>
      </c>
      <c r="BK13" s="36" t="n">
        <v>0.0476728709708369</v>
      </c>
      <c r="BL13" s="37" t="n">
        <f aca="false">IF(BK13&gt;0,BJ13/BK13,"")</f>
        <v>-1.87394206341566</v>
      </c>
      <c r="BM13" s="37" t="n">
        <f aca="false">IF(BK13&gt;0,TDIST(ABS(BL13),MIN(BJ25,BJ26)-1,2),"")</f>
        <v>0.0782318731089329</v>
      </c>
      <c r="BN13" s="36" t="n">
        <v>-0.104555727569734</v>
      </c>
      <c r="BO13" s="36" t="n">
        <v>0.0685255719584053</v>
      </c>
      <c r="BP13" s="37" t="n">
        <f aca="false">IF(BO13&gt;0,BN13/BO13,"")</f>
        <v>-1.52579138826012</v>
      </c>
      <c r="BQ13" s="37" t="n">
        <f aca="false">IF(BO13&gt;0,TDIST(ABS(BP13),MIN(BN25,BN26)-1,2),"")</f>
        <v>0.145450813390943</v>
      </c>
      <c r="BR13" s="36" t="n">
        <v>0.00492407280881146</v>
      </c>
      <c r="BS13" s="36" t="n">
        <v>0.0981449110450327</v>
      </c>
      <c r="BT13" s="37" t="n">
        <f aca="false">IF(BS13&gt;0,BR13/BS13,"")</f>
        <v>0.0501714531745014</v>
      </c>
      <c r="BU13" s="37" t="n">
        <f aca="false">IF(BS13&gt;0,TDIST(ABS(BT13),MIN(BR25,BR26)-1,2),"")</f>
        <v>0.960570537916664</v>
      </c>
    </row>
    <row r="14" customFormat="false" ht="15" hidden="false" customHeight="true" outlineLevel="0" collapsed="false">
      <c r="A14" s="18" t="s">
        <v>19</v>
      </c>
      <c r="B14" s="36" t="n">
        <v>-0.136168838016882</v>
      </c>
      <c r="C14" s="36" t="n">
        <v>0.145738788235253</v>
      </c>
      <c r="D14" s="37" t="n">
        <f aca="false">IF(C14&gt;0,B14/C14,"")</f>
        <v>-0.934334912933933</v>
      </c>
      <c r="E14" s="37" t="n">
        <f aca="false">IF(C14&gt;0,TDIST(ABS(D14),MIN(B25,B26)-1,2),"")</f>
        <v>0.363213826611202</v>
      </c>
      <c r="F14" s="36" t="n">
        <v>-0.0209502515864793</v>
      </c>
      <c r="G14" s="36" t="n">
        <v>0.107154036654747</v>
      </c>
      <c r="H14" s="37" t="n">
        <f aca="false">IF(G14&gt;0,F14/G14,"")</f>
        <v>-0.19551528099666</v>
      </c>
      <c r="I14" s="37" t="n">
        <f aca="false">IF(G14&gt;0,TDIST(ABS(H14),MIN(F25,F26)-1,2),"")</f>
        <v>0.847307417353024</v>
      </c>
      <c r="J14" s="36" t="n">
        <v>-0.683830340917965</v>
      </c>
      <c r="K14" s="36" t="n">
        <v>0.314605502615028</v>
      </c>
      <c r="L14" s="37" t="n">
        <f aca="false">IF(K14&gt;0,J14/K14,"")</f>
        <v>-2.17361214356999</v>
      </c>
      <c r="M14" s="37" t="n">
        <f aca="false">IF(K14&gt;0,TDIST(ABS(L14),MIN(J25,J26)-1,2),"")</f>
        <v>0.0441537859062932</v>
      </c>
      <c r="N14" s="36" t="n">
        <v>-0.70150989935677</v>
      </c>
      <c r="O14" s="36" t="n">
        <v>0.398047459736818</v>
      </c>
      <c r="P14" s="37" t="n">
        <f aca="false">IF(O14&gt;0,N14/O14,"")</f>
        <v>-1.76237753111299</v>
      </c>
      <c r="Q14" s="37" t="n">
        <f aca="false">IF(O14&gt;0,TDIST(ABS(P14),MIN(N25,N26)-1,2),"")</f>
        <v>0.0959742117304466</v>
      </c>
      <c r="R14" s="36" t="n">
        <v>-1.47171445634139</v>
      </c>
      <c r="S14" s="36" t="n">
        <v>0.410745950344835</v>
      </c>
      <c r="T14" s="37" t="n">
        <f aca="false">IF(S14&gt;0,R14/S14,"")</f>
        <v>-3.58302852433685</v>
      </c>
      <c r="U14" s="37" t="n">
        <f aca="false">IF(S14&gt;0,TDIST(ABS(T14),MIN(R25,R26)-1,2),"")</f>
        <v>0.00229178136511029</v>
      </c>
      <c r="V14" s="36" t="n">
        <v>-1.74404517108648</v>
      </c>
      <c r="W14" s="36" t="n">
        <v>0.446454524863164</v>
      </c>
      <c r="X14" s="37" t="n">
        <f aca="false">IF(W14&gt;0,V14/W14,"")</f>
        <v>-3.90643407997941</v>
      </c>
      <c r="Y14" s="37" t="n">
        <f aca="false">IF(W14&gt;0,TDIST(ABS(X14),MIN(V25,V26)-1,2),"")</f>
        <v>0.00113573161086108</v>
      </c>
      <c r="Z14" s="36" t="n">
        <v>-0.558989428231511</v>
      </c>
      <c r="AA14" s="36" t="n">
        <v>0.350126125014967</v>
      </c>
      <c r="AB14" s="37" t="n">
        <f aca="false">IF(AA14&gt;0,Z14/AA14,"")</f>
        <v>-1.59653732839164</v>
      </c>
      <c r="AC14" s="37" t="n">
        <f aca="false">IF(AA14&gt;0,TDIST(ABS(AB14),MIN(Z25,Z26)-1,2),"")</f>
        <v>0.128789275820024</v>
      </c>
      <c r="AD14" s="36" t="n">
        <v>-0.387022146300389</v>
      </c>
      <c r="AE14" s="36" t="n">
        <v>0.404229525873057</v>
      </c>
      <c r="AF14" s="37" t="n">
        <f aca="false">IF(AE14&gt;0,AD14/AE14,"")</f>
        <v>-0.957431660798396</v>
      </c>
      <c r="AG14" s="37" t="n">
        <f aca="false">IF(AE14&gt;0,TDIST(ABS(AF14),MIN(AD25,AD26)-1,2),"")</f>
        <v>0.351768467499138</v>
      </c>
      <c r="AH14" s="36" t="n">
        <v>-0.986055684293275</v>
      </c>
      <c r="AI14" s="36" t="n">
        <v>0.87588754481842</v>
      </c>
      <c r="AJ14" s="37" t="n">
        <f aca="false">IF(AI14&gt;0,AH14/AI14,"")</f>
        <v>-1.12577886296773</v>
      </c>
      <c r="AK14" s="37" t="n">
        <f aca="false">IF(AI14&gt;0,TDIST(ABS(AJ14),MIN(AH25,AH26)-1,2),"")</f>
        <v>0.275901862992308</v>
      </c>
      <c r="AL14" s="36" t="n">
        <v>-0.981070521350002</v>
      </c>
      <c r="AM14" s="36" t="n">
        <v>0.960382700381162</v>
      </c>
      <c r="AN14" s="37" t="n">
        <f aca="false">IF(AM14&gt;0,AL14/AM14,"")</f>
        <v>-1.02154122618059</v>
      </c>
      <c r="AO14" s="37" t="n">
        <f aca="false">IF(AM14&gt;0,TDIST(ABS(AN14),MIN(AL25,AL26)-1,2),"")</f>
        <v>0.321316253766957</v>
      </c>
      <c r="AP14" s="36" t="n">
        <v>-0.76941709240793</v>
      </c>
      <c r="AQ14" s="36" t="n">
        <v>0.850449578841373</v>
      </c>
      <c r="AR14" s="37" t="n">
        <f aca="false">IF(AQ14&gt;0,AP14/AQ14,"")</f>
        <v>-0.904718059189542</v>
      </c>
      <c r="AS14" s="37" t="n">
        <f aca="false">IF(AQ14&gt;0,TDIST(ABS(AR14),MIN(AP25,AP26)-1,2),"")</f>
        <v>0.378258078331378</v>
      </c>
      <c r="AT14" s="36" t="n">
        <v>-0.796676558907366</v>
      </c>
      <c r="AU14" s="36" t="n">
        <v>1.44128577760208</v>
      </c>
      <c r="AV14" s="37" t="n">
        <f aca="false">IF(AU14&gt;0,AT14/AU14,"")</f>
        <v>-0.552754055641086</v>
      </c>
      <c r="AW14" s="37" t="n">
        <f aca="false">IF(AU14&gt;0,TDIST(ABS(AV14),MIN(AT25,AT26)-1,2),"")</f>
        <v>0.58762720433779</v>
      </c>
      <c r="AX14" s="36" t="n">
        <v>-0.0992057508123257</v>
      </c>
      <c r="AY14" s="36" t="n">
        <v>0.0721424643228932</v>
      </c>
      <c r="AZ14" s="37" t="n">
        <f aca="false">IF(AY14&gt;0,AX14/AY14,"")</f>
        <v>-1.37513670684028</v>
      </c>
      <c r="BA14" s="37" t="n">
        <f aca="false">IF(AY14&gt;0,TDIST(ABS(AZ14),MIN(AX25,AX26)-1,2),"")</f>
        <v>0.186942130709784</v>
      </c>
      <c r="BB14" s="36" t="n">
        <v>-0.0496020122862108</v>
      </c>
      <c r="BC14" s="36" t="n">
        <v>0.0638527767423916</v>
      </c>
      <c r="BD14" s="37" t="n">
        <f aca="false">IF(BC14&gt;0,BB14/BC14,"")</f>
        <v>-0.776818406603142</v>
      </c>
      <c r="BE14" s="37" t="n">
        <f aca="false">IF(BC14&gt;0,TDIST(ABS(BD14),MIN(BB25,BB26)-1,2),"")</f>
        <v>0.447940794838828</v>
      </c>
      <c r="BF14" s="36" t="n">
        <v>-0.0801613466877652</v>
      </c>
      <c r="BG14" s="36" t="n">
        <v>0.0634758809383462</v>
      </c>
      <c r="BH14" s="37" t="n">
        <f aca="false">IF(BG14&gt;0,BF14/BG14,"")</f>
        <v>-1.26286308283969</v>
      </c>
      <c r="BI14" s="37" t="n">
        <f aca="false">IF(BG14&gt;0,TDIST(ABS(BH14),MIN(BF25,BF26)-1,2),"")</f>
        <v>0.223686111673776</v>
      </c>
      <c r="BJ14" s="36" t="n">
        <v>-0.0964298453930066</v>
      </c>
      <c r="BK14" s="36" t="n">
        <v>0.0321044458153874</v>
      </c>
      <c r="BL14" s="37" t="n">
        <f aca="false">IF(BK14&gt;0,BJ14/BK14,"")</f>
        <v>-3.00362902843782</v>
      </c>
      <c r="BM14" s="37" t="n">
        <f aca="false">IF(BK14&gt;0,TDIST(ABS(BL14),MIN(BJ25,BJ26)-1,2),"")</f>
        <v>0.00799261108967864</v>
      </c>
      <c r="BN14" s="36" t="n">
        <v>-0.103080487273635</v>
      </c>
      <c r="BO14" s="36" t="n">
        <v>0.0654635900021921</v>
      </c>
      <c r="BP14" s="37" t="n">
        <f aca="false">IF(BO14&gt;0,BN14/BO14,"")</f>
        <v>-1.57462319543098</v>
      </c>
      <c r="BQ14" s="37" t="n">
        <f aca="false">IF(BO14&gt;0,TDIST(ABS(BP14),MIN(BN25,BN26)-1,2),"")</f>
        <v>0.133768991989954</v>
      </c>
      <c r="BR14" s="36" t="n">
        <v>-0.0543812327822115</v>
      </c>
      <c r="BS14" s="36" t="n">
        <v>0.0749851735261941</v>
      </c>
      <c r="BT14" s="37" t="n">
        <f aca="false">IF(BS14&gt;0,BR14/BS14,"")</f>
        <v>-0.725226471113184</v>
      </c>
      <c r="BU14" s="37" t="n">
        <f aca="false">IF(BS14&gt;0,TDIST(ABS(BT14),MIN(BR25,BR26)-1,2),"")</f>
        <v>0.478178088689925</v>
      </c>
    </row>
    <row r="15" customFormat="false" ht="15" hidden="false" customHeight="true" outlineLevel="0" collapsed="false">
      <c r="A15" s="18" t="s">
        <v>20</v>
      </c>
      <c r="B15" s="36" t="n">
        <v>0.0798439673637778</v>
      </c>
      <c r="C15" s="36" t="n">
        <v>0.127165042890211</v>
      </c>
      <c r="D15" s="37" t="n">
        <f aca="false">IF(C15&gt;0,B15/C15,"")</f>
        <v>0.627876699044656</v>
      </c>
      <c r="E15" s="37" t="n">
        <f aca="false">IF(C15&gt;0,TDIST(ABS(D15),MIN(B25,B26)-1,2),"")</f>
        <v>0.538428497312277</v>
      </c>
      <c r="F15" s="36" t="n">
        <v>0.126211339372512</v>
      </c>
      <c r="G15" s="36" t="n">
        <v>0.150079561922918</v>
      </c>
      <c r="H15" s="37" t="n">
        <f aca="false">IF(G15&gt;0,F15/G15,"")</f>
        <v>0.840962871662266</v>
      </c>
      <c r="I15" s="37" t="n">
        <f aca="false">IF(G15&gt;0,TDIST(ABS(H15),MIN(F25,F26)-1,2),"")</f>
        <v>0.412041868786131</v>
      </c>
      <c r="J15" s="36" t="n">
        <v>-0.518458994896313</v>
      </c>
      <c r="K15" s="36" t="n">
        <v>0.339765104381991</v>
      </c>
      <c r="L15" s="37" t="n">
        <f aca="false">IF(K15&gt;0,J15/K15,"")</f>
        <v>-1.52593361769554</v>
      </c>
      <c r="M15" s="37" t="n">
        <f aca="false">IF(K15&gt;0,TDIST(ABS(L15),MIN(J25,J26)-1,2),"")</f>
        <v>0.145415588251077</v>
      </c>
      <c r="N15" s="36" t="n">
        <v>-0.504063420983974</v>
      </c>
      <c r="O15" s="36" t="n">
        <v>0.414805615925117</v>
      </c>
      <c r="P15" s="37" t="n">
        <f aca="false">IF(O15&gt;0,N15/O15,"")</f>
        <v>-1.21517983757233</v>
      </c>
      <c r="Q15" s="37" t="n">
        <f aca="false">IF(O15&gt;0,TDIST(ABS(P15),MIN(N25,N26)-1,2),"")</f>
        <v>0.240905563618707</v>
      </c>
      <c r="R15" s="36" t="n">
        <v>-1.42516690192115</v>
      </c>
      <c r="S15" s="36" t="n">
        <v>0.478161799964042</v>
      </c>
      <c r="T15" s="37" t="n">
        <f aca="false">IF(S15&gt;0,R15/S15,"")</f>
        <v>-2.98051183099178</v>
      </c>
      <c r="U15" s="37" t="n">
        <f aca="false">IF(S15&gt;0,TDIST(ABS(T15),MIN(R25,R26)-1,2),"")</f>
        <v>0.00839622068166185</v>
      </c>
      <c r="V15" s="36" t="n">
        <v>-2.20552358038294</v>
      </c>
      <c r="W15" s="36" t="n">
        <v>0.608338700019464</v>
      </c>
      <c r="X15" s="37" t="n">
        <f aca="false">IF(W15&gt;0,V15/W15,"")</f>
        <v>-3.62548623047058</v>
      </c>
      <c r="Y15" s="37" t="n">
        <f aca="false">IF(W15&gt;0,TDIST(ABS(X15),MIN(V25,V26)-1,2),"")</f>
        <v>0.00209002455269705</v>
      </c>
      <c r="Z15" s="36" t="n">
        <v>-0.509665779370266</v>
      </c>
      <c r="AA15" s="36" t="n">
        <v>0.345317944094968</v>
      </c>
      <c r="AB15" s="37" t="n">
        <f aca="false">IF(AA15&gt;0,Z15/AA15,"")</f>
        <v>-1.47593192906911</v>
      </c>
      <c r="AC15" s="37" t="n">
        <f aca="false">IF(AA15&gt;0,TDIST(ABS(AB15),MIN(Z25,Z26)-1,2),"")</f>
        <v>0.158244616406218</v>
      </c>
      <c r="AD15" s="36" t="n">
        <v>-0.344092613536143</v>
      </c>
      <c r="AE15" s="36" t="n">
        <v>0.420179276302322</v>
      </c>
      <c r="AF15" s="37" t="n">
        <f aca="false">IF(AE15&gt;0,AD15/AE15,"")</f>
        <v>-0.818918573434274</v>
      </c>
      <c r="AG15" s="37" t="n">
        <f aca="false">IF(AE15&gt;0,TDIST(ABS(AF15),MIN(AD25,AD26)-1,2),"")</f>
        <v>0.424164752474203</v>
      </c>
      <c r="AH15" s="36" t="n">
        <v>-0.828956121881706</v>
      </c>
      <c r="AI15" s="36" t="n">
        <v>0.723908249860077</v>
      </c>
      <c r="AJ15" s="37" t="n">
        <f aca="false">IF(AI15&gt;0,AH15/AI15,"")</f>
        <v>-1.14511213547011</v>
      </c>
      <c r="AK15" s="37" t="n">
        <f aca="false">IF(AI15&gt;0,TDIST(ABS(AJ15),MIN(AH25,AH26)-1,2),"")</f>
        <v>0.268028772195829</v>
      </c>
      <c r="AL15" s="36" t="n">
        <v>-0.561409498330365</v>
      </c>
      <c r="AM15" s="36" t="n">
        <v>0.859347378229234</v>
      </c>
      <c r="AN15" s="37" t="n">
        <f aca="false">IF(AM15&gt;0,AL15/AM15,"")</f>
        <v>-0.653297505238454</v>
      </c>
      <c r="AO15" s="37" t="n">
        <f aca="false">IF(AM15&gt;0,TDIST(ABS(AN15),MIN(AL25,AL26)-1,2),"")</f>
        <v>0.522303028902985</v>
      </c>
      <c r="AP15" s="36" t="n">
        <v>-1.00733552348125</v>
      </c>
      <c r="AQ15" s="36" t="n">
        <v>0.876902510852782</v>
      </c>
      <c r="AR15" s="37" t="n">
        <f aca="false">IF(AQ15&gt;0,AP15/AQ15,"")</f>
        <v>-1.1487428887638</v>
      </c>
      <c r="AS15" s="37" t="n">
        <f aca="false">IF(AQ15&gt;0,TDIST(ABS(AR15),MIN(AP25,AP26)-1,2),"")</f>
        <v>0.266569160303081</v>
      </c>
      <c r="AT15" s="36" t="n">
        <v>-1.35708253331435</v>
      </c>
      <c r="AU15" s="36" t="n">
        <v>1.51794831922066</v>
      </c>
      <c r="AV15" s="37" t="n">
        <f aca="false">IF(AU15&gt;0,AT15/AU15,"")</f>
        <v>-0.894024201042035</v>
      </c>
      <c r="AW15" s="37" t="n">
        <f aca="false">IF(AU15&gt;0,TDIST(ABS(AV15),MIN(AT25,AT26)-1,2),"")</f>
        <v>0.383791638507781</v>
      </c>
      <c r="AX15" s="36" t="n">
        <v>-0.0683630261095593</v>
      </c>
      <c r="AY15" s="36" t="n">
        <v>0.070270164325454</v>
      </c>
      <c r="AZ15" s="37" t="n">
        <f aca="false">IF(AY15&gt;0,AX15/AY15,"")</f>
        <v>-0.972859915239961</v>
      </c>
      <c r="BA15" s="37" t="n">
        <f aca="false">IF(AY15&gt;0,TDIST(ABS(AZ15),MIN(AX25,AX26)-1,2),"")</f>
        <v>0.344263249330931</v>
      </c>
      <c r="BB15" s="36" t="n">
        <v>-0.0289371568691009</v>
      </c>
      <c r="BC15" s="36" t="n">
        <v>0.0624594443200964</v>
      </c>
      <c r="BD15" s="37" t="n">
        <f aca="false">IF(BC15&gt;0,BB15/BC15,"")</f>
        <v>-0.463295137894628</v>
      </c>
      <c r="BE15" s="37" t="n">
        <f aca="false">IF(BC15&gt;0,TDIST(ABS(BD15),MIN(BB25,BB26)-1,2),"")</f>
        <v>0.649028958949825</v>
      </c>
      <c r="BF15" s="36" t="n">
        <v>-0.085581835336394</v>
      </c>
      <c r="BG15" s="36" t="n">
        <v>0.0597646364079533</v>
      </c>
      <c r="BH15" s="37" t="n">
        <f aca="false">IF(BG15&gt;0,BF15/BG15,"")</f>
        <v>-1.43198119289495</v>
      </c>
      <c r="BI15" s="37" t="n">
        <f aca="false">IF(BG15&gt;0,TDIST(ABS(BH15),MIN(BF25,BF26)-1,2),"")</f>
        <v>0.170279482338393</v>
      </c>
      <c r="BJ15" s="36" t="n">
        <v>-0.0661988507060821</v>
      </c>
      <c r="BK15" s="36" t="n">
        <v>0.0303921559238502</v>
      </c>
      <c r="BL15" s="37" t="n">
        <f aca="false">IF(BK15&gt;0,BJ15/BK15,"")</f>
        <v>-2.17815580019885</v>
      </c>
      <c r="BM15" s="37" t="n">
        <f aca="false">IF(BK15&gt;0,TDIST(ABS(BL15),MIN(BJ25,BJ26)-1,2),"")</f>
        <v>0.0437623486113681</v>
      </c>
      <c r="BN15" s="36" t="n">
        <v>-0.0623375855962938</v>
      </c>
      <c r="BO15" s="36" t="n">
        <v>0.0459423387335957</v>
      </c>
      <c r="BP15" s="37" t="n">
        <f aca="false">IF(BO15&gt;0,BN15/BO15,"")</f>
        <v>-1.35686574333468</v>
      </c>
      <c r="BQ15" s="37" t="n">
        <f aca="false">IF(BO15&gt;0,TDIST(ABS(BP15),MIN(BN25,BN26)-1,2),"")</f>
        <v>0.192568838703887</v>
      </c>
      <c r="BR15" s="36" t="n">
        <v>0.00934246397973933</v>
      </c>
      <c r="BS15" s="36" t="n">
        <v>0.0646466884886214</v>
      </c>
      <c r="BT15" s="37" t="n">
        <f aca="false">IF(BS15&gt;0,BR15/BS15,"")</f>
        <v>0.144515739292411</v>
      </c>
      <c r="BU15" s="37" t="n">
        <f aca="false">IF(BS15&gt;0,TDIST(ABS(BT15),MIN(BR25,BR26)-1,2),"")</f>
        <v>0.886792675958084</v>
      </c>
    </row>
    <row r="16" customFormat="false" ht="15" hidden="false" customHeight="true" outlineLevel="0" collapsed="false">
      <c r="A16" s="18" t="s">
        <v>21</v>
      </c>
      <c r="B16" s="36" t="n">
        <v>0.488036492962324</v>
      </c>
      <c r="C16" s="36" t="n">
        <v>0.453319112093306</v>
      </c>
      <c r="D16" s="37" t="n">
        <f aca="false">IF(C16&gt;0,B16/C16,"")</f>
        <v>1.07658486029566</v>
      </c>
      <c r="E16" s="37" t="n">
        <f aca="false">IF(C16&gt;0,TDIST(ABS(D16),MIN(B25,B26)-1,2),"")</f>
        <v>0.296707258750552</v>
      </c>
      <c r="F16" s="36" t="n">
        <v>0.475397342814665</v>
      </c>
      <c r="G16" s="36" t="n">
        <v>0.33462758506414</v>
      </c>
      <c r="H16" s="37" t="n">
        <f aca="false">IF(G16&gt;0,F16/G16,"")</f>
        <v>1.42067589174856</v>
      </c>
      <c r="I16" s="37" t="n">
        <f aca="false">IF(G16&gt;0,TDIST(ABS(H16),MIN(F25,F26)-1,2),"")</f>
        <v>0.173493339311368</v>
      </c>
      <c r="Z16" s="36" t="n">
        <v>-0.162472875466541</v>
      </c>
      <c r="AA16" s="36" t="n">
        <v>1.29320620345946</v>
      </c>
      <c r="AB16" s="37" t="n">
        <f aca="false">IF(AA16&gt;0,Z16/AA16,"")</f>
        <v>-0.125635706843896</v>
      </c>
      <c r="AC16" s="37" t="n">
        <f aca="false">IF(AA16&gt;0,TDIST(ABS(AB16),MIN(Z25,Z26)-1,2),"")</f>
        <v>0.901494132034285</v>
      </c>
      <c r="AD16" s="36" t="n">
        <v>0.256121488123213</v>
      </c>
      <c r="AE16" s="36" t="n">
        <v>0.316640954496091</v>
      </c>
      <c r="AF16" s="37" t="n">
        <f aca="false">IF(AE16&gt;0,AD16/AE16,"")</f>
        <v>0.808870376640982</v>
      </c>
      <c r="AG16" s="37" t="n">
        <f aca="false">IF(AE16&gt;0,TDIST(ABS(AF16),MIN(AD25,AD26)-1,2),"")</f>
        <v>0.429765322118475</v>
      </c>
      <c r="AX16" s="36" t="n">
        <v>0.0166292371135842</v>
      </c>
      <c r="AY16" s="36" t="n">
        <v>0.0477074126750211</v>
      </c>
      <c r="AZ16" s="37" t="n">
        <f aca="false">IF(AY16&gt;0,AX16/AY16,"")</f>
        <v>0.348567155105668</v>
      </c>
      <c r="BA16" s="37" t="n">
        <f aca="false">IF(AY16&gt;0,TDIST(ABS(AZ16),MIN(AX25,AX26)-1,2),"")</f>
        <v>0.731693778503195</v>
      </c>
      <c r="BB16" s="36" t="n">
        <v>0.0199858088197487</v>
      </c>
      <c r="BC16" s="36" t="n">
        <v>0.0501759758762601</v>
      </c>
      <c r="BD16" s="37" t="n">
        <f aca="false">IF(BC16&gt;0,BB16/BC16,"")</f>
        <v>0.398314302227745</v>
      </c>
      <c r="BE16" s="37" t="n">
        <f aca="false">IF(BC16&gt;0,TDIST(ABS(BD16),MIN(BB25,BB26)-1,2),"")</f>
        <v>0.695356500604748</v>
      </c>
    </row>
    <row r="17" customFormat="false" ht="15" hidden="false" customHeight="true" outlineLevel="0" collapsed="false">
      <c r="A17" s="18" t="s">
        <v>22</v>
      </c>
      <c r="F17" s="36" t="n">
        <v>-0.368798828987166</v>
      </c>
      <c r="G17" s="36" t="n">
        <v>0.835104297682765</v>
      </c>
      <c r="H17" s="37" t="n">
        <f aca="false">IF(G17&gt;0,F17/G17,"")</f>
        <v>-0.441620082677701</v>
      </c>
      <c r="I17" s="37" t="n">
        <f aca="false">IF(G17&gt;0,TDIST(ABS(H17),MIN(F25,F26)-1,2),"")</f>
        <v>0.664330063103318</v>
      </c>
      <c r="J17" s="36" t="n">
        <v>1.68510172223895</v>
      </c>
      <c r="K17" s="36" t="n">
        <v>1.56557874280747</v>
      </c>
      <c r="L17" s="37" t="n">
        <f aca="false">IF(K17&gt;0,J17/K17,"")</f>
        <v>1.07634427842138</v>
      </c>
      <c r="M17" s="37" t="n">
        <f aca="false">IF(K17&gt;0,TDIST(ABS(L17),MIN(J25,J26)-1,2),"")</f>
        <v>0.296811750285055</v>
      </c>
      <c r="N17" s="36" t="n">
        <v>0.85762744246636</v>
      </c>
      <c r="O17" s="36" t="n">
        <v>1.8621424235098</v>
      </c>
      <c r="P17" s="37" t="n">
        <f aca="false">IF(O17&gt;0,N17/O17,"")</f>
        <v>0.460559531665622</v>
      </c>
      <c r="Q17" s="37" t="n">
        <f aca="false">IF(O17&gt;0,TDIST(ABS(P17),MIN(N25,N26)-1,2),"")</f>
        <v>0.650951413679552</v>
      </c>
      <c r="AD17" s="36" t="n">
        <v>-1.3102242750369</v>
      </c>
      <c r="AE17" s="36" t="n">
        <v>1.82605469775888</v>
      </c>
      <c r="AF17" s="37" t="n">
        <f aca="false">IF(AE17&gt;0,AD17/AE17,"")</f>
        <v>-0.717516444959146</v>
      </c>
      <c r="AG17" s="37" t="n">
        <f aca="false">IF(AE17&gt;0,TDIST(ABS(AF17),MIN(AD25,AD26)-1,2),"")</f>
        <v>0.482799363200669</v>
      </c>
      <c r="AH17" s="36" t="n">
        <v>-2.87789557576359</v>
      </c>
      <c r="AI17" s="36" t="n">
        <v>1.84205488315996</v>
      </c>
      <c r="AJ17" s="37" t="n">
        <f aca="false">IF(AI17&gt;0,AH17/AI17,"")</f>
        <v>-1.56232889805471</v>
      </c>
      <c r="AK17" s="37" t="n">
        <f aca="false">IF(AI17&gt;0,TDIST(ABS(AJ17),MIN(AH25,AH26)-1,2),"")</f>
        <v>0.136633142744651</v>
      </c>
      <c r="AL17" s="36" t="n">
        <v>-2.20824039400909</v>
      </c>
      <c r="AM17" s="36" t="n">
        <v>2.86938217144302</v>
      </c>
      <c r="AN17" s="37" t="n">
        <f aca="false">IF(AM17&gt;0,AL17/AM17,"")</f>
        <v>-0.769587410135249</v>
      </c>
      <c r="AO17" s="37" t="n">
        <f aca="false">IF(AM17&gt;0,TDIST(ABS(AN17),MIN(AL25,AL26)-1,2),"")</f>
        <v>0.452106229117477</v>
      </c>
      <c r="BB17" s="36" t="n">
        <v>0.0381947202776792</v>
      </c>
      <c r="BC17" s="36" t="n">
        <v>0.229954690250443</v>
      </c>
      <c r="BD17" s="37" t="n">
        <f aca="false">IF(BC17&gt;0,BB17/BC17,"")</f>
        <v>0.166096722080691</v>
      </c>
      <c r="BE17" s="37" t="n">
        <f aca="false">IF(BC17&gt;0,TDIST(ABS(BD17),MIN(BB25,BB26)-1,2),"")</f>
        <v>0.870040244658296</v>
      </c>
      <c r="BF17" s="36" t="n">
        <v>-0.205139111250512</v>
      </c>
      <c r="BG17" s="36" t="n">
        <v>0.193587872892914</v>
      </c>
      <c r="BH17" s="37" t="n">
        <f aca="false">IF(BG17&gt;0,BF17/BG17,"")</f>
        <v>-1.0596692250655</v>
      </c>
      <c r="BI17" s="37" t="n">
        <f aca="false">IF(BG17&gt;0,TDIST(ABS(BH17),MIN(BF25,BF26)-1,2),"")</f>
        <v>0.304119652923535</v>
      </c>
      <c r="BJ17" s="36" t="n">
        <v>-0.484460657657551</v>
      </c>
      <c r="BK17" s="36" t="n">
        <v>0.20504768403148</v>
      </c>
      <c r="BL17" s="37" t="n">
        <f aca="false">IF(BK17&gt;0,BJ17/BK17,"")</f>
        <v>-2.36267315061785</v>
      </c>
      <c r="BM17" s="37" t="n">
        <f aca="false">IF(BK17&gt;0,TDIST(ABS(BL17),MIN(BJ25,BJ26)-1,2),"")</f>
        <v>0.030326895809312</v>
      </c>
    </row>
    <row r="18" customFormat="false" ht="15" hidden="false" customHeight="true" outlineLevel="0" collapsed="false">
      <c r="A18" s="18" t="s">
        <v>23</v>
      </c>
      <c r="F18" s="36" t="n">
        <v>0.0701399777977302</v>
      </c>
      <c r="G18" s="36" t="n">
        <v>0.170658363647756</v>
      </c>
      <c r="H18" s="37" t="n">
        <f aca="false">IF(G18&gt;0,F18/G18,"")</f>
        <v>0.410996427590863</v>
      </c>
      <c r="I18" s="37" t="n">
        <f aca="false">IF(G18&gt;0,TDIST(ABS(H18),MIN(F25,F26)-1,2),"")</f>
        <v>0.686209510525082</v>
      </c>
      <c r="J18" s="36" t="n">
        <v>-0.124015873966028</v>
      </c>
      <c r="K18" s="36" t="n">
        <v>0.275747896400478</v>
      </c>
      <c r="L18" s="37" t="n">
        <f aca="false">IF(K18&gt;0,J18/K18,"")</f>
        <v>-0.449743681039422</v>
      </c>
      <c r="M18" s="37" t="n">
        <f aca="false">IF(K18&gt;0,TDIST(ABS(L18),MIN(J25,J26)-1,2),"")</f>
        <v>0.658576993774531</v>
      </c>
      <c r="N18" s="36" t="n">
        <v>0.00627555556526314</v>
      </c>
      <c r="O18" s="36" t="n">
        <v>0.35832429731903</v>
      </c>
      <c r="P18" s="37" t="n">
        <f aca="false">IF(O18&gt;0,N18/O18,"")</f>
        <v>0.0175136199588379</v>
      </c>
      <c r="Q18" s="37" t="n">
        <f aca="false">IF(O18&gt;0,TDIST(ABS(P18),MIN(N25,N26)-1,2),"")</f>
        <v>0.986230776150492</v>
      </c>
      <c r="AD18" s="36" t="n">
        <v>0.233917098296776</v>
      </c>
      <c r="AE18" s="36" t="n">
        <v>0.522416648147475</v>
      </c>
      <c r="AF18" s="37" t="n">
        <f aca="false">IF(AE18&gt;0,AD18/AE18,"")</f>
        <v>0.447759655298624</v>
      </c>
      <c r="AG18" s="37" t="n">
        <f aca="false">IF(AE18&gt;0,TDIST(ABS(AF18),MIN(AD25,AD26)-1,2),"")</f>
        <v>0.659980051094891</v>
      </c>
      <c r="AH18" s="36" t="n">
        <v>0.31490002007714</v>
      </c>
      <c r="AI18" s="36" t="n">
        <v>0.707707464770992</v>
      </c>
      <c r="AJ18" s="37" t="n">
        <f aca="false">IF(AI18&gt;0,AH18/AI18,"")</f>
        <v>0.444957889739144</v>
      </c>
      <c r="AK18" s="37" t="n">
        <f aca="false">IF(AI18&gt;0,TDIST(ABS(AJ18),MIN(AH25,AH26)-1,2),"")</f>
        <v>0.661963616750757</v>
      </c>
      <c r="AL18" s="36" t="n">
        <v>-0.0710259264481723</v>
      </c>
      <c r="AM18" s="36" t="n">
        <v>0.907206757819584</v>
      </c>
      <c r="AN18" s="37" t="n">
        <f aca="false">IF(AM18&gt;0,AL18/AM18,"")</f>
        <v>-0.078290781936941</v>
      </c>
      <c r="AO18" s="37" t="n">
        <f aca="false">IF(AM18&gt;0,TDIST(ABS(AN18),MIN(AL25,AL26)-1,2),"")</f>
        <v>0.93851089545023</v>
      </c>
      <c r="BB18" s="36" t="n">
        <v>-0.00113429387488889</v>
      </c>
      <c r="BC18" s="36" t="n">
        <v>0.0326624743727499</v>
      </c>
      <c r="BD18" s="37" t="n">
        <f aca="false">IF(BC18&gt;0,BB18/BC18,"")</f>
        <v>-0.0347277386870367</v>
      </c>
      <c r="BE18" s="37" t="n">
        <f aca="false">IF(BC18&gt;0,TDIST(ABS(BD18),MIN(BB25,BB26)-1,2),"")</f>
        <v>0.972701352446969</v>
      </c>
      <c r="BF18" s="36" t="n">
        <v>0.00690171712567039</v>
      </c>
      <c r="BG18" s="36" t="n">
        <v>0.023656843363197</v>
      </c>
      <c r="BH18" s="37" t="n">
        <f aca="false">IF(BG18&gt;0,BF18/BG18,"")</f>
        <v>0.291742943879292</v>
      </c>
      <c r="BI18" s="37" t="n">
        <f aca="false">IF(BG18&gt;0,TDIST(ABS(BH18),MIN(BF25,BF26)-1,2),"")</f>
        <v>0.774013267032788</v>
      </c>
      <c r="BJ18" s="36" t="n">
        <v>0.0636469934062459</v>
      </c>
      <c r="BK18" s="36" t="n">
        <v>0.033530912936757</v>
      </c>
      <c r="BL18" s="37" t="n">
        <f aca="false">IF(BK18&gt;0,BJ18/BK18,"")</f>
        <v>1.89815867901632</v>
      </c>
      <c r="BM18" s="37" t="n">
        <f aca="false">IF(BK18&gt;0,TDIST(ABS(BL18),MIN(BJ25,BJ26)-1,2),"")</f>
        <v>0.0747878927794332</v>
      </c>
    </row>
    <row r="19" customFormat="false" ht="15" hidden="false" customHeight="true" outlineLevel="0" collapsed="false">
      <c r="A19" s="18" t="s">
        <v>24</v>
      </c>
      <c r="F19" s="36" t="n">
        <v>-0.0278149943518866</v>
      </c>
      <c r="G19" s="36" t="n">
        <v>0.221765512284031</v>
      </c>
      <c r="H19" s="37" t="n">
        <f aca="false">IF(G19&gt;0,F19/G19,"")</f>
        <v>-0.125425247890943</v>
      </c>
      <c r="I19" s="37" t="n">
        <f aca="false">IF(G19&gt;0,TDIST(ABS(H19),MIN(F25,F26)-1,2),"")</f>
        <v>0.901658229949127</v>
      </c>
      <c r="J19" s="36" t="n">
        <v>-0.278089785085663</v>
      </c>
      <c r="K19" s="36" t="n">
        <v>0.478004394990164</v>
      </c>
      <c r="L19" s="37" t="n">
        <f aca="false">IF(K19&gt;0,J19/K19,"")</f>
        <v>-0.58177244393618</v>
      </c>
      <c r="M19" s="37" t="n">
        <f aca="false">IF(K19&gt;0,TDIST(ABS(L19),MIN(J25,J26)-1,2),"")</f>
        <v>0.568355226152802</v>
      </c>
      <c r="N19" s="36" t="n">
        <v>-0.066791688677662</v>
      </c>
      <c r="O19" s="36" t="n">
        <v>0.934296127908972</v>
      </c>
      <c r="P19" s="37" t="n">
        <f aca="false">IF(O19&gt;0,N19/O19,"")</f>
        <v>-0.0714887782176161</v>
      </c>
      <c r="Q19" s="37" t="n">
        <f aca="false">IF(O19&gt;0,TDIST(ABS(P19),MIN(N25,N26)-1,2),"")</f>
        <v>0.943843062397111</v>
      </c>
      <c r="AD19" s="36" t="n">
        <v>-0.465792493425658</v>
      </c>
      <c r="AE19" s="36" t="n">
        <v>0.848055340639749</v>
      </c>
      <c r="AF19" s="37" t="n">
        <f aca="false">IF(AE19&gt;0,AD19/AE19,"")</f>
        <v>-0.549247756725731</v>
      </c>
      <c r="AG19" s="37" t="n">
        <f aca="false">IF(AE19&gt;0,TDIST(ABS(AF19),MIN(AD25,AD26)-1,2),"")</f>
        <v>0.589978014014691</v>
      </c>
      <c r="AH19" s="36" t="n">
        <v>-2.40292214195382</v>
      </c>
      <c r="AI19" s="36" t="n">
        <v>1.55241328500212</v>
      </c>
      <c r="AJ19" s="37" t="n">
        <f aca="false">IF(AI19&gt;0,AH19/AI19,"")</f>
        <v>-1.54786239281026</v>
      </c>
      <c r="AK19" s="37" t="n">
        <f aca="false">IF(AI19&gt;0,TDIST(ABS(AJ19),MIN(AH25,AH26)-1,2),"")</f>
        <v>0.140069203393726</v>
      </c>
      <c r="AL19" s="36" t="n">
        <v>-4.76485321913403</v>
      </c>
      <c r="AM19" s="36" t="n">
        <v>2.88270552484639</v>
      </c>
      <c r="AN19" s="37" t="n">
        <f aca="false">IF(AM19&gt;0,AL19/AM19,"")</f>
        <v>-1.6529101491863</v>
      </c>
      <c r="AO19" s="37" t="n">
        <f aca="false">IF(AM19&gt;0,TDIST(ABS(AN19),MIN(AL25,AL26)-1,2),"")</f>
        <v>0.116696193937052</v>
      </c>
      <c r="BB19" s="36" t="n">
        <v>-0.210895113831563</v>
      </c>
      <c r="BC19" s="36" t="n">
        <v>0.055891241126421</v>
      </c>
      <c r="BD19" s="37" t="n">
        <f aca="false">IF(BC19&gt;0,BB19/BC19,"")</f>
        <v>-3.77331241141232</v>
      </c>
      <c r="BE19" s="37" t="n">
        <f aca="false">IF(BC19&gt;0,TDIST(ABS(BD19),MIN(BB25,BB26)-1,2),"")</f>
        <v>0.00151620141741616</v>
      </c>
      <c r="BF19" s="36" t="n">
        <v>-0.201736630919386</v>
      </c>
      <c r="BG19" s="36" t="n">
        <v>0.0877793795134981</v>
      </c>
      <c r="BH19" s="37" t="n">
        <f aca="false">IF(BG19&gt;0,BF19/BG19,"")</f>
        <v>-2.2982234784237</v>
      </c>
      <c r="BI19" s="37" t="n">
        <f aca="false">IF(BG19&gt;0,TDIST(ABS(BH19),MIN(BF25,BF26)-1,2),"")</f>
        <v>0.0345091834095738</v>
      </c>
      <c r="BJ19" s="36" t="n">
        <v>-0.0101473587045158</v>
      </c>
      <c r="BK19" s="36" t="n">
        <v>0.077425859024669</v>
      </c>
      <c r="BL19" s="37" t="n">
        <f aca="false">IF(BK19&gt;0,BJ19/BK19,"")</f>
        <v>-0.131059039348633</v>
      </c>
      <c r="BM19" s="37" t="n">
        <f aca="false">IF(BK19&gt;0,TDIST(ABS(BL19),MIN(BJ25,BJ26)-1,2),"")</f>
        <v>0.89726708513502</v>
      </c>
    </row>
    <row r="20" customFormat="false" ht="15" hidden="false" customHeight="true" outlineLevel="0" collapsed="false">
      <c r="A20" s="18" t="s">
        <v>25</v>
      </c>
      <c r="F20" s="36" t="n">
        <v>-0.110455335252484</v>
      </c>
      <c r="G20" s="36" t="n">
        <v>0.144620143148958</v>
      </c>
      <c r="H20" s="37" t="n">
        <f aca="false">IF(G20&gt;0,F20/G20,"")</f>
        <v>-0.763761761310909</v>
      </c>
      <c r="I20" s="37" t="n">
        <f aca="false">IF(G20&gt;0,TDIST(ABS(H20),MIN(F25,F26)-1,2),"")</f>
        <v>0.455479412917686</v>
      </c>
      <c r="J20" s="36" t="n">
        <v>0.173289409153592</v>
      </c>
      <c r="K20" s="36" t="n">
        <v>0.432493445373696</v>
      </c>
      <c r="L20" s="37" t="n">
        <f aca="false">IF(K20&gt;0,J20/K20,"")</f>
        <v>0.400675226427678</v>
      </c>
      <c r="M20" s="37" t="n">
        <f aca="false">IF(K20&gt;0,TDIST(ABS(L20),MIN(J25,J26)-1,2),"")</f>
        <v>0.693649963434254</v>
      </c>
      <c r="N20" s="36" t="n">
        <v>0.127785719491564</v>
      </c>
      <c r="O20" s="36" t="n">
        <v>0.557186234309954</v>
      </c>
      <c r="P20" s="37" t="n">
        <f aca="false">IF(O20&gt;0,N20/O20,"")</f>
        <v>0.229341128015878</v>
      </c>
      <c r="Q20" s="37" t="n">
        <f aca="false">IF(O20&gt;0,TDIST(ABS(P20),MIN(N25,N26)-1,2),"")</f>
        <v>0.821340318695137</v>
      </c>
      <c r="AD20" s="36" t="n">
        <v>-0.675551034906897</v>
      </c>
      <c r="AE20" s="36" t="n">
        <v>0.608588300324658</v>
      </c>
      <c r="AF20" s="37" t="n">
        <f aca="false">IF(AE20&gt;0,AD20/AE20,"")</f>
        <v>-1.11002961204893</v>
      </c>
      <c r="AG20" s="37" t="n">
        <f aca="false">IF(AE20&gt;0,TDIST(ABS(AF20),MIN(AD25,AD26)-1,2),"")</f>
        <v>0.282441523341319</v>
      </c>
      <c r="AH20" s="36" t="n">
        <v>1.35126779390827</v>
      </c>
      <c r="AI20" s="36" t="n">
        <v>1.08358005594142</v>
      </c>
      <c r="AJ20" s="37" t="n">
        <f aca="false">IF(AI20&gt;0,AH20/AI20,"")</f>
        <v>1.24704011161804</v>
      </c>
      <c r="AK20" s="37" t="n">
        <f aca="false">IF(AI20&gt;0,TDIST(ABS(AJ20),MIN(AH25,AH26)-1,2),"")</f>
        <v>0.229290772461553</v>
      </c>
      <c r="AL20" s="36" t="n">
        <v>0.680342463119087</v>
      </c>
      <c r="AM20" s="36" t="n">
        <v>1.18569086596355</v>
      </c>
      <c r="AN20" s="37" t="n">
        <f aca="false">IF(AM20&gt;0,AL20/AM20,"")</f>
        <v>0.573794133571408</v>
      </c>
      <c r="AO20" s="37" t="n">
        <f aca="false">IF(AM20&gt;0,TDIST(ABS(AN20),MIN(AL25,AL26)-1,2),"")</f>
        <v>0.573620924030787</v>
      </c>
      <c r="BB20" s="36" t="n">
        <v>-0.0703720850293864</v>
      </c>
      <c r="BC20" s="36" t="n">
        <v>0.0548764795985016</v>
      </c>
      <c r="BD20" s="37" t="n">
        <f aca="false">IF(BC20&gt;0,BB20/BC20,"")</f>
        <v>-1.28237243978216</v>
      </c>
      <c r="BE20" s="37" t="n">
        <f aca="false">IF(BC20&gt;0,TDIST(ABS(BD20),MIN(BB25,BB26)-1,2),"")</f>
        <v>0.216923392726149</v>
      </c>
      <c r="BF20" s="36" t="n">
        <v>-0.0919779890506496</v>
      </c>
      <c r="BG20" s="36" t="n">
        <v>0.0579314001228326</v>
      </c>
      <c r="BH20" s="37" t="n">
        <f aca="false">IF(BG20&gt;0,BF20/BG20,"")</f>
        <v>-1.5877052661532</v>
      </c>
      <c r="BI20" s="37" t="n">
        <f aca="false">IF(BG20&gt;0,TDIST(ABS(BH20),MIN(BF25,BF26)-1,2),"")</f>
        <v>0.130777067011094</v>
      </c>
      <c r="BJ20" s="36" t="n">
        <v>-0.115393111057855</v>
      </c>
      <c r="BK20" s="36" t="n">
        <v>0.0530701123307052</v>
      </c>
      <c r="BL20" s="37" t="n">
        <f aca="false">IF(BK20&gt;0,BJ20/BK20,"")</f>
        <v>-2.17435211628695</v>
      </c>
      <c r="BM20" s="37" t="n">
        <f aca="false">IF(BK20&gt;0,TDIST(ABS(BL20),MIN(BJ25,BJ26)-1,2),"")</f>
        <v>0.0440898183999287</v>
      </c>
    </row>
    <row r="21" customFormat="false" ht="15" hidden="false" customHeight="true" outlineLevel="0" collapsed="false">
      <c r="A21" s="18" t="s">
        <v>26</v>
      </c>
      <c r="F21" s="36" t="n">
        <v>0.204906124288591</v>
      </c>
      <c r="G21" s="36" t="n">
        <v>0.338579207566094</v>
      </c>
      <c r="H21" s="37" t="n">
        <f aca="false">IF(G21&gt;0,F21/G21,"")</f>
        <v>0.605194057135335</v>
      </c>
      <c r="I21" s="37" t="n">
        <f aca="false">IF(G21&gt;0,TDIST(ABS(H21),MIN(F25,F26)-1,2),"")</f>
        <v>0.553043925470849</v>
      </c>
      <c r="AD21" s="36" t="n">
        <v>0.123549291048333</v>
      </c>
      <c r="AE21" s="36" t="n">
        <v>0.734086872847794</v>
      </c>
      <c r="AF21" s="37" t="n">
        <f aca="false">IF(AE21&gt;0,AD21/AE21,"")</f>
        <v>0.168303365198508</v>
      </c>
      <c r="AG21" s="37" t="n">
        <f aca="false">IF(AE21&gt;0,TDIST(ABS(AF21),MIN(AD25,AD26)-1,2),"")</f>
        <v>0.868330754093719</v>
      </c>
      <c r="BB21" s="36" t="n">
        <v>0.0559302038531926</v>
      </c>
      <c r="BC21" s="36" t="n">
        <v>0.0588917923349023</v>
      </c>
      <c r="BD21" s="37" t="n">
        <f aca="false">IF(BC21&gt;0,BB21/BC21,"")</f>
        <v>0.949711354260235</v>
      </c>
      <c r="BE21" s="37" t="n">
        <f aca="false">IF(BC21&gt;0,TDIST(ABS(BD21),MIN(BB25,BB26)-1,2),"")</f>
        <v>0.355566202858061</v>
      </c>
    </row>
    <row r="22" customFormat="false" ht="15" hidden="false" customHeight="true" outlineLevel="0" collapsed="false">
      <c r="A22" s="18" t="s">
        <v>27</v>
      </c>
      <c r="F22" s="36" t="n">
        <v>-0.125728160178178</v>
      </c>
      <c r="G22" s="36" t="n">
        <v>0.717724609138232</v>
      </c>
      <c r="H22" s="37" t="n">
        <f aca="false">IF(G22&gt;0,F22/G22,"")</f>
        <v>-0.1751760474385</v>
      </c>
      <c r="I22" s="37" t="n">
        <f aca="false">IF(G22&gt;0,TDIST(ABS(H22),MIN(F25,F26)-1,2),"")</f>
        <v>0.863010811879273</v>
      </c>
      <c r="J22" s="36" t="n">
        <v>1.44059101396455</v>
      </c>
      <c r="K22" s="36" t="n">
        <v>4.20596075967782</v>
      </c>
      <c r="L22" s="37" t="n">
        <f aca="false">IF(K22&gt;0,J22/K22,"")</f>
        <v>0.34251175802099</v>
      </c>
      <c r="M22" s="37" t="n">
        <f aca="false">IF(K22&gt;0,TDIST(ABS(L22),MIN(J25,J26)-1,2),"")</f>
        <v>0.736164144461925</v>
      </c>
      <c r="N22" s="36" t="n">
        <v>2.0038144445232</v>
      </c>
      <c r="O22" s="36" t="n">
        <v>4.81956754371057</v>
      </c>
      <c r="P22" s="37" t="n">
        <f aca="false">IF(O22&gt;0,N22/O22,"")</f>
        <v>0.415766440940979</v>
      </c>
      <c r="Q22" s="37" t="n">
        <f aca="false">IF(O22&gt;0,TDIST(ABS(P22),MIN(N25,N26)-1,2),"")</f>
        <v>0.682781969586814</v>
      </c>
      <c r="AD22" s="36" t="n">
        <v>0.458376254266573</v>
      </c>
      <c r="AE22" s="36" t="n">
        <v>1.66609103525775</v>
      </c>
      <c r="AF22" s="37" t="n">
        <f aca="false">IF(AE22&gt;0,AD22/AE22,"")</f>
        <v>0.275120773455012</v>
      </c>
      <c r="AG22" s="37" t="n">
        <f aca="false">IF(AE22&gt;0,TDIST(ABS(AF22),MIN(AD25,AD26)-1,2),"")</f>
        <v>0.786539288536236</v>
      </c>
      <c r="AH22" s="36" t="n">
        <v>-6.1707797563117</v>
      </c>
      <c r="AI22" s="36" t="n">
        <v>10.0966387689852</v>
      </c>
      <c r="AJ22" s="37" t="n">
        <f aca="false">IF(AI22&gt;0,AH22/AI22,"")</f>
        <v>-0.611171687677593</v>
      </c>
      <c r="AK22" s="37" t="n">
        <f aca="false">IF(AI22&gt;0,TDIST(ABS(AJ22),MIN(AH25,AH26)-1,2),"")</f>
        <v>0.549171766149495</v>
      </c>
      <c r="AL22" s="36" t="n">
        <v>-8.26536397145445</v>
      </c>
      <c r="AM22" s="36" t="n">
        <v>10.1621734582906</v>
      </c>
      <c r="AN22" s="37" t="n">
        <f aca="false">IF(AM22&gt;0,AL22/AM22,"")</f>
        <v>-0.81334608244768</v>
      </c>
      <c r="AO22" s="37" t="n">
        <f aca="false">IF(AM22&gt;0,TDIST(ABS(AN22),MIN(AL25,AL26)-1,2),"")</f>
        <v>0.427264930348163</v>
      </c>
      <c r="BB22" s="36" t="n">
        <v>-0.0300120258371916</v>
      </c>
      <c r="BC22" s="36" t="n">
        <v>0.0797323755814979</v>
      </c>
      <c r="BD22" s="37" t="n">
        <f aca="false">IF(BC22&gt;0,BB22/BC22,"")</f>
        <v>-0.376409527727103</v>
      </c>
      <c r="BE22" s="37" t="n">
        <f aca="false">IF(BC22&gt;0,TDIST(ABS(BD22),MIN(BB25,BB26)-1,2),"")</f>
        <v>0.711269068223912</v>
      </c>
      <c r="BF22" s="36" t="n">
        <v>0.0407084425148505</v>
      </c>
      <c r="BG22" s="36" t="n">
        <v>0.416053670637668</v>
      </c>
      <c r="BH22" s="37" t="n">
        <f aca="false">IF(BG22&gt;0,BF22/BG22,"")</f>
        <v>0.097844209504169</v>
      </c>
      <c r="BI22" s="37" t="n">
        <f aca="false">IF(BG22&gt;0,TDIST(ABS(BH22),MIN(BF25,BF26)-1,2),"")</f>
        <v>0.923200378428532</v>
      </c>
      <c r="BJ22" s="36" t="n">
        <v>1.13025151869492</v>
      </c>
      <c r="BK22" s="36" t="n">
        <v>0.614571804073684</v>
      </c>
      <c r="BL22" s="37" t="n">
        <f aca="false">IF(BK22&gt;0,BJ22/BK22,"")</f>
        <v>1.83908781887333</v>
      </c>
      <c r="BM22" s="37" t="n">
        <f aca="false">IF(BK22&gt;0,TDIST(ABS(BL22),MIN(BJ25,BJ26)-1,2),"")</f>
        <v>0.0834354247439757</v>
      </c>
    </row>
    <row r="24" customFormat="false" ht="15" hidden="false" customHeight="true" outlineLevel="0" collapsed="false">
      <c r="A24" s="18" t="s">
        <v>28</v>
      </c>
      <c r="B24" s="26" t="n">
        <v>306</v>
      </c>
      <c r="F24" s="26" t="n">
        <v>280</v>
      </c>
      <c r="J24" s="26" t="n">
        <v>278</v>
      </c>
      <c r="N24" s="26" t="n">
        <v>278</v>
      </c>
      <c r="R24" s="26" t="n">
        <v>289</v>
      </c>
      <c r="V24" s="26" t="n">
        <v>197</v>
      </c>
      <c r="Z24" s="26" t="n">
        <v>202</v>
      </c>
      <c r="AD24" s="26" t="n">
        <v>183</v>
      </c>
      <c r="AH24" s="26" t="n">
        <v>179</v>
      </c>
      <c r="AL24" s="26" t="n">
        <v>179</v>
      </c>
      <c r="AP24" s="26" t="n">
        <v>190</v>
      </c>
      <c r="AT24" s="26" t="n">
        <v>123</v>
      </c>
      <c r="AX24" s="26" t="n">
        <v>273</v>
      </c>
      <c r="BB24" s="26" t="n">
        <v>257</v>
      </c>
      <c r="BF24" s="26" t="n">
        <v>255</v>
      </c>
      <c r="BJ24" s="26" t="n">
        <v>255</v>
      </c>
      <c r="BN24" s="26" t="n">
        <v>257</v>
      </c>
      <c r="BR24" s="26" t="n">
        <v>169</v>
      </c>
    </row>
    <row r="25" customFormat="false" ht="15" hidden="false" customHeight="true" outlineLevel="0" collapsed="false">
      <c r="A25" s="18" t="s">
        <v>115</v>
      </c>
      <c r="B25" s="26" t="n">
        <v>18</v>
      </c>
      <c r="F25" s="26" t="n">
        <v>18</v>
      </c>
      <c r="J25" s="26" t="n">
        <v>18</v>
      </c>
      <c r="N25" s="26" t="n">
        <v>18</v>
      </c>
      <c r="R25" s="26" t="n">
        <v>18</v>
      </c>
      <c r="V25" s="26" t="n">
        <v>18</v>
      </c>
      <c r="Z25" s="26" t="n">
        <v>18</v>
      </c>
      <c r="AD25" s="26" t="n">
        <v>18</v>
      </c>
      <c r="AH25" s="26" t="n">
        <v>18</v>
      </c>
      <c r="AL25" s="26" t="n">
        <v>18</v>
      </c>
      <c r="AP25" s="26" t="n">
        <v>18</v>
      </c>
      <c r="AT25" s="26" t="n">
        <v>18</v>
      </c>
      <c r="AX25" s="26" t="n">
        <v>18</v>
      </c>
      <c r="BB25" s="26" t="n">
        <v>18</v>
      </c>
      <c r="BF25" s="26" t="n">
        <v>18</v>
      </c>
      <c r="BJ25" s="26" t="n">
        <v>18</v>
      </c>
      <c r="BN25" s="26" t="n">
        <v>18</v>
      </c>
      <c r="BR25" s="26" t="n">
        <v>18</v>
      </c>
    </row>
    <row r="26" customFormat="false" ht="15" hidden="false" customHeight="true" outlineLevel="0" collapsed="false">
      <c r="A26" s="18" t="s">
        <v>116</v>
      </c>
      <c r="B26" s="26" t="n">
        <v>18</v>
      </c>
      <c r="F26" s="26" t="n">
        <v>18</v>
      </c>
      <c r="J26" s="26" t="n">
        <v>18</v>
      </c>
      <c r="N26" s="26" t="n">
        <v>18</v>
      </c>
      <c r="R26" s="26" t="n">
        <v>18</v>
      </c>
      <c r="V26" s="26" t="n">
        <v>18</v>
      </c>
      <c r="Z26" s="26" t="n">
        <v>18</v>
      </c>
      <c r="AD26" s="26" t="n">
        <v>18</v>
      </c>
      <c r="AH26" s="26" t="n">
        <v>18</v>
      </c>
      <c r="AL26" s="26" t="n">
        <v>18</v>
      </c>
      <c r="AP26" s="26" t="n">
        <v>18</v>
      </c>
      <c r="AT26" s="26" t="n">
        <v>18</v>
      </c>
      <c r="AX26" s="26" t="n">
        <v>18</v>
      </c>
      <c r="BB26" s="26" t="n">
        <v>18</v>
      </c>
      <c r="BF26" s="26" t="n">
        <v>18</v>
      </c>
      <c r="BJ26" s="26" t="n">
        <v>18</v>
      </c>
      <c r="BN26" s="26" t="n">
        <v>18</v>
      </c>
      <c r="BR26" s="26" t="n">
        <v>18</v>
      </c>
    </row>
    <row r="27" customFormat="false" ht="15" hidden="false" customHeight="true" outlineLevel="0" collapsed="false">
      <c r="A27" s="18" t="s">
        <v>29</v>
      </c>
      <c r="B27" s="26" t="n">
        <v>0.10380089644835</v>
      </c>
      <c r="F27" s="26" t="n">
        <v>0.0523772858330219</v>
      </c>
      <c r="J27" s="26" t="n">
        <v>0.0268647562803273</v>
      </c>
      <c r="N27" s="26" t="n">
        <v>0.019608249178517</v>
      </c>
      <c r="R27" s="26" t="n">
        <v>0.139174378979848</v>
      </c>
      <c r="V27" s="26" t="n">
        <v>0.104339387400113</v>
      </c>
      <c r="Z27" s="26" t="n">
        <v>0.132303558266609</v>
      </c>
      <c r="AD27" s="26" t="n">
        <v>0.0413137508791085</v>
      </c>
      <c r="AH27" s="26" t="n">
        <v>-0.0591505111524366</v>
      </c>
      <c r="AL27" s="26" t="n">
        <v>-0.0421276599566975</v>
      </c>
      <c r="AP27" s="26" t="n">
        <v>0.15278116809424</v>
      </c>
      <c r="AT27" s="26" t="n">
        <v>0.35557233554523</v>
      </c>
      <c r="AX27" s="26" t="n">
        <v>0.469528115061934</v>
      </c>
      <c r="BB27" s="26" t="n">
        <v>0.546340101264371</v>
      </c>
      <c r="BF27" s="26" t="n">
        <v>0.547393161713767</v>
      </c>
      <c r="BJ27" s="26" t="n">
        <v>0.722049927940836</v>
      </c>
      <c r="BN27" s="26" t="n">
        <v>0.786720068850745</v>
      </c>
      <c r="BR27" s="26" t="n">
        <v>0.816117035261676</v>
      </c>
    </row>
    <row r="28" customFormat="false" ht="15" hidden="false" customHeight="true" outlineLevel="0" collapsed="false">
      <c r="A28" s="18" t="s">
        <v>44</v>
      </c>
      <c r="B28" s="26" t="n">
        <v>43</v>
      </c>
      <c r="F28" s="26" t="n">
        <v>41</v>
      </c>
      <c r="J28" s="26" t="n">
        <v>41</v>
      </c>
      <c r="N28" s="26" t="n">
        <v>41</v>
      </c>
      <c r="R28" s="26" t="n">
        <v>43</v>
      </c>
      <c r="V28" s="26" t="n">
        <v>24</v>
      </c>
      <c r="Z28" s="26" t="n">
        <v>34</v>
      </c>
      <c r="AD28" s="26" t="n">
        <v>31</v>
      </c>
      <c r="AH28" s="26" t="n">
        <v>31</v>
      </c>
      <c r="AL28" s="26" t="n">
        <v>31</v>
      </c>
      <c r="AP28" s="26" t="n">
        <v>34</v>
      </c>
      <c r="AT28" s="26" t="n">
        <v>16</v>
      </c>
      <c r="AX28" s="26" t="n">
        <v>40</v>
      </c>
      <c r="BB28" s="26" t="n">
        <v>37</v>
      </c>
      <c r="BF28" s="26" t="n">
        <v>37</v>
      </c>
      <c r="BJ28" s="26" t="n">
        <v>37</v>
      </c>
      <c r="BN28" s="26" t="n">
        <v>40</v>
      </c>
      <c r="BR28" s="26" t="n">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2026-10-08T14:17:16Z</dcterms:created>
  <dc:creator>openpyxl</dc:creator>
  <dc:description/>
  <dc:language>en-US</dc:language>
  <cp:lastModifiedBy/>
  <dcterms:modified xsi:type="dcterms:W3CDTF">2026-10-08T16:21:49Z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