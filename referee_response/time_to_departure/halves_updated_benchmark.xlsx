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XI-split" sheetId="1" state="visible" r:id="rId3"/>
    <sheet name="Table XII-split" sheetId="2" state="visible" r:id="rId4"/>
    <sheet name="Table XI" sheetId="3" state="visible" r:id="rId5"/>
    <sheet name="Table XII" sheetId="4" state="visible" r:id="rId6"/>
    <sheet name="Table XIII" sheetId="5" state="visible" r:id="rId7"/>
    <sheet name="Estimates-split" sheetId="6" state="visible" r:id="rId8"/>
    <sheet name="Estima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<sst xmlns="http://schemas.openxmlformats.org/spreadsheetml/2006/main" count="494" uniqueCount="191">
  <si>
    <t xml:space="preserve">Table XI: Conflicted CIOs: Plan Performance in the First versus Second Half of Tenure (updated benchmark)</t>
  </si>
  <si>
    <t xml:space="preserve">This table repeats the regressions of Table III, splitting the Conflicted CIO indicator into two indicators: Conflicted CIO x First Half of Tenure, equal to 1 in the fiscal years in which a conflicted CIO's tenure is at most one half of the CIO's tenure at departure, and Conflicted CIO x Second Half of Tenure, equal to 1 in the remaining fiscal years of a conflicted CIO's tenure. The omitted category is all plan-years run by non-conflicted CIOs, so each coefficient is the performance differential of conflicted CIOs in that part of their tenure relative to non-conflicted CIOs. Tenure at departure is the CIO's tenure in the last fiscal year observed in the plan plus any gap to the departure year. 11 conflicted plan-years for which tenure at departure cannot be determined are absorbed by a separate indicator that is not reported. The performance measure in Panel A is Peer-Adjusted Return, which is the difference of a plan's return and the average pension plan return each year. The performance measure in Panel B is Benchmark-Adjusted Return, which is calculated as the plan's return minus the return of its updated policy benchmark (the benchmark return reported in the plan's financial report or, where none is stated, an inferred value graded A or B). The other independent variables are as defined in Table I. The last row reports the p-value of a test that the first-half and second-half coefficients are equal. The standard errors are double clustered by plan and year. Coefficients marked with ***, **, and * are significant at the 1%, 5%, and 10% level, respectively.</t>
  </si>
  <si>
    <t xml:space="preserve">Panel A. Peer-Adjusted Returns</t>
  </si>
  <si>
    <t xml:space="preserve">(1)</t>
  </si>
  <si>
    <t xml:space="preserve">(2)</t>
  </si>
  <si>
    <t xml:space="preserve">(3)</t>
  </si>
  <si>
    <t xml:space="preserve">(4)</t>
  </si>
  <si>
    <t xml:space="preserve">Peer-adj. Ret. (t)</t>
  </si>
  <si>
    <t xml:space="preserve">Conflicted CIO x First Half of Tenure (0/1)</t>
  </si>
  <si>
    <t xml:space="preserve">Conflicted CIO x Second Half of Tenure (0/1)</t>
  </si>
  <si>
    <t xml:space="preserve">Investment Return (t - 1)</t>
  </si>
  <si>
    <t xml:space="preserve">Log (Plan Size) (t-1)</t>
  </si>
  <si>
    <t xml:space="preserve">Funding Ratio (t-1)</t>
  </si>
  <si>
    <t xml:space="preserve">Equity Allocation (%)</t>
  </si>
  <si>
    <t xml:space="preserve">Fixed Income Allocation (%)</t>
  </si>
  <si>
    <t xml:space="preserve">Real Estate Allocation (%)</t>
  </si>
  <si>
    <t xml:space="preserve">Private Equity Allocation (%)</t>
  </si>
  <si>
    <t xml:space="preserve">Hedge Fund Allocation (%)</t>
  </si>
  <si>
    <t xml:space="preserve">Misc. Alternatives Allocation (%)</t>
  </si>
  <si>
    <t xml:space="preserve">Commodities Allocation (%)</t>
  </si>
  <si>
    <t xml:space="preserve">Cash Allocation (%)</t>
  </si>
  <si>
    <t xml:space="preserve">Financial Center (0/1)</t>
  </si>
  <si>
    <t xml:space="preserve">Log (CIO Age) (t-1)</t>
  </si>
  <si>
    <t xml:space="preserve">Log (CIO Tenure) (t-1)</t>
  </si>
  <si>
    <t xml:space="preserve">CIO Prior Private Experience (0/1)</t>
  </si>
  <si>
    <t xml:space="preserve">CIO Attended Elite College (0/1)</t>
  </si>
  <si>
    <t xml:space="preserve">Separate Investment Board (0/1)</t>
  </si>
  <si>
    <t xml:space="preserve">% Political Appointees on Board</t>
  </si>
  <si>
    <t xml:space="preserve">Observations</t>
  </si>
  <si>
    <t xml:space="preserve">Adjusted R-squared</t>
  </si>
  <si>
    <t xml:space="preserve">Plan FE</t>
  </si>
  <si>
    <t xml:space="preserve">No</t>
  </si>
  <si>
    <t xml:space="preserve">Yes</t>
  </si>
  <si>
    <t xml:space="preserve">Year FE</t>
  </si>
  <si>
    <t xml:space="preserve">p-value: First Half = Second Half</t>
  </si>
  <si>
    <t xml:space="preserve">Panel B. Benchmark-Adjusted Returns</t>
  </si>
  <si>
    <t xml:space="preserve">Bench-adj. Ret. (t)</t>
  </si>
  <si>
    <t xml:space="preserve">Table XII: Conflicted CIOs: Fee Ratio in the First versus Second Half of Tenure</t>
  </si>
  <si>
    <t xml:space="preserve">This table repeats the regressions of Table XI with Fee Ratio as the dependent variable. Fee Ratio is the plan's total investment fees as a percentage of plan assets. Conflicted CIO x First Half of Tenure and Conflicted CIO x Second Half of Tenure are defined as in Table XI, and the omitted category is all plan-years run by non-conflicted CIOs. The other independent variables are as defined in Table I. The last row reports the p-value of a test that the first-half and second-half coefficients are equal. The standard errors are double clustered by plan and year. Coefficients marked with ***, **, and * are significant at the 1%, 5%, and 10% level, respectively.</t>
  </si>
  <si>
    <t xml:space="preserve">Fee Ratio (t)</t>
  </si>
  <si>
    <t xml:space="preserve">Table XI: Conflicted CIOs: Plan Performance in the First versus Second Half of Tenure, Conflicted CIOs Only (updated benchmark)</t>
  </si>
  <si>
    <t xml:space="preserve">This table reports results of tests that regress the returns of public pension plans run by conflicted CIOs on an indicator variable, Second Half of Tenure, which is equal to 1 in the fiscal years in which the CIO's tenure exceeds one half of the CIO's tenure at departure and 0 otherwise. Conflicted CIOs are defined as in Table III, and the sample is restricted to their plan-years, so the coefficient compares the second half of a conflicted CIO's tenure with the first half. Tenure at departure is the CIO's tenure in the last fiscal year observed in the plan plus any gap to the departure year. The performance measure in Panel A is Peer-Adjusted Return, which is the difference of a plan's return and the average pension plan return each year. The performance measure in Panel B is Benchmark-Adjusted Return, which is calculated as the plan's return minus the return of its updated policy benchmark (the benchmark return reported in the plan's financial report or, where none is stated, an inferred value graded A or B). The other independent variables are as defined in Table I. Columns 5 and 6 include CIO fixed effects and omit the CIO-level controls; Column 6 restricts the sample to CIOs whose tenure at departure is at least four years, so that each half of tenure contains at least two fiscal years. The standard errors are double clustered by plan and year. Coefficients marked with ***, **, and * are significant at the 1%, 5%, and 10% level, respectively.</t>
  </si>
  <si>
    <t xml:space="preserve">(5)</t>
  </si>
  <si>
    <t xml:space="preserve">(6)</t>
  </si>
  <si>
    <t xml:space="preserve">Second Half of Tenure (0/1)</t>
  </si>
  <si>
    <t xml:space="preserve">Number of CIOs</t>
  </si>
  <si>
    <t xml:space="preserve">CIO FE</t>
  </si>
  <si>
    <t xml:space="preserve">Min. Tenure at Departure (years)</t>
  </si>
  <si>
    <t xml:space="preserve">4</t>
  </si>
  <si>
    <t xml:space="preserve">This table repeats the tests of Table XI with Fee Ratio as the dependent variable. Fee Ratio is the plan's total investment fees as a percentage of plan assets. The sample is restricted to plan-years of conflicted CIOs, and Second Half of Tenure is equal to 1 in the fiscal years in which the CIO's tenure exceeds one half of the CIO's tenure at departure and 0 otherwise. The other independent variables are as defined in Table I. Columns 5 and 6 include CIO fixed effects and omit the CIO-level controls; Column 6 restricts the sample to CIOs whose tenure at departure is at least four years. The standard errors are double clustered by plan and year. Coefficients marked with ***, **, and * are significant at the 1%, 5%, and 10% level, respectively.</t>
  </si>
  <si>
    <t xml:space="preserve">Table XIII: Conflicted CIOs: Univariate Comparison of the First and Second Half of Tenure (updated benchmark)</t>
  </si>
  <si>
    <t xml:space="preserve">This table compares the average outcomes of conflicted CIOs in the first and second half of their tenure with one observation per CIO. Plan-years are first averaged within CIO-year for CIOs who run several plans, then averaged within each half of tenure. Difference is the mean within-CIO change from the first to the second half; the t-statistic tests whether this mean change is zero, and the last column reports the p-value of a Wilcoxon signed-rank test of the same hypothesis. Coefficients marked with ***, **, and * are significant at the 1%, 5%, and 10% level, respectively.</t>
  </si>
  <si>
    <t xml:space="preserve">N (CIOs)</t>
  </si>
  <si>
    <t xml:space="preserve">First Half</t>
  </si>
  <si>
    <t xml:space="preserve">Second Half</t>
  </si>
  <si>
    <t xml:space="preserve">Difference</t>
  </si>
  <si>
    <t xml:space="preserve">t-stat</t>
  </si>
  <si>
    <t xml:space="preserve">% Improving</t>
  </si>
  <si>
    <t xml:space="preserve">Wilcoxon p-value</t>
  </si>
  <si>
    <t xml:space="preserve">SD of change</t>
  </si>
  <si>
    <t xml:space="preserve">t (helper)</t>
  </si>
  <si>
    <t xml:space="preserve">p (helper)</t>
  </si>
  <si>
    <t xml:space="preserve">Peer-Adjusted Return (%)</t>
  </si>
  <si>
    <t xml:space="preserve">Benchmark-Adjusted Return (%)</t>
  </si>
  <si>
    <t xml:space="preserve">Fee Ratio (%)</t>
  </si>
  <si>
    <t xml:space="preserve">Estimates behind the split tables (blue = regression output; t and p are formulas). Full Table III sample; SE double clustered by plan and year (PSD-corrected); p-values use the t distribution with min(plan clusters, year clusters) - 1 df.</t>
  </si>
  <si>
    <t xml:space="preserve">Variable</t>
  </si>
  <si>
    <t xml:space="preserve">S1A(1) coef</t>
  </si>
  <si>
    <t xml:space="preserve">S1A(1) se</t>
  </si>
  <si>
    <t xml:space="preserve">S1A(1) t</t>
  </si>
  <si>
    <t xml:space="preserve">S1A(1) p</t>
  </si>
  <si>
    <t xml:space="preserve">S1A(2) coef</t>
  </si>
  <si>
    <t xml:space="preserve">S1A(2) se</t>
  </si>
  <si>
    <t xml:space="preserve">S1A(2) t</t>
  </si>
  <si>
    <t xml:space="preserve">S1A(2) p</t>
  </si>
  <si>
    <t xml:space="preserve">S1A(3) coef</t>
  </si>
  <si>
    <t xml:space="preserve">S1A(3) se</t>
  </si>
  <si>
    <t xml:space="preserve">S1A(3) t</t>
  </si>
  <si>
    <t xml:space="preserve">S1A(3) p</t>
  </si>
  <si>
    <t xml:space="preserve">S1A(4) coef</t>
  </si>
  <si>
    <t xml:space="preserve">S1A(4) se</t>
  </si>
  <si>
    <t xml:space="preserve">S1A(4) t</t>
  </si>
  <si>
    <t xml:space="preserve">S1A(4) p</t>
  </si>
  <si>
    <t xml:space="preserve">S1B(1) coef</t>
  </si>
  <si>
    <t xml:space="preserve">S1B(1) se</t>
  </si>
  <si>
    <t xml:space="preserve">S1B(1) t</t>
  </si>
  <si>
    <t xml:space="preserve">S1B(1) p</t>
  </si>
  <si>
    <t xml:space="preserve">S1B(2) coef</t>
  </si>
  <si>
    <t xml:space="preserve">S1B(2) se</t>
  </si>
  <si>
    <t xml:space="preserve">S1B(2) t</t>
  </si>
  <si>
    <t xml:space="preserve">S1B(2) p</t>
  </si>
  <si>
    <t xml:space="preserve">S1B(3) coef</t>
  </si>
  <si>
    <t xml:space="preserve">S1B(3) se</t>
  </si>
  <si>
    <t xml:space="preserve">S1B(3) t</t>
  </si>
  <si>
    <t xml:space="preserve">S1B(3) p</t>
  </si>
  <si>
    <t xml:space="preserve">S1B(4) coef</t>
  </si>
  <si>
    <t xml:space="preserve">S1B(4) se</t>
  </si>
  <si>
    <t xml:space="preserve">S1B(4) t</t>
  </si>
  <si>
    <t xml:space="preserve">S1B(4) p</t>
  </si>
  <si>
    <t xml:space="preserve">S2A(1) coef</t>
  </si>
  <si>
    <t xml:space="preserve">S2A(1) se</t>
  </si>
  <si>
    <t xml:space="preserve">S2A(1) t</t>
  </si>
  <si>
    <t xml:space="preserve">S2A(1) p</t>
  </si>
  <si>
    <t xml:space="preserve">S2A(2) coef</t>
  </si>
  <si>
    <t xml:space="preserve">S2A(2) se</t>
  </si>
  <si>
    <t xml:space="preserve">S2A(2) t</t>
  </si>
  <si>
    <t xml:space="preserve">S2A(2) p</t>
  </si>
  <si>
    <t xml:space="preserve">S2A(3) coef</t>
  </si>
  <si>
    <t xml:space="preserve">S2A(3) se</t>
  </si>
  <si>
    <t xml:space="preserve">S2A(3) t</t>
  </si>
  <si>
    <t xml:space="preserve">S2A(3) p</t>
  </si>
  <si>
    <t xml:space="preserve">S2A(4) coef</t>
  </si>
  <si>
    <t xml:space="preserve">S2A(4) se</t>
  </si>
  <si>
    <t xml:space="preserve">S2A(4) t</t>
  </si>
  <si>
    <t xml:space="preserve">S2A(4) p</t>
  </si>
  <si>
    <t xml:space="preserve">First Half minus Second Half</t>
  </si>
  <si>
    <t xml:space="preserve">Plan clusters</t>
  </si>
  <si>
    <t xml:space="preserve">Year clusters</t>
  </si>
  <si>
    <t xml:space="preserve">Estimates behind the tables (blue = regression output; t and p are formulas). Standard errors double clustered by plan and year; p-values use the t distribution with min(plan clusters, year clusters) - 1 degrees of freedom.</t>
  </si>
  <si>
    <t xml:space="preserve">T1A(1) coef</t>
  </si>
  <si>
    <t xml:space="preserve">T1A(1) se</t>
  </si>
  <si>
    <t xml:space="preserve">T1A(1) t</t>
  </si>
  <si>
    <t xml:space="preserve">T1A(1) p</t>
  </si>
  <si>
    <t xml:space="preserve">T1A(2) coef</t>
  </si>
  <si>
    <t xml:space="preserve">T1A(2) se</t>
  </si>
  <si>
    <t xml:space="preserve">T1A(2) t</t>
  </si>
  <si>
    <t xml:space="preserve">T1A(2) p</t>
  </si>
  <si>
    <t xml:space="preserve">T1A(3) coef</t>
  </si>
  <si>
    <t xml:space="preserve">T1A(3) se</t>
  </si>
  <si>
    <t xml:space="preserve">T1A(3) t</t>
  </si>
  <si>
    <t xml:space="preserve">T1A(3) p</t>
  </si>
  <si>
    <t xml:space="preserve">T1A(4) coef</t>
  </si>
  <si>
    <t xml:space="preserve">T1A(4) se</t>
  </si>
  <si>
    <t xml:space="preserve">T1A(4) t</t>
  </si>
  <si>
    <t xml:space="preserve">T1A(4) p</t>
  </si>
  <si>
    <t xml:space="preserve">T1A(5) coef</t>
  </si>
  <si>
    <t xml:space="preserve">T1A(5) se</t>
  </si>
  <si>
    <t xml:space="preserve">T1A(5) t</t>
  </si>
  <si>
    <t xml:space="preserve">T1A(5) p</t>
  </si>
  <si>
    <t xml:space="preserve">T1A(6) coef</t>
  </si>
  <si>
    <t xml:space="preserve">T1A(6) se</t>
  </si>
  <si>
    <t xml:space="preserve">T1A(6) t</t>
  </si>
  <si>
    <t xml:space="preserve">T1A(6) p</t>
  </si>
  <si>
    <t xml:space="preserve">T1B(1) coef</t>
  </si>
  <si>
    <t xml:space="preserve">T1B(1) se</t>
  </si>
  <si>
    <t xml:space="preserve">T1B(1) t</t>
  </si>
  <si>
    <t xml:space="preserve">T1B(1) p</t>
  </si>
  <si>
    <t xml:space="preserve">T1B(2) coef</t>
  </si>
  <si>
    <t xml:space="preserve">T1B(2) se</t>
  </si>
  <si>
    <t xml:space="preserve">T1B(2) t</t>
  </si>
  <si>
    <t xml:space="preserve">T1B(2) p</t>
  </si>
  <si>
    <t xml:space="preserve">T1B(3) coef</t>
  </si>
  <si>
    <t xml:space="preserve">T1B(3) se</t>
  </si>
  <si>
    <t xml:space="preserve">T1B(3) t</t>
  </si>
  <si>
    <t xml:space="preserve">T1B(3) p</t>
  </si>
  <si>
    <t xml:space="preserve">T1B(4) coef</t>
  </si>
  <si>
    <t xml:space="preserve">T1B(4) se</t>
  </si>
  <si>
    <t xml:space="preserve">T1B(4) t</t>
  </si>
  <si>
    <t xml:space="preserve">T1B(4) p</t>
  </si>
  <si>
    <t xml:space="preserve">T1B(5) coef</t>
  </si>
  <si>
    <t xml:space="preserve">T1B(5) se</t>
  </si>
  <si>
    <t xml:space="preserve">T1B(5) t</t>
  </si>
  <si>
    <t xml:space="preserve">T1B(5) p</t>
  </si>
  <si>
    <t xml:space="preserve">T1B(6) coef</t>
  </si>
  <si>
    <t xml:space="preserve">T1B(6) se</t>
  </si>
  <si>
    <t xml:space="preserve">T1B(6) t</t>
  </si>
  <si>
    <t xml:space="preserve">T1B(6) p</t>
  </si>
  <si>
    <t xml:space="preserve">T2A(1) coef</t>
  </si>
  <si>
    <t xml:space="preserve">T2A(1) se</t>
  </si>
  <si>
    <t xml:space="preserve">T2A(1) t</t>
  </si>
  <si>
    <t xml:space="preserve">T2A(1) p</t>
  </si>
  <si>
    <t xml:space="preserve">T2A(2) coef</t>
  </si>
  <si>
    <t xml:space="preserve">T2A(2) se</t>
  </si>
  <si>
    <t xml:space="preserve">T2A(2) t</t>
  </si>
  <si>
    <t xml:space="preserve">T2A(2) p</t>
  </si>
  <si>
    <t xml:space="preserve">T2A(3) coef</t>
  </si>
  <si>
    <t xml:space="preserve">T2A(3) se</t>
  </si>
  <si>
    <t xml:space="preserve">T2A(3) t</t>
  </si>
  <si>
    <t xml:space="preserve">T2A(3) p</t>
  </si>
  <si>
    <t xml:space="preserve">T2A(4) coef</t>
  </si>
  <si>
    <t xml:space="preserve">T2A(4) se</t>
  </si>
  <si>
    <t xml:space="preserve">T2A(4) t</t>
  </si>
  <si>
    <t xml:space="preserve">T2A(4) p</t>
  </si>
  <si>
    <t xml:space="preserve">T2A(5) coef</t>
  </si>
  <si>
    <t xml:space="preserve">T2A(5) se</t>
  </si>
  <si>
    <t xml:space="preserve">T2A(5) t</t>
  </si>
  <si>
    <t xml:space="preserve">T2A(5) p</t>
  </si>
  <si>
    <t xml:space="preserve">T2A(6) coef</t>
  </si>
  <si>
    <t xml:space="preserve">T2A(6) se</t>
  </si>
  <si>
    <t xml:space="preserve">T2A(6) t</t>
  </si>
  <si>
    <t xml:space="preserve">T2A(6) p</t>
  </si>
</sst>
</file>

<file path=xl/styles.xml><?xml version="1.0" encoding="utf-8"?>
<styleSheet xmlns="http://schemas.openxmlformats.org/spreadsheetml/2006/main">
  <numFmts count="6">
    <numFmt numFmtId="164" formatCode="General"/>
    <numFmt numFmtId="165" formatCode="#,##0"/>
    <numFmt numFmtId="166" formatCode="0.000"/>
    <numFmt numFmtId="167" formatCode="0"/>
    <numFmt numFmtId="168" formatCode="0.0%"/>
    <numFmt numFmtId="169"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4">
    <border diagonalUp="false" diagonalDown="false">
      <left/>
      <right/>
      <top/>
      <bottom/>
      <diagonal/>
    </border>
    <border diagonalUp="false" diagonalDown="false">
      <left/>
      <right/>
      <top style="thin"/>
      <botto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true" applyProtection="false">
      <alignment horizontal="right" vertical="bottom" textRotation="0" wrapText="false" indent="0" shrinkToFit="false"/>
      <protection locked="true" hidden="false"/>
    </xf>
    <xf numFmtId="167" fontId="5" fillId="0" borderId="0" xfId="0" applyFont="true" applyBorder="false" applyAlignment="true" applyProtection="false">
      <alignment horizontal="right"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6" fontId="7" fillId="0" borderId="2" xfId="0" applyFont="true" applyBorder="true" applyAlignment="true" applyProtection="false">
      <alignment horizontal="right" vertical="bottom" textRotation="0" wrapText="fals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8" fontId="7" fillId="0" borderId="2"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s>
  <sheetData>
    <row r="1" customFormat="false" ht="15" hidden="false" customHeight="false" outlineLevel="0" collapsed="false">
      <c r="A1" s="1" t="s">
        <v>0</v>
      </c>
    </row>
    <row r="2" customFormat="false" ht="270" hidden="false" customHeight="true" outlineLevel="0" collapsed="false">
      <c r="A2" s="2" t="s">
        <v>1</v>
      </c>
      <c r="B2" s="2"/>
      <c r="C2" s="2"/>
      <c r="D2" s="2"/>
      <c r="E2" s="2"/>
    </row>
    <row r="4" customFormat="false" ht="15" hidden="false" customHeight="false" outlineLevel="0" collapsed="false">
      <c r="A4" s="1" t="s">
        <v>2</v>
      </c>
    </row>
    <row r="5" customFormat="false" ht="15" hidden="false" customHeight="false" outlineLevel="0" collapsed="false">
      <c r="A5" s="3"/>
      <c r="B5" s="4" t="s">
        <v>3</v>
      </c>
      <c r="C5" s="4" t="s">
        <v>4</v>
      </c>
      <c r="D5" s="4" t="s">
        <v>5</v>
      </c>
      <c r="E5" s="4" t="s">
        <v>6</v>
      </c>
    </row>
    <row r="6" customFormat="false" ht="15" hidden="false" customHeight="false" outlineLevel="0" collapsed="false">
      <c r="A6" s="5"/>
      <c r="B6" s="6" t="s">
        <v>7</v>
      </c>
      <c r="C6" s="6" t="s">
        <v>7</v>
      </c>
      <c r="D6" s="6" t="s">
        <v>7</v>
      </c>
      <c r="E6" s="6" t="s">
        <v>7</v>
      </c>
    </row>
    <row r="7" customFormat="false" ht="15" hidden="false" customHeight="false" outlineLevel="0" collapsed="false">
      <c r="A7" s="7" t="s">
        <v>8</v>
      </c>
      <c r="B7" s="8" t="str">
        <f aca="false">TEXT('Estimates-split'!B4,"0.000")&amp;IF('Estimates-split'!E4="","",IF('Estimates-split'!E4&lt;0.01,"***",IF('Estimates-split'!E4&lt;0.05,"**",IF('Estimates-split'!E4&lt;0.1,"*",""))))</f>
        <v>-0.510***</v>
      </c>
      <c r="C7" s="8" t="str">
        <f aca="false">TEXT('Estimates-split'!F4,"0.000")&amp;IF('Estimates-split'!I4="","",IF('Estimates-split'!I4&lt;0.01,"***",IF('Estimates-split'!I4&lt;0.05,"**",IF('Estimates-split'!I4&lt;0.1,"*",""))))</f>
        <v>-0.605**</v>
      </c>
      <c r="D7" s="8" t="str">
        <f aca="false">TEXT('Estimates-split'!J4,"0.000")&amp;IF('Estimates-split'!M4="","",IF('Estimates-split'!M4&lt;0.01,"***",IF('Estimates-split'!M4&lt;0.05,"**",IF('Estimates-split'!M4&lt;0.1,"*",""))))</f>
        <v>-0.773**</v>
      </c>
      <c r="E7" s="8" t="str">
        <f aca="false">TEXT('Estimates-split'!N4,"0.000")&amp;IF('Estimates-split'!Q4="","",IF('Estimates-split'!Q4&lt;0.01,"***",IF('Estimates-split'!Q4&lt;0.05,"**",IF('Estimates-split'!Q4&lt;0.1,"*",""))))</f>
        <v>-0.861**</v>
      </c>
    </row>
    <row r="8" customFormat="false" ht="15" hidden="false" customHeight="false" outlineLevel="0" collapsed="false">
      <c r="B8" s="8" t="str">
        <f aca="false">IF('Estimates-split'!D4="","(n/a)","("&amp;TEXT('Estimates-split'!D4,"0.00")&amp;")")</f>
        <v>(-2.89)</v>
      </c>
      <c r="C8" s="8" t="str">
        <f aca="false">IF('Estimates-split'!H4="","(n/a)","("&amp;TEXT('Estimates-split'!H4,"0.00")&amp;")")</f>
        <v>(-2.83)</v>
      </c>
      <c r="D8" s="8" t="str">
        <f aca="false">IF('Estimates-split'!L4="","(n/a)","("&amp;TEXT('Estimates-split'!L4,"0.00")&amp;")")</f>
        <v>(-2.29)</v>
      </c>
      <c r="E8" s="8" t="str">
        <f aca="false">IF('Estimates-split'!P4="","(n/a)","("&amp;TEXT('Estimates-split'!P4,"0.00")&amp;")")</f>
        <v>(-2.45)</v>
      </c>
    </row>
    <row r="9" customFormat="false" ht="15" hidden="false" customHeight="false" outlineLevel="0" collapsed="false">
      <c r="A9" s="7" t="s">
        <v>9</v>
      </c>
      <c r="B9" s="8" t="str">
        <f aca="false">TEXT('Estimates-split'!B5,"0.000")&amp;IF('Estimates-split'!E5="","",IF('Estimates-split'!E5&lt;0.01,"***",IF('Estimates-split'!E5&lt;0.05,"**",IF('Estimates-split'!E5&lt;0.1,"*",""))))</f>
        <v>-0.615***</v>
      </c>
      <c r="C9" s="8" t="str">
        <f aca="false">TEXT('Estimates-split'!F5,"0.000")&amp;IF('Estimates-split'!I5="","",IF('Estimates-split'!I5&lt;0.01,"***",IF('Estimates-split'!I5&lt;0.05,"**",IF('Estimates-split'!I5&lt;0.1,"*",""))))</f>
        <v>-0.581**</v>
      </c>
      <c r="D9" s="8" t="str">
        <f aca="false">TEXT('Estimates-split'!J5,"0.000")&amp;IF('Estimates-split'!M5="","",IF('Estimates-split'!M5&lt;0.01,"***",IF('Estimates-split'!M5&lt;0.05,"**",IF('Estimates-split'!M5&lt;0.1,"*",""))))</f>
        <v>-0.553*</v>
      </c>
      <c r="E9" s="8" t="str">
        <f aca="false">TEXT('Estimates-split'!N5,"0.000")&amp;IF('Estimates-split'!Q5="","",IF('Estimates-split'!Q5&lt;0.01,"***",IF('Estimates-split'!Q5&lt;0.05,"**",IF('Estimates-split'!Q5&lt;0.1,"*",""))))</f>
        <v>-0.579*</v>
      </c>
    </row>
    <row r="10" customFormat="false" ht="15" hidden="false" customHeight="false" outlineLevel="0" collapsed="false">
      <c r="B10" s="8" t="str">
        <f aca="false">IF('Estimates-split'!D5="","(n/a)","("&amp;TEXT('Estimates-split'!D5,"0.00")&amp;")")</f>
        <v>(-2.99)</v>
      </c>
      <c r="C10" s="8" t="str">
        <f aca="false">IF('Estimates-split'!H5="","(n/a)","("&amp;TEXT('Estimates-split'!H5,"0.00")&amp;")")</f>
        <v>(-2.68)</v>
      </c>
      <c r="D10" s="8" t="str">
        <f aca="false">IF('Estimates-split'!L5="","(n/a)","("&amp;TEXT('Estimates-split'!L5,"0.00")&amp;")")</f>
        <v>(-1.84)</v>
      </c>
      <c r="E10" s="8" t="str">
        <f aca="false">IF('Estimates-split'!P5="","(n/a)","("&amp;TEXT('Estimates-split'!P5,"0.00")&amp;")")</f>
        <v>(-1.97)</v>
      </c>
    </row>
    <row r="11" customFormat="false" ht="15" hidden="false" customHeight="false" outlineLevel="0" collapsed="false">
      <c r="A11" s="7" t="s">
        <v>10</v>
      </c>
      <c r="B11" s="8" t="str">
        <f aca="false">TEXT('Estimates-split'!B6,"0.000")&amp;IF('Estimates-split'!E6="","",IF('Estimates-split'!E6&lt;0.01,"***",IF('Estimates-split'!E6&lt;0.05,"**",IF('Estimates-split'!E6&lt;0.1,"*",""))))</f>
        <v>0.014</v>
      </c>
      <c r="C11" s="8" t="str">
        <f aca="false">TEXT('Estimates-split'!F6,"0.000")&amp;IF('Estimates-split'!I6="","",IF('Estimates-split'!I6&lt;0.01,"***",IF('Estimates-split'!I6&lt;0.05,"**",IF('Estimates-split'!I6&lt;0.1,"*",""))))</f>
        <v>0.004</v>
      </c>
      <c r="D11" s="8" t="str">
        <f aca="false">TEXT('Estimates-split'!J6,"0.000")&amp;IF('Estimates-split'!M6="","",IF('Estimates-split'!M6&lt;0.01,"***",IF('Estimates-split'!M6&lt;0.05,"**",IF('Estimates-split'!M6&lt;0.1,"*",""))))</f>
        <v>0.011</v>
      </c>
      <c r="E11" s="8" t="str">
        <f aca="false">TEXT('Estimates-split'!N6,"0.000")&amp;IF('Estimates-split'!Q6="","",IF('Estimates-split'!Q6&lt;0.01,"***",IF('Estimates-split'!Q6&lt;0.05,"**",IF('Estimates-split'!Q6&lt;0.1,"*",""))))</f>
        <v>0.000</v>
      </c>
    </row>
    <row r="12" customFormat="false" ht="15" hidden="false" customHeight="false" outlineLevel="0" collapsed="false">
      <c r="B12" s="8" t="str">
        <f aca="false">IF('Estimates-split'!D6="","(n/a)","("&amp;TEXT('Estimates-split'!D6,"0.00")&amp;")")</f>
        <v>(0.65)</v>
      </c>
      <c r="C12" s="8" t="str">
        <f aca="false">IF('Estimates-split'!H6="","(n/a)","("&amp;TEXT('Estimates-split'!H6,"0.00")&amp;")")</f>
        <v>(0.20)</v>
      </c>
      <c r="D12" s="8" t="str">
        <f aca="false">IF('Estimates-split'!L6="","(n/a)","("&amp;TEXT('Estimates-split'!L6,"0.00")&amp;")")</f>
        <v>(1.19)</v>
      </c>
      <c r="E12" s="8" t="str">
        <f aca="false">IF('Estimates-split'!P6="","(n/a)","("&amp;TEXT('Estimates-split'!P6,"0.00")&amp;")")</f>
        <v>(0.01)</v>
      </c>
    </row>
    <row r="13" customFormat="false" ht="15" hidden="false" customHeight="false" outlineLevel="0" collapsed="false">
      <c r="A13" s="7" t="s">
        <v>11</v>
      </c>
      <c r="B13" s="8" t="str">
        <f aca="false">TEXT('Estimates-split'!B7,"0.000")&amp;IF('Estimates-split'!E7="","",IF('Estimates-split'!E7&lt;0.01,"***",IF('Estimates-split'!E7&lt;0.05,"**",IF('Estimates-split'!E7&lt;0.1,"*",""))))</f>
        <v>0.007</v>
      </c>
      <c r="C13" s="8" t="str">
        <f aca="false">TEXT('Estimates-split'!F7,"0.000")&amp;IF('Estimates-split'!I7="","",IF('Estimates-split'!I7&lt;0.01,"***",IF('Estimates-split'!I7&lt;0.05,"**",IF('Estimates-split'!I7&lt;0.1,"*",""))))</f>
        <v>0.068</v>
      </c>
      <c r="D13" s="8" t="str">
        <f aca="false">TEXT('Estimates-split'!J7,"0.000")&amp;IF('Estimates-split'!M7="","",IF('Estimates-split'!M7&lt;0.01,"***",IF('Estimates-split'!M7&lt;0.05,"**",IF('Estimates-split'!M7&lt;0.1,"*",""))))</f>
        <v>-0.945**</v>
      </c>
      <c r="E13" s="8" t="str">
        <f aca="false">TEXT('Estimates-split'!N7,"0.000")&amp;IF('Estimates-split'!Q7="","",IF('Estimates-split'!Q7&lt;0.01,"***",IF('Estimates-split'!Q7&lt;0.05,"**",IF('Estimates-split'!Q7&lt;0.1,"*",""))))</f>
        <v>-1.418*</v>
      </c>
    </row>
    <row r="14" customFormat="false" ht="15" hidden="false" customHeight="false" outlineLevel="0" collapsed="false">
      <c r="B14" s="8" t="str">
        <f aca="false">IF('Estimates-split'!D7="","(n/a)","("&amp;TEXT('Estimates-split'!D7,"0.00")&amp;")")</f>
        <v>(0.13)</v>
      </c>
      <c r="C14" s="8" t="str">
        <f aca="false">IF('Estimates-split'!H7="","(n/a)","("&amp;TEXT('Estimates-split'!H7,"0.00")&amp;")")</f>
        <v>(1.04)</v>
      </c>
      <c r="D14" s="8" t="str">
        <f aca="false">IF('Estimates-split'!L7="","(n/a)","("&amp;TEXT('Estimates-split'!L7,"0.00")&amp;")")</f>
        <v>(-2.48)</v>
      </c>
      <c r="E14" s="8" t="str">
        <f aca="false">IF('Estimates-split'!P7="","(n/a)","("&amp;TEXT('Estimates-split'!P7,"0.00")&amp;")")</f>
        <v>(-1.95)</v>
      </c>
    </row>
    <row r="15" customFormat="false" ht="15" hidden="false" customHeight="false" outlineLevel="0" collapsed="false">
      <c r="A15" s="7" t="s">
        <v>12</v>
      </c>
      <c r="B15" s="8" t="str">
        <f aca="false">TEXT('Estimates-split'!B8,"0.000")&amp;IF('Estimates-split'!E8="","",IF('Estimates-split'!E8&lt;0.01,"***",IF('Estimates-split'!E8&lt;0.05,"**",IF('Estimates-split'!E8&lt;0.1,"*",""))))</f>
        <v>-0.005</v>
      </c>
      <c r="C15" s="8" t="str">
        <f aca="false">TEXT('Estimates-split'!F8,"0.000")&amp;IF('Estimates-split'!I8="","",IF('Estimates-split'!I8&lt;0.01,"***",IF('Estimates-split'!I8&lt;0.05,"**",IF('Estimates-split'!I8&lt;0.1,"*",""))))</f>
        <v>-0.006</v>
      </c>
      <c r="D15" s="8" t="str">
        <f aca="false">TEXT('Estimates-split'!J8,"0.000")&amp;IF('Estimates-split'!M8="","",IF('Estimates-split'!M8&lt;0.01,"***",IF('Estimates-split'!M8&lt;0.05,"**",IF('Estimates-split'!M8&lt;0.1,"*",""))))</f>
        <v>-0.027***</v>
      </c>
      <c r="E15" s="8" t="str">
        <f aca="false">TEXT('Estimates-split'!N8,"0.000")&amp;IF('Estimates-split'!Q8="","",IF('Estimates-split'!Q8&lt;0.01,"***",IF('Estimates-split'!Q8&lt;0.05,"**",IF('Estimates-split'!Q8&lt;0.1,"*",""))))</f>
        <v>-0.030***</v>
      </c>
    </row>
    <row r="16" customFormat="false" ht="15" hidden="false" customHeight="false" outlineLevel="0" collapsed="false">
      <c r="B16" s="8" t="str">
        <f aca="false">IF('Estimates-split'!D8="","(n/a)","("&amp;TEXT('Estimates-split'!D8,"0.00")&amp;")")</f>
        <v>(-1.17)</v>
      </c>
      <c r="C16" s="8" t="str">
        <f aca="false">IF('Estimates-split'!H8="","(n/a)","("&amp;TEXT('Estimates-split'!H8,"0.00")&amp;")")</f>
        <v>(-1.20)</v>
      </c>
      <c r="D16" s="8" t="str">
        <f aca="false">IF('Estimates-split'!L8="","(n/a)","("&amp;TEXT('Estimates-split'!L8,"0.00")&amp;")")</f>
        <v>(-3.18)</v>
      </c>
      <c r="E16" s="8" t="str">
        <f aca="false">IF('Estimates-split'!P8="","(n/a)","("&amp;TEXT('Estimates-split'!P8,"0.00")&amp;")")</f>
        <v>(-2.95)</v>
      </c>
    </row>
    <row r="17" customFormat="false" ht="15" hidden="false" customHeight="false" outlineLevel="0" collapsed="false">
      <c r="A17" s="7" t="s">
        <v>13</v>
      </c>
      <c r="B17" s="8" t="str">
        <f aca="false">TEXT('Estimates-split'!B9,"0.000")&amp;IF('Estimates-split'!E9="","",IF('Estimates-split'!E9&lt;0.01,"***",IF('Estimates-split'!E9&lt;0.05,"**",IF('Estimates-split'!E9&lt;0.1,"*",""))))</f>
        <v>-0.082</v>
      </c>
      <c r="C17" s="8" t="str">
        <f aca="false">TEXT('Estimates-split'!F9,"0.000")&amp;IF('Estimates-split'!I9="","",IF('Estimates-split'!I9&lt;0.01,"***",IF('Estimates-split'!I9&lt;0.05,"**",IF('Estimates-split'!I9&lt;0.1,"*",""))))</f>
        <v>0.005</v>
      </c>
      <c r="D17" s="8" t="str">
        <f aca="false">TEXT('Estimates-split'!J9,"0.000")&amp;IF('Estimates-split'!M9="","",IF('Estimates-split'!M9&lt;0.01,"***",IF('Estimates-split'!M9&lt;0.05,"**",IF('Estimates-split'!M9&lt;0.1,"*",""))))</f>
        <v>-0.048</v>
      </c>
      <c r="E17" s="8" t="str">
        <f aca="false">TEXT('Estimates-split'!N9,"0.000")&amp;IF('Estimates-split'!Q9="","",IF('Estimates-split'!Q9&lt;0.01,"***",IF('Estimates-split'!Q9&lt;0.05,"**",IF('Estimates-split'!Q9&lt;0.1,"*",""))))</f>
        <v>-0.029</v>
      </c>
    </row>
    <row r="18" customFormat="false" ht="15" hidden="false" customHeight="false" outlineLevel="0" collapsed="false">
      <c r="B18" s="8" t="str">
        <f aca="false">IF('Estimates-split'!D9="","(n/a)","("&amp;TEXT('Estimates-split'!D9,"0.00")&amp;")")</f>
        <v>(-0.61)</v>
      </c>
      <c r="C18" s="8" t="str">
        <f aca="false">IF('Estimates-split'!H9="","(n/a)","("&amp;TEXT('Estimates-split'!H9,"0.00")&amp;")")</f>
        <v>(0.07)</v>
      </c>
      <c r="D18" s="8" t="str">
        <f aca="false">IF('Estimates-split'!L9="","(n/a)","("&amp;TEXT('Estimates-split'!L9,"0.00")&amp;")")</f>
        <v>(-0.58)</v>
      </c>
      <c r="E18" s="8" t="str">
        <f aca="false">IF('Estimates-split'!P9="","(n/a)","("&amp;TEXT('Estimates-split'!P9,"0.00")&amp;")")</f>
        <v>(-0.34)</v>
      </c>
    </row>
    <row r="19" customFormat="false" ht="15" hidden="false" customHeight="false" outlineLevel="0" collapsed="false">
      <c r="A19" s="7" t="s">
        <v>14</v>
      </c>
      <c r="B19" s="8" t="str">
        <f aca="false">TEXT('Estimates-split'!B10,"0.000")&amp;IF('Estimates-split'!E10="","",IF('Estimates-split'!E10&lt;0.01,"***",IF('Estimates-split'!E10&lt;0.05,"**",IF('Estimates-split'!E10&lt;0.1,"*",""))))</f>
        <v>-0.091</v>
      </c>
      <c r="C19" s="8" t="str">
        <f aca="false">TEXT('Estimates-split'!F10,"0.000")&amp;IF('Estimates-split'!I10="","",IF('Estimates-split'!I10&lt;0.01,"***",IF('Estimates-split'!I10&lt;0.05,"**",IF('Estimates-split'!I10&lt;0.1,"*",""))))</f>
        <v>0.000</v>
      </c>
      <c r="D19" s="8" t="str">
        <f aca="false">TEXT('Estimates-split'!J10,"0.000")&amp;IF('Estimates-split'!M10="","",IF('Estimates-split'!M10&lt;0.01,"***",IF('Estimates-split'!M10&lt;0.05,"**",IF('Estimates-split'!M10&lt;0.1,"*",""))))</f>
        <v>-0.059</v>
      </c>
      <c r="E19" s="8" t="str">
        <f aca="false">TEXT('Estimates-split'!N10,"0.000")&amp;IF('Estimates-split'!Q10="","",IF('Estimates-split'!Q10&lt;0.01,"***",IF('Estimates-split'!Q10&lt;0.05,"**",IF('Estimates-split'!Q10&lt;0.1,"*",""))))</f>
        <v>-0.035</v>
      </c>
    </row>
    <row r="20" customFormat="false" ht="15" hidden="false" customHeight="false" outlineLevel="0" collapsed="false">
      <c r="B20" s="8" t="str">
        <f aca="false">IF('Estimates-split'!D10="","(n/a)","("&amp;TEXT('Estimates-split'!D10,"0.00")&amp;")")</f>
        <v>(-0.63)</v>
      </c>
      <c r="C20" s="8" t="str">
        <f aca="false">IF('Estimates-split'!H10="","(n/a)","("&amp;TEXT('Estimates-split'!H10,"0.00")&amp;")")</f>
        <v>(0.00)</v>
      </c>
      <c r="D20" s="8" t="str">
        <f aca="false">IF('Estimates-split'!L10="","(n/a)","("&amp;TEXT('Estimates-split'!L10,"0.00")&amp;")")</f>
        <v>(-0.61)</v>
      </c>
      <c r="E20" s="8" t="str">
        <f aca="false">IF('Estimates-split'!P10="","(n/a)","("&amp;TEXT('Estimates-split'!P10,"0.00")&amp;")")</f>
        <v>(-0.36)</v>
      </c>
    </row>
    <row r="21" customFormat="false" ht="15" hidden="false" customHeight="false" outlineLevel="0" collapsed="false">
      <c r="A21" s="7" t="s">
        <v>15</v>
      </c>
      <c r="B21" s="8" t="str">
        <f aca="false">TEXT('Estimates-split'!B11,"0.000")&amp;IF('Estimates-split'!E11="","",IF('Estimates-split'!E11&lt;0.01,"***",IF('Estimates-split'!E11&lt;0.05,"**",IF('Estimates-split'!E11&lt;0.1,"*",""))))</f>
        <v>-0.062</v>
      </c>
      <c r="C21" s="8" t="str">
        <f aca="false">TEXT('Estimates-split'!F11,"0.000")&amp;IF('Estimates-split'!I11="","",IF('Estimates-split'!I11&lt;0.01,"***",IF('Estimates-split'!I11&lt;0.05,"**",IF('Estimates-split'!I11&lt;0.1,"*",""))))</f>
        <v>0.026</v>
      </c>
      <c r="D21" s="8" t="str">
        <f aca="false">TEXT('Estimates-split'!J11,"0.000")&amp;IF('Estimates-split'!M11="","",IF('Estimates-split'!M11&lt;0.01,"***",IF('Estimates-split'!M11&lt;0.05,"**",IF('Estimates-split'!M11&lt;0.1,"*",""))))</f>
        <v>-0.091</v>
      </c>
      <c r="E21" s="8" t="str">
        <f aca="false">TEXT('Estimates-split'!N11,"0.000")&amp;IF('Estimates-split'!Q11="","",IF('Estimates-split'!Q11&lt;0.01,"***",IF('Estimates-split'!Q11&lt;0.05,"**",IF('Estimates-split'!Q11&lt;0.1,"*",""))))</f>
        <v>-0.079</v>
      </c>
    </row>
    <row r="22" customFormat="false" ht="15" hidden="false" customHeight="false" outlineLevel="0" collapsed="false">
      <c r="B22" s="8" t="str">
        <f aca="false">IF('Estimates-split'!D11="","(n/a)","("&amp;TEXT('Estimates-split'!D11,"0.00")&amp;")")</f>
        <v>(-0.46)</v>
      </c>
      <c r="C22" s="8" t="str">
        <f aca="false">IF('Estimates-split'!H11="","(n/a)","("&amp;TEXT('Estimates-split'!H11,"0.00")&amp;")")</f>
        <v>(0.43)</v>
      </c>
      <c r="D22" s="8" t="str">
        <f aca="false">IF('Estimates-split'!L11="","(n/a)","("&amp;TEXT('Estimates-split'!L11,"0.00")&amp;")")</f>
        <v>(-1.14)</v>
      </c>
      <c r="E22" s="8" t="str">
        <f aca="false">IF('Estimates-split'!P11="","(n/a)","("&amp;TEXT('Estimates-split'!P11,"0.00")&amp;")")</f>
        <v>(-0.90)</v>
      </c>
    </row>
    <row r="23" customFormat="false" ht="15" hidden="false" customHeight="false" outlineLevel="0" collapsed="false">
      <c r="A23" s="7" t="s">
        <v>16</v>
      </c>
      <c r="B23" s="8" t="str">
        <f aca="false">TEXT('Estimates-split'!B12,"0.000")&amp;IF('Estimates-split'!E12="","",IF('Estimates-split'!E12&lt;0.01,"***",IF('Estimates-split'!E12&lt;0.05,"**",IF('Estimates-split'!E12&lt;0.1,"*",""))))</f>
        <v>-0.073</v>
      </c>
      <c r="C23" s="8" t="str">
        <f aca="false">TEXT('Estimates-split'!F12,"0.000")&amp;IF('Estimates-split'!I12="","",IF('Estimates-split'!I12&lt;0.01,"***",IF('Estimates-split'!I12&lt;0.05,"**",IF('Estimates-split'!I12&lt;0.1,"*",""))))</f>
        <v>0.025</v>
      </c>
      <c r="D23" s="8" t="str">
        <f aca="false">TEXT('Estimates-split'!J12,"0.000")&amp;IF('Estimates-split'!M12="","",IF('Estimates-split'!M12&lt;0.01,"***",IF('Estimates-split'!M12&lt;0.05,"**",IF('Estimates-split'!M12&lt;0.1,"*",""))))</f>
        <v>-0.042</v>
      </c>
      <c r="E23" s="8" t="str">
        <f aca="false">TEXT('Estimates-split'!N12,"0.000")&amp;IF('Estimates-split'!Q12="","",IF('Estimates-split'!Q12&lt;0.01,"***",IF('Estimates-split'!Q12&lt;0.05,"**",IF('Estimates-split'!Q12&lt;0.1,"*",""))))</f>
        <v>0.011</v>
      </c>
    </row>
    <row r="24" customFormat="false" ht="15" hidden="false" customHeight="false" outlineLevel="0" collapsed="false">
      <c r="B24" s="8" t="str">
        <f aca="false">IF('Estimates-split'!D12="","(n/a)","("&amp;TEXT('Estimates-split'!D12,"0.00")&amp;")")</f>
        <v>(-0.51)</v>
      </c>
      <c r="C24" s="8" t="str">
        <f aca="false">IF('Estimates-split'!H12="","(n/a)","("&amp;TEXT('Estimates-split'!H12,"0.00")&amp;")")</f>
        <v>(0.39)</v>
      </c>
      <c r="D24" s="8" t="str">
        <f aca="false">IF('Estimates-split'!L12="","(n/a)","("&amp;TEXT('Estimates-split'!L12,"0.00")&amp;")")</f>
        <v>(-0.47)</v>
      </c>
      <c r="E24" s="8" t="str">
        <f aca="false">IF('Estimates-split'!P12="","(n/a)","("&amp;TEXT('Estimates-split'!P12,"0.00")&amp;")")</f>
        <v>(0.12)</v>
      </c>
    </row>
    <row r="25" customFormat="false" ht="15" hidden="false" customHeight="false" outlineLevel="0" collapsed="false">
      <c r="A25" s="7" t="s">
        <v>17</v>
      </c>
      <c r="B25" s="8" t="str">
        <f aca="false">TEXT('Estimates-split'!B13,"0.000")&amp;IF('Estimates-split'!E13="","",IF('Estimates-split'!E13&lt;0.01,"***",IF('Estimates-split'!E13&lt;0.05,"**",IF('Estimates-split'!E13&lt;0.1,"*",""))))</f>
        <v>-0.129</v>
      </c>
      <c r="C25" s="8" t="str">
        <f aca="false">TEXT('Estimates-split'!F13,"0.000")&amp;IF('Estimates-split'!I13="","",IF('Estimates-split'!I13&lt;0.01,"***",IF('Estimates-split'!I13&lt;0.05,"**",IF('Estimates-split'!I13&lt;0.1,"*",""))))</f>
        <v>-0.039</v>
      </c>
      <c r="D25" s="8" t="str">
        <f aca="false">TEXT('Estimates-split'!J13,"0.000")&amp;IF('Estimates-split'!M13="","",IF('Estimates-split'!M13&lt;0.01,"***",IF('Estimates-split'!M13&lt;0.05,"**",IF('Estimates-split'!M13&lt;0.1,"*",""))))</f>
        <v>-0.097</v>
      </c>
      <c r="E25" s="8" t="str">
        <f aca="false">TEXT('Estimates-split'!N13,"0.000")&amp;IF('Estimates-split'!Q13="","",IF('Estimates-split'!Q13&lt;0.01,"***",IF('Estimates-split'!Q13&lt;0.05,"**",IF('Estimates-split'!Q13&lt;0.1,"*",""))))</f>
        <v>-0.083</v>
      </c>
    </row>
    <row r="26" customFormat="false" ht="15" hidden="false" customHeight="false" outlineLevel="0" collapsed="false">
      <c r="B26" s="8" t="str">
        <f aca="false">IF('Estimates-split'!D13="","(n/a)","("&amp;TEXT('Estimates-split'!D13,"0.00")&amp;")")</f>
        <v>(-0.96)</v>
      </c>
      <c r="C26" s="8" t="str">
        <f aca="false">IF('Estimates-split'!H13="","(n/a)","("&amp;TEXT('Estimates-split'!H13,"0.00")&amp;")")</f>
        <v>(-0.59)</v>
      </c>
      <c r="D26" s="8" t="str">
        <f aca="false">IF('Estimates-split'!L13="","(n/a)","("&amp;TEXT('Estimates-split'!L13,"0.00")&amp;")")</f>
        <v>(-1.27)</v>
      </c>
      <c r="E26" s="8" t="str">
        <f aca="false">IF('Estimates-split'!P13="","(n/a)","("&amp;TEXT('Estimates-split'!P13,"0.00")&amp;")")</f>
        <v>(-1.12)</v>
      </c>
    </row>
    <row r="27" customFormat="false" ht="15" hidden="false" customHeight="false" outlineLevel="0" collapsed="false">
      <c r="A27" s="7" t="s">
        <v>18</v>
      </c>
      <c r="B27" s="8" t="str">
        <f aca="false">TEXT('Estimates-split'!B14,"0.000")&amp;IF('Estimates-split'!E14="","",IF('Estimates-split'!E14&lt;0.01,"***",IF('Estimates-split'!E14&lt;0.05,"**",IF('Estimates-split'!E14&lt;0.1,"*",""))))</f>
        <v>-0.096</v>
      </c>
      <c r="C27" s="8" t="str">
        <f aca="false">TEXT('Estimates-split'!F14,"0.000")&amp;IF('Estimates-split'!I14="","",IF('Estimates-split'!I14&lt;0.01,"***",IF('Estimates-split'!I14&lt;0.05,"**",IF('Estimates-split'!I14&lt;0.1,"*",""))))</f>
        <v>-0.010</v>
      </c>
      <c r="D27" s="8" t="str">
        <f aca="false">TEXT('Estimates-split'!J14,"0.000")&amp;IF('Estimates-split'!M14="","",IF('Estimates-split'!M14&lt;0.01,"***",IF('Estimates-split'!M14&lt;0.05,"**",IF('Estimates-split'!M14&lt;0.1,"*",""))))</f>
        <v>-0.115</v>
      </c>
      <c r="E27" s="8" t="str">
        <f aca="false">TEXT('Estimates-split'!N14,"0.000")&amp;IF('Estimates-split'!Q14="","",IF('Estimates-split'!Q14&lt;0.01,"***",IF('Estimates-split'!Q14&lt;0.05,"**",IF('Estimates-split'!Q14&lt;0.1,"*",""))))</f>
        <v>-0.076</v>
      </c>
    </row>
    <row r="28" customFormat="false" ht="15" hidden="false" customHeight="false" outlineLevel="0" collapsed="false">
      <c r="B28" s="8" t="str">
        <f aca="false">IF('Estimates-split'!D14="","(n/a)","("&amp;TEXT('Estimates-split'!D14,"0.00")&amp;")")</f>
        <v>(-0.69)</v>
      </c>
      <c r="C28" s="8" t="str">
        <f aca="false">IF('Estimates-split'!H14="","(n/a)","("&amp;TEXT('Estimates-split'!H14,"0.00")&amp;")")</f>
        <v>(-0.16)</v>
      </c>
      <c r="D28" s="8" t="str">
        <f aca="false">IF('Estimates-split'!L14="","(n/a)","("&amp;TEXT('Estimates-split'!L14,"0.00")&amp;")")</f>
        <v>(-1.34)</v>
      </c>
      <c r="E28" s="8" t="str">
        <f aca="false">IF('Estimates-split'!P14="","(n/a)","("&amp;TEXT('Estimates-split'!P14,"0.00")&amp;")")</f>
        <v>(-0.88)</v>
      </c>
    </row>
    <row r="29" customFormat="false" ht="15" hidden="false" customHeight="false" outlineLevel="0" collapsed="false">
      <c r="A29" s="7" t="s">
        <v>19</v>
      </c>
      <c r="B29" s="8" t="str">
        <f aca="false">TEXT('Estimates-split'!B15,"0.000")&amp;IF('Estimates-split'!E15="","",IF('Estimates-split'!E15&lt;0.01,"***",IF('Estimates-split'!E15&lt;0.05,"**",IF('Estimates-split'!E15&lt;0.1,"*",""))))</f>
        <v>-0.143</v>
      </c>
      <c r="C29" s="8" t="str">
        <f aca="false">TEXT('Estimates-split'!F15,"0.000")&amp;IF('Estimates-split'!I15="","",IF('Estimates-split'!I15&lt;0.01,"***",IF('Estimates-split'!I15&lt;0.05,"**",IF('Estimates-split'!I15&lt;0.1,"*",""))))</f>
        <v>-0.047</v>
      </c>
      <c r="D29" s="8" t="str">
        <f aca="false">TEXT('Estimates-split'!J15,"0.000")&amp;IF('Estimates-split'!M15="","",IF('Estimates-split'!M15&lt;0.01,"***",IF('Estimates-split'!M15&lt;0.05,"**",IF('Estimates-split'!M15&lt;0.1,"*",""))))</f>
        <v>-0.139</v>
      </c>
      <c r="E29" s="8" t="str">
        <f aca="false">TEXT('Estimates-split'!N15,"0.000")&amp;IF('Estimates-split'!Q15="","",IF('Estimates-split'!Q15&lt;0.01,"***",IF('Estimates-split'!Q15&lt;0.05,"**",IF('Estimates-split'!Q15&lt;0.1,"*",""))))</f>
        <v>-0.123</v>
      </c>
    </row>
    <row r="30" customFormat="false" ht="15" hidden="false" customHeight="false" outlineLevel="0" collapsed="false">
      <c r="B30" s="8" t="str">
        <f aca="false">IF('Estimates-split'!D15="","(n/a)","("&amp;TEXT('Estimates-split'!D15,"0.00")&amp;")")</f>
        <v>(-1.03)</v>
      </c>
      <c r="C30" s="8" t="str">
        <f aca="false">IF('Estimates-split'!H15="","(n/a)","("&amp;TEXT('Estimates-split'!H15,"0.00")&amp;")")</f>
        <v>(-0.77)</v>
      </c>
      <c r="D30" s="8" t="str">
        <f aca="false">IF('Estimates-split'!L15="","(n/a)","("&amp;TEXT('Estimates-split'!L15,"0.00")&amp;")")</f>
        <v>(-1.46)</v>
      </c>
      <c r="E30" s="8" t="str">
        <f aca="false">IF('Estimates-split'!P15="","(n/a)","("&amp;TEXT('Estimates-split'!P15,"0.00")&amp;")")</f>
        <v>(-1.25)</v>
      </c>
    </row>
    <row r="31" customFormat="false" ht="15" hidden="false" customHeight="false" outlineLevel="0" collapsed="false">
      <c r="A31" s="7" t="s">
        <v>20</v>
      </c>
      <c r="B31" s="8" t="str">
        <f aca="false">TEXT('Estimates-split'!B16,"0.000")&amp;IF('Estimates-split'!E16="","",IF('Estimates-split'!E16&lt;0.01,"***",IF('Estimates-split'!E16&lt;0.05,"**",IF('Estimates-split'!E16&lt;0.1,"*",""))))</f>
        <v>-0.102</v>
      </c>
      <c r="C31" s="8" t="str">
        <f aca="false">TEXT('Estimates-split'!F16,"0.000")&amp;IF('Estimates-split'!I16="","",IF('Estimates-split'!I16&lt;0.01,"***",IF('Estimates-split'!I16&lt;0.05,"**",IF('Estimates-split'!I16&lt;0.1,"*",""))))</f>
        <v>-0.018</v>
      </c>
      <c r="D31" s="8" t="str">
        <f aca="false">TEXT('Estimates-split'!J16,"0.000")&amp;IF('Estimates-split'!M16="","",IF('Estimates-split'!M16&lt;0.01,"***",IF('Estimates-split'!M16&lt;0.05,"**",IF('Estimates-split'!M16&lt;0.1,"*",""))))</f>
        <v>-0.068</v>
      </c>
      <c r="E31" s="8" t="str">
        <f aca="false">TEXT('Estimates-split'!N16,"0.000")&amp;IF('Estimates-split'!Q16="","",IF('Estimates-split'!Q16&lt;0.01,"***",IF('Estimates-split'!Q16&lt;0.05,"**",IF('Estimates-split'!Q16&lt;0.1,"*",""))))</f>
        <v>-0.046</v>
      </c>
    </row>
    <row r="32" customFormat="false" ht="15" hidden="false" customHeight="false" outlineLevel="0" collapsed="false">
      <c r="B32" s="8" t="str">
        <f aca="false">IF('Estimates-split'!D16="","(n/a)","("&amp;TEXT('Estimates-split'!D16,"0.00")&amp;")")</f>
        <v>(-0.69)</v>
      </c>
      <c r="C32" s="8" t="str">
        <f aca="false">IF('Estimates-split'!H16="","(n/a)","("&amp;TEXT('Estimates-split'!H16,"0.00")&amp;")")</f>
        <v>(-0.23)</v>
      </c>
      <c r="D32" s="8" t="str">
        <f aca="false">IF('Estimates-split'!L16="","(n/a)","("&amp;TEXT('Estimates-split'!L16,"0.00")&amp;")")</f>
        <v>(-0.61)</v>
      </c>
      <c r="E32" s="8" t="str">
        <f aca="false">IF('Estimates-split'!P16="","(n/a)","("&amp;TEXT('Estimates-split'!P16,"0.00")&amp;")")</f>
        <v>(-0.41)</v>
      </c>
    </row>
    <row r="33" customFormat="false" ht="15" hidden="false" customHeight="false" outlineLevel="0" collapsed="false">
      <c r="A33" s="7" t="s">
        <v>21</v>
      </c>
      <c r="B33" s="8" t="str">
        <f aca="false">TEXT('Estimates-split'!B17,"0.000")&amp;IF('Estimates-split'!E17="","",IF('Estimates-split'!E17&lt;0.01,"***",IF('Estimates-split'!E17&lt;0.05,"**",IF('Estimates-split'!E17&lt;0.1,"*",""))))</f>
        <v>0.110</v>
      </c>
      <c r="C33" s="8" t="str">
        <f aca="false">TEXT('Estimates-split'!F17,"0.000")&amp;IF('Estimates-split'!I17="","",IF('Estimates-split'!I17&lt;0.01,"***",IF('Estimates-split'!I17&lt;0.05,"**",IF('Estimates-split'!I17&lt;0.1,"*",""))))</f>
        <v>0.144</v>
      </c>
    </row>
    <row r="34" customFormat="false" ht="15" hidden="false" customHeight="false" outlineLevel="0" collapsed="false">
      <c r="B34" s="8" t="str">
        <f aca="false">IF('Estimates-split'!D17="","(n/a)","("&amp;TEXT('Estimates-split'!D17,"0.00")&amp;")")</f>
        <v>(0.77)</v>
      </c>
      <c r="C34" s="8" t="str">
        <f aca="false">IF('Estimates-split'!H17="","(n/a)","("&amp;TEXT('Estimates-split'!H17,"0.00")&amp;")")</f>
        <v>(1.02)</v>
      </c>
    </row>
    <row r="35" customFormat="false" ht="15" hidden="false" customHeight="false" outlineLevel="0" collapsed="false">
      <c r="A35" s="7" t="s">
        <v>22</v>
      </c>
      <c r="C35" s="8" t="str">
        <f aca="false">TEXT('Estimates-split'!F18,"0.000")&amp;IF('Estimates-split'!I18="","",IF('Estimates-split'!I18&lt;0.01,"***",IF('Estimates-split'!I18&lt;0.05,"**",IF('Estimates-split'!I18&lt;0.1,"*",""))))</f>
        <v>-0.404</v>
      </c>
      <c r="D35" s="8" t="str">
        <f aca="false">TEXT('Estimates-split'!J18,"0.000")&amp;IF('Estimates-split'!M18="","",IF('Estimates-split'!M18&lt;0.01,"***",IF('Estimates-split'!M18&lt;0.05,"**",IF('Estimates-split'!M18&lt;0.1,"*",""))))</f>
        <v>0.821</v>
      </c>
      <c r="E35" s="8" t="str">
        <f aca="false">TEXT('Estimates-split'!N18,"0.000")&amp;IF('Estimates-split'!Q18="","",IF('Estimates-split'!Q18&lt;0.01,"***",IF('Estimates-split'!Q18&lt;0.05,"**",IF('Estimates-split'!Q18&lt;0.1,"*",""))))</f>
        <v>0.916</v>
      </c>
    </row>
    <row r="36" customFormat="false" ht="15" hidden="false" customHeight="false" outlineLevel="0" collapsed="false">
      <c r="C36" s="8" t="str">
        <f aca="false">IF('Estimates-split'!H18="","(n/a)","("&amp;TEXT('Estimates-split'!H18,"0.00")&amp;")")</f>
        <v>(-0.77)</v>
      </c>
      <c r="D36" s="8" t="str">
        <f aca="false">IF('Estimates-split'!L18="","(n/a)","("&amp;TEXT('Estimates-split'!L18,"0.00")&amp;")")</f>
        <v>(1.28)</v>
      </c>
      <c r="E36" s="8" t="str">
        <f aca="false">IF('Estimates-split'!P18="","(n/a)","("&amp;TEXT('Estimates-split'!P18,"0.00")&amp;")")</f>
        <v>(1.37)</v>
      </c>
    </row>
    <row r="37" customFormat="false" ht="15" hidden="false" customHeight="false" outlineLevel="0" collapsed="false">
      <c r="A37" s="7" t="s">
        <v>23</v>
      </c>
      <c r="C37" s="8" t="str">
        <f aca="false">TEXT('Estimates-split'!F19,"0.000")&amp;IF('Estimates-split'!I19="","",IF('Estimates-split'!I19&lt;0.01,"***",IF('Estimates-split'!I19&lt;0.05,"**",IF('Estimates-split'!I19&lt;0.1,"*",""))))</f>
        <v>0.036</v>
      </c>
      <c r="D37" s="8" t="str">
        <f aca="false">TEXT('Estimates-split'!J19,"0.000")&amp;IF('Estimates-split'!M19="","",IF('Estimates-split'!M19&lt;0.01,"***",IF('Estimates-split'!M19&lt;0.05,"**",IF('Estimates-split'!M19&lt;0.1,"*",""))))</f>
        <v>-0.012</v>
      </c>
      <c r="E37" s="8" t="str">
        <f aca="false">TEXT('Estimates-split'!N19,"0.000")&amp;IF('Estimates-split'!Q19="","",IF('Estimates-split'!Q19&lt;0.01,"***",IF('Estimates-split'!Q19&lt;0.05,"**",IF('Estimates-split'!Q19&lt;0.1,"*",""))))</f>
        <v>-0.037</v>
      </c>
    </row>
    <row r="38" customFormat="false" ht="15" hidden="false" customHeight="false" outlineLevel="0" collapsed="false">
      <c r="C38" s="8" t="str">
        <f aca="false">IF('Estimates-split'!H19="","(n/a)","("&amp;TEXT('Estimates-split'!H19,"0.00")&amp;")")</f>
        <v>(0.38)</v>
      </c>
      <c r="D38" s="8" t="str">
        <f aca="false">IF('Estimates-split'!L19="","(n/a)","("&amp;TEXT('Estimates-split'!L19,"0.00")&amp;")")</f>
        <v>(-0.10)</v>
      </c>
      <c r="E38" s="8" t="str">
        <f aca="false">IF('Estimates-split'!P19="","(n/a)","("&amp;TEXT('Estimates-split'!P19,"0.00")&amp;")")</f>
        <v>(-0.28)</v>
      </c>
    </row>
    <row r="39" customFormat="false" ht="15" hidden="false" customHeight="false" outlineLevel="0" collapsed="false">
      <c r="A39" s="7" t="s">
        <v>24</v>
      </c>
      <c r="C39" s="8" t="str">
        <f aca="false">TEXT('Estimates-split'!F20,"0.000")&amp;IF('Estimates-split'!I20="","",IF('Estimates-split'!I20&lt;0.01,"***",IF('Estimates-split'!I20&lt;0.05,"**",IF('Estimates-split'!I20&lt;0.1,"*",""))))</f>
        <v>0.031</v>
      </c>
      <c r="D39" s="8" t="str">
        <f aca="false">TEXT('Estimates-split'!J20,"0.000")&amp;IF('Estimates-split'!M20="","",IF('Estimates-split'!M20&lt;0.01,"***",IF('Estimates-split'!M20&lt;0.05,"**",IF('Estimates-split'!M20&lt;0.1,"*",""))))</f>
        <v>-0.037</v>
      </c>
      <c r="E39" s="8" t="str">
        <f aca="false">TEXT('Estimates-split'!N20,"0.000")&amp;IF('Estimates-split'!Q20="","",IF('Estimates-split'!Q20&lt;0.01,"***",IF('Estimates-split'!Q20&lt;0.05,"**",IF('Estimates-split'!Q20&lt;0.1,"*",""))))</f>
        <v>0.004</v>
      </c>
    </row>
    <row r="40" customFormat="false" ht="15" hidden="false" customHeight="false" outlineLevel="0" collapsed="false">
      <c r="C40" s="8" t="str">
        <f aca="false">IF('Estimates-split'!H20="","(n/a)","("&amp;TEXT('Estimates-split'!H20,"0.00")&amp;")")</f>
        <v>(0.29)</v>
      </c>
      <c r="D40" s="8" t="str">
        <f aca="false">IF('Estimates-split'!L20="","(n/a)","("&amp;TEXT('Estimates-split'!L20,"0.00")&amp;")")</f>
        <v>(-0.22)</v>
      </c>
      <c r="E40" s="8" t="str">
        <f aca="false">IF('Estimates-split'!P20="","(n/a)","("&amp;TEXT('Estimates-split'!P20,"0.00")&amp;")")</f>
        <v>(0.03)</v>
      </c>
    </row>
    <row r="41" customFormat="false" ht="15" hidden="false" customHeight="false" outlineLevel="0" collapsed="false">
      <c r="A41" s="7" t="s">
        <v>25</v>
      </c>
      <c r="C41" s="8" t="str">
        <f aca="false">TEXT('Estimates-split'!F21,"0.000")&amp;IF('Estimates-split'!I21="","",IF('Estimates-split'!I21&lt;0.01,"***",IF('Estimates-split'!I21&lt;0.05,"**",IF('Estimates-split'!I21&lt;0.1,"*",""))))</f>
        <v>-0.112</v>
      </c>
      <c r="D41" s="8" t="str">
        <f aca="false">TEXT('Estimates-split'!J21,"0.000")&amp;IF('Estimates-split'!M21="","",IF('Estimates-split'!M21&lt;0.01,"***",IF('Estimates-split'!M21&lt;0.05,"**",IF('Estimates-split'!M21&lt;0.1,"*",""))))</f>
        <v>0.244</v>
      </c>
      <c r="E41" s="8" t="str">
        <f aca="false">TEXT('Estimates-split'!N21,"0.000")&amp;IF('Estimates-split'!Q21="","",IF('Estimates-split'!Q21&lt;0.01,"***",IF('Estimates-split'!Q21&lt;0.05,"**",IF('Estimates-split'!Q21&lt;0.1,"*",""))))</f>
        <v>0.289</v>
      </c>
    </row>
    <row r="42" customFormat="false" ht="15" hidden="false" customHeight="false" outlineLevel="0" collapsed="false">
      <c r="C42" s="8" t="str">
        <f aca="false">IF('Estimates-split'!H21="","(n/a)","("&amp;TEXT('Estimates-split'!H21,"0.00")&amp;")")</f>
        <v>(-0.80)</v>
      </c>
      <c r="D42" s="8" t="str">
        <f aca="false">IF('Estimates-split'!L21="","(n/a)","("&amp;TEXT('Estimates-split'!L21,"0.00")&amp;")")</f>
        <v>(1.01)</v>
      </c>
      <c r="E42" s="8" t="str">
        <f aca="false">IF('Estimates-split'!P21="","(n/a)","("&amp;TEXT('Estimates-split'!P21,"0.00")&amp;")")</f>
        <v>(1.20)</v>
      </c>
    </row>
    <row r="43" customFormat="false" ht="15" hidden="false" customHeight="false" outlineLevel="0" collapsed="false">
      <c r="A43" s="7" t="s">
        <v>26</v>
      </c>
      <c r="C43" s="8" t="str">
        <f aca="false">TEXT('Estimates-split'!F22,"0.000")&amp;IF('Estimates-split'!I22="","",IF('Estimates-split'!I22&lt;0.01,"***",IF('Estimates-split'!I22&lt;0.05,"**",IF('Estimates-split'!I22&lt;0.1,"*",""))))</f>
        <v>0.269*</v>
      </c>
      <c r="D43" s="8" t="str">
        <f aca="false">TEXT('Estimates-split'!J22,"0.000")&amp;IF('Estimates-split'!M22="","",IF('Estimates-split'!M22&lt;0.01,"***",IF('Estimates-split'!M22&lt;0.05,"**",IF('Estimates-split'!M22&lt;0.1,"*",""))))</f>
        <v>-0.260</v>
      </c>
      <c r="E43" s="8" t="str">
        <f aca="false">TEXT('Estimates-split'!N22,"0.000")&amp;IF('Estimates-split'!Q22="","",IF('Estimates-split'!Q22&lt;0.01,"***",IF('Estimates-split'!Q22&lt;0.05,"**",IF('Estimates-split'!Q22&lt;0.1,"*",""))))</f>
        <v>-0.187</v>
      </c>
    </row>
    <row r="44" customFormat="false" ht="15" hidden="false" customHeight="false" outlineLevel="0" collapsed="false">
      <c r="C44" s="8" t="str">
        <f aca="false">IF('Estimates-split'!H22="","(n/a)","("&amp;TEXT('Estimates-split'!H22,"0.00")&amp;")")</f>
        <v>(2.04)</v>
      </c>
      <c r="D44" s="8" t="str">
        <f aca="false">IF('Estimates-split'!L22="","(n/a)","("&amp;TEXT('Estimates-split'!L22,"0.00")&amp;")")</f>
        <v>(-0.31)</v>
      </c>
      <c r="E44" s="8" t="str">
        <f aca="false">IF('Estimates-split'!P22="","(n/a)","("&amp;TEXT('Estimates-split'!P22,"0.00")&amp;")")</f>
        <v>(-0.19)</v>
      </c>
    </row>
    <row r="45" customFormat="false" ht="15" hidden="false" customHeight="false" outlineLevel="0" collapsed="false">
      <c r="A45" s="7" t="s">
        <v>27</v>
      </c>
      <c r="C45" s="8" t="str">
        <f aca="false">TEXT('Estimates-split'!F23,"0.000")&amp;IF('Estimates-split'!I23="","",IF('Estimates-split'!I23&lt;0.01,"***",IF('Estimates-split'!I23&lt;0.05,"**",IF('Estimates-split'!I23&lt;0.1,"*",""))))</f>
        <v>-0.373</v>
      </c>
      <c r="D45" s="8" t="str">
        <f aca="false">TEXT('Estimates-split'!J23,"0.000")&amp;IF('Estimates-split'!M23="","",IF('Estimates-split'!M23&lt;0.01,"***",IF('Estimates-split'!M23&lt;0.05,"**",IF('Estimates-split'!M23&lt;0.1,"*",""))))</f>
        <v>-0.068</v>
      </c>
      <c r="E45" s="8" t="str">
        <f aca="false">TEXT('Estimates-split'!N23,"0.000")&amp;IF('Estimates-split'!Q23="","",IF('Estimates-split'!Q23&lt;0.01,"***",IF('Estimates-split'!Q23&lt;0.05,"**",IF('Estimates-split'!Q23&lt;0.1,"*",""))))</f>
        <v>-0.466</v>
      </c>
    </row>
    <row r="46" customFormat="false" ht="15" hidden="false" customHeight="false" outlineLevel="0" collapsed="false">
      <c r="C46" s="8" t="str">
        <f aca="false">IF('Estimates-split'!H23="","(n/a)","("&amp;TEXT('Estimates-split'!H23,"0.00")&amp;")")</f>
        <v>(-1.53)</v>
      </c>
      <c r="D46" s="8" t="str">
        <f aca="false">IF('Estimates-split'!L23="","(n/a)","("&amp;TEXT('Estimates-split'!L23,"0.00")&amp;")")</f>
        <v>(-0.04)</v>
      </c>
      <c r="E46" s="8" t="str">
        <f aca="false">IF('Estimates-split'!P23="","(n/a)","("&amp;TEXT('Estimates-split'!P23,"0.00")&amp;")")</f>
        <v>(-0.28)</v>
      </c>
    </row>
    <row r="48" customFormat="false" ht="15" hidden="false" customHeight="false" outlineLevel="0" collapsed="false">
      <c r="A48" s="7" t="s">
        <v>28</v>
      </c>
      <c r="B48" s="9" t="n">
        <f aca="false">'Estimates-split'!B26</f>
        <v>1727</v>
      </c>
      <c r="C48" s="9" t="n">
        <f aca="false">'Estimates-split'!F26</f>
        <v>1483</v>
      </c>
      <c r="D48" s="9" t="n">
        <f aca="false">'Estimates-split'!J26</f>
        <v>1482</v>
      </c>
      <c r="E48" s="9" t="n">
        <f aca="false">'Estimates-split'!N26</f>
        <v>1482</v>
      </c>
    </row>
    <row r="49" customFormat="false" ht="15" hidden="false" customHeight="false" outlineLevel="0" collapsed="false">
      <c r="A49" s="7" t="s">
        <v>29</v>
      </c>
      <c r="B49" s="10" t="n">
        <f aca="false">'Estimates-split'!B29</f>
        <v>0.048732205240218</v>
      </c>
      <c r="C49" s="10" t="n">
        <f aca="false">'Estimates-split'!F29</f>
        <v>0.0583512387267881</v>
      </c>
      <c r="D49" s="10" t="n">
        <f aca="false">'Estimates-split'!J29</f>
        <v>0.0805095842434804</v>
      </c>
      <c r="E49" s="10" t="n">
        <f aca="false">'Estimates-split'!N29</f>
        <v>0.095258826195944</v>
      </c>
    </row>
    <row r="50" customFormat="false" ht="15" hidden="false" customHeight="false" outlineLevel="0" collapsed="false">
      <c r="A50" s="7" t="s">
        <v>30</v>
      </c>
      <c r="B50" s="11" t="s">
        <v>31</v>
      </c>
      <c r="C50" s="11" t="s">
        <v>31</v>
      </c>
      <c r="D50" s="11" t="s">
        <v>32</v>
      </c>
      <c r="E50" s="11" t="s">
        <v>32</v>
      </c>
    </row>
    <row r="51" customFormat="false" ht="15" hidden="false" customHeight="false" outlineLevel="0" collapsed="false">
      <c r="A51" s="7" t="s">
        <v>33</v>
      </c>
      <c r="B51" s="11" t="s">
        <v>32</v>
      </c>
      <c r="C51" s="11" t="s">
        <v>32</v>
      </c>
      <c r="D51" s="11" t="s">
        <v>31</v>
      </c>
      <c r="E51" s="11" t="s">
        <v>32</v>
      </c>
    </row>
    <row r="52" customFormat="false" ht="15" hidden="false" customHeight="false" outlineLevel="0" collapsed="false">
      <c r="A52" s="12" t="s">
        <v>34</v>
      </c>
      <c r="B52" s="13" t="n">
        <f aca="false">'Estimates-split'!E24</f>
        <v>0.657335027852644</v>
      </c>
      <c r="C52" s="13" t="n">
        <f aca="false">'Estimates-split'!I24</f>
        <v>0.911531118919469</v>
      </c>
      <c r="D52" s="13" t="n">
        <f aca="false">'Estimates-split'!M24</f>
        <v>0.320694339145249</v>
      </c>
      <c r="E52" s="13" t="n">
        <f aca="false">'Estimates-split'!Q24</f>
        <v>0.241981697416763</v>
      </c>
    </row>
    <row r="54" customFormat="false" ht="15" hidden="false" customHeight="false" outlineLevel="0" collapsed="false">
      <c r="A54" s="1" t="s">
        <v>35</v>
      </c>
    </row>
    <row r="55" customFormat="false" ht="15" hidden="false" customHeight="false" outlineLevel="0" collapsed="false">
      <c r="A55" s="3"/>
      <c r="B55" s="4" t="s">
        <v>3</v>
      </c>
      <c r="C55" s="4" t="s">
        <v>4</v>
      </c>
      <c r="D55" s="4" t="s">
        <v>5</v>
      </c>
      <c r="E55" s="4" t="s">
        <v>6</v>
      </c>
    </row>
    <row r="56" customFormat="false" ht="15" hidden="false" customHeight="false" outlineLevel="0" collapsed="false">
      <c r="A56" s="5"/>
      <c r="B56" s="6" t="s">
        <v>36</v>
      </c>
      <c r="C56" s="6" t="s">
        <v>36</v>
      </c>
      <c r="D56" s="6" t="s">
        <v>36</v>
      </c>
      <c r="E56" s="6" t="s">
        <v>36</v>
      </c>
    </row>
    <row r="57" customFormat="false" ht="15" hidden="false" customHeight="false" outlineLevel="0" collapsed="false">
      <c r="A57" s="7" t="s">
        <v>8</v>
      </c>
      <c r="B57" s="8" t="str">
        <f aca="false">TEXT('Estimates-split'!R4,"0.000")&amp;IF('Estimates-split'!U4="","",IF('Estimates-split'!U4&lt;0.01,"***",IF('Estimates-split'!U4&lt;0.05,"**",IF('Estimates-split'!U4&lt;0.1,"*",""))))</f>
        <v>-0.486**</v>
      </c>
      <c r="C57" s="8" t="str">
        <f aca="false">TEXT('Estimates-split'!V4,"0.000")&amp;IF('Estimates-split'!Y4="","",IF('Estimates-split'!Y4&lt;0.01,"***",IF('Estimates-split'!Y4&lt;0.05,"**",IF('Estimates-split'!Y4&lt;0.1,"*",""))))</f>
        <v>-0.611***</v>
      </c>
      <c r="D57" s="8" t="str">
        <f aca="false">TEXT('Estimates-split'!Z4,"0.000")&amp;IF('Estimates-split'!AC4="","",IF('Estimates-split'!AC4&lt;0.01,"***",IF('Estimates-split'!AC4&lt;0.05,"**",IF('Estimates-split'!AC4&lt;0.1,"*",""))))</f>
        <v>-0.584**</v>
      </c>
      <c r="E57" s="8" t="str">
        <f aca="false">TEXT('Estimates-split'!AD4,"0.000")&amp;IF('Estimates-split'!AG4="","",IF('Estimates-split'!AG4&lt;0.01,"***",IF('Estimates-split'!AG4&lt;0.05,"**",IF('Estimates-split'!AG4&lt;0.1,"*",""))))</f>
        <v>-0.684**</v>
      </c>
    </row>
    <row r="58" customFormat="false" ht="15" hidden="false" customHeight="false" outlineLevel="0" collapsed="false">
      <c r="B58" s="8" t="str">
        <f aca="false">IF('Estimates-split'!T4="","(n/a)","("&amp;TEXT('Estimates-split'!T4,"0.00")&amp;")")</f>
        <v>(-2.46)</v>
      </c>
      <c r="C58" s="8" t="str">
        <f aca="false">IF('Estimates-split'!X4="","(n/a)","("&amp;TEXT('Estimates-split'!X4,"0.00")&amp;")")</f>
        <v>(-3.85)</v>
      </c>
      <c r="D58" s="8" t="str">
        <f aca="false">IF('Estimates-split'!AB4="","(n/a)","("&amp;TEXT('Estimates-split'!AB4,"0.00")&amp;")")</f>
        <v>(-2.51)</v>
      </c>
      <c r="E58" s="8" t="str">
        <f aca="false">IF('Estimates-split'!AF4="","(n/a)","("&amp;TEXT('Estimates-split'!AF4,"0.00")&amp;")")</f>
        <v>(-2.86)</v>
      </c>
    </row>
    <row r="59" customFormat="false" ht="15" hidden="false" customHeight="false" outlineLevel="0" collapsed="false">
      <c r="A59" s="7" t="s">
        <v>9</v>
      </c>
      <c r="B59" s="8" t="str">
        <f aca="false">TEXT('Estimates-split'!R5,"0.000")&amp;IF('Estimates-split'!U5="","",IF('Estimates-split'!U5&lt;0.01,"***",IF('Estimates-split'!U5&lt;0.05,"**",IF('Estimates-split'!U5&lt;0.1,"*",""))))</f>
        <v>-0.330</v>
      </c>
      <c r="C59" s="8" t="str">
        <f aca="false">TEXT('Estimates-split'!V5,"0.000")&amp;IF('Estimates-split'!Y5="","",IF('Estimates-split'!Y5&lt;0.01,"***",IF('Estimates-split'!Y5&lt;0.05,"**",IF('Estimates-split'!Y5&lt;0.1,"*",""))))</f>
        <v>-0.424**</v>
      </c>
      <c r="D59" s="8" t="str">
        <f aca="false">TEXT('Estimates-split'!Z5,"0.000")&amp;IF('Estimates-split'!AC5="","",IF('Estimates-split'!AC5&lt;0.01,"***",IF('Estimates-split'!AC5&lt;0.05,"**",IF('Estimates-split'!AC5&lt;0.1,"*",""))))</f>
        <v>-0.227</v>
      </c>
      <c r="E59" s="8" t="str">
        <f aca="false">TEXT('Estimates-split'!AD5,"0.000")&amp;IF('Estimates-split'!AG5="","",IF('Estimates-split'!AG5&lt;0.01,"***",IF('Estimates-split'!AG5&lt;0.05,"**",IF('Estimates-split'!AG5&lt;0.1,"*",""))))</f>
        <v>-0.248</v>
      </c>
    </row>
    <row r="60" customFormat="false" ht="15" hidden="false" customHeight="false" outlineLevel="0" collapsed="false">
      <c r="B60" s="8" t="str">
        <f aca="false">IF('Estimates-split'!T5="","(n/a)","("&amp;TEXT('Estimates-split'!T5,"0.00")&amp;")")</f>
        <v>(-1.53)</v>
      </c>
      <c r="C60" s="8" t="str">
        <f aca="false">IF('Estimates-split'!X5="","(n/a)","("&amp;TEXT('Estimates-split'!X5,"0.00")&amp;")")</f>
        <v>(-2.63)</v>
      </c>
      <c r="D60" s="8" t="str">
        <f aca="false">IF('Estimates-split'!AB5="","(n/a)","("&amp;TEXT('Estimates-split'!AB5,"0.00")&amp;")")</f>
        <v>(-1.02)</v>
      </c>
      <c r="E60" s="8" t="str">
        <f aca="false">IF('Estimates-split'!AF5="","(n/a)","("&amp;TEXT('Estimates-split'!AF5,"0.00")&amp;")")</f>
        <v>(-1.08)</v>
      </c>
    </row>
    <row r="61" customFormat="false" ht="15" hidden="false" customHeight="false" outlineLevel="0" collapsed="false">
      <c r="A61" s="7" t="s">
        <v>10</v>
      </c>
      <c r="B61" s="8" t="str">
        <f aca="false">TEXT('Estimates-split'!R6,"0.000")&amp;IF('Estimates-split'!U6="","",IF('Estimates-split'!U6&lt;0.01,"***",IF('Estimates-split'!U6&lt;0.05,"**",IF('Estimates-split'!U6&lt;0.1,"*",""))))</f>
        <v>-0.003</v>
      </c>
      <c r="C61" s="8" t="str">
        <f aca="false">TEXT('Estimates-split'!V6,"0.000")&amp;IF('Estimates-split'!Y6="","",IF('Estimates-split'!Y6&lt;0.01,"***",IF('Estimates-split'!Y6&lt;0.05,"**",IF('Estimates-split'!Y6&lt;0.1,"*",""))))</f>
        <v>-0.012</v>
      </c>
      <c r="D61" s="8" t="str">
        <f aca="false">TEXT('Estimates-split'!Z6,"0.000")&amp;IF('Estimates-split'!AC6="","",IF('Estimates-split'!AC6&lt;0.01,"***",IF('Estimates-split'!AC6&lt;0.05,"**",IF('Estimates-split'!AC6&lt;0.1,"*",""))))</f>
        <v>0.006</v>
      </c>
      <c r="E61" s="8" t="str">
        <f aca="false">TEXT('Estimates-split'!AD6,"0.000")&amp;IF('Estimates-split'!AG6="","",IF('Estimates-split'!AG6&lt;0.01,"***",IF('Estimates-split'!AG6&lt;0.05,"**",IF('Estimates-split'!AG6&lt;0.1,"*",""))))</f>
        <v>-0.017</v>
      </c>
    </row>
    <row r="62" customFormat="false" ht="15" hidden="false" customHeight="false" outlineLevel="0" collapsed="false">
      <c r="B62" s="8" t="str">
        <f aca="false">IF('Estimates-split'!T6="","(n/a)","("&amp;TEXT('Estimates-split'!T6,"0.00")&amp;")")</f>
        <v>(-0.19)</v>
      </c>
      <c r="C62" s="8" t="str">
        <f aca="false">IF('Estimates-split'!X6="","(n/a)","("&amp;TEXT('Estimates-split'!X6,"0.00")&amp;")")</f>
        <v>(-0.60)</v>
      </c>
      <c r="D62" s="8" t="str">
        <f aca="false">IF('Estimates-split'!AB6="","(n/a)","("&amp;TEXT('Estimates-split'!AB6,"0.00")&amp;")")</f>
        <v>(0.34)</v>
      </c>
      <c r="E62" s="8" t="str">
        <f aca="false">IF('Estimates-split'!AF6="","(n/a)","("&amp;TEXT('Estimates-split'!AF6,"0.00")&amp;")")</f>
        <v>(-1.04)</v>
      </c>
    </row>
    <row r="63" customFormat="false" ht="15" hidden="false" customHeight="false" outlineLevel="0" collapsed="false">
      <c r="A63" s="7" t="s">
        <v>11</v>
      </c>
      <c r="B63" s="8" t="str">
        <f aca="false">TEXT('Estimates-split'!R7,"0.000")&amp;IF('Estimates-split'!U7="","",IF('Estimates-split'!U7&lt;0.01,"***",IF('Estimates-split'!U7&lt;0.05,"**",IF('Estimates-split'!U7&lt;0.1,"*",""))))</f>
        <v>-0.050</v>
      </c>
      <c r="C63" s="8" t="str">
        <f aca="false">TEXT('Estimates-split'!V7,"0.000")&amp;IF('Estimates-split'!Y7="","",IF('Estimates-split'!Y7&lt;0.01,"***",IF('Estimates-split'!Y7&lt;0.05,"**",IF('Estimates-split'!Y7&lt;0.1,"*",""))))</f>
        <v>-0.002</v>
      </c>
      <c r="D63" s="8" t="str">
        <f aca="false">TEXT('Estimates-split'!Z7,"0.000")&amp;IF('Estimates-split'!AC7="","",IF('Estimates-split'!AC7&lt;0.01,"***",IF('Estimates-split'!AC7&lt;0.05,"**",IF('Estimates-split'!AC7&lt;0.1,"*",""))))</f>
        <v>-1.142*</v>
      </c>
      <c r="E63" s="8" t="str">
        <f aca="false">TEXT('Estimates-split'!AD7,"0.000")&amp;IF('Estimates-split'!AG7="","",IF('Estimates-split'!AG7&lt;0.01,"***",IF('Estimates-split'!AG7&lt;0.05,"**",IF('Estimates-split'!AG7&lt;0.1,"*",""))))</f>
        <v>-0.242</v>
      </c>
    </row>
    <row r="64" customFormat="false" ht="15" hidden="false" customHeight="false" outlineLevel="0" collapsed="false">
      <c r="B64" s="8" t="str">
        <f aca="false">IF('Estimates-split'!T7="","(n/a)","("&amp;TEXT('Estimates-split'!T7,"0.00")&amp;")")</f>
        <v>(-1.28)</v>
      </c>
      <c r="C64" s="8" t="str">
        <f aca="false">IF('Estimates-split'!X7="","(n/a)","("&amp;TEXT('Estimates-split'!X7,"0.00")&amp;")")</f>
        <v>(-0.05)</v>
      </c>
      <c r="D64" s="8" t="str">
        <f aca="false">IF('Estimates-split'!AB7="","(n/a)","("&amp;TEXT('Estimates-split'!AB7,"0.00")&amp;")")</f>
        <v>(-1.82)</v>
      </c>
      <c r="E64" s="8" t="str">
        <f aca="false">IF('Estimates-split'!AF7="","(n/a)","("&amp;TEXT('Estimates-split'!AF7,"0.00")&amp;")")</f>
        <v>(-0.34)</v>
      </c>
    </row>
    <row r="65" customFormat="false" ht="15" hidden="false" customHeight="false" outlineLevel="0" collapsed="false">
      <c r="A65" s="7" t="s">
        <v>12</v>
      </c>
      <c r="B65" s="8" t="str">
        <f aca="false">TEXT('Estimates-split'!R8,"0.000")&amp;IF('Estimates-split'!U8="","",IF('Estimates-split'!U8&lt;0.01,"***",IF('Estimates-split'!U8&lt;0.05,"**",IF('Estimates-split'!U8&lt;0.1,"*",""))))</f>
        <v>0.003</v>
      </c>
      <c r="C65" s="8" t="str">
        <f aca="false">TEXT('Estimates-split'!V8,"0.000")&amp;IF('Estimates-split'!Y8="","",IF('Estimates-split'!Y8&lt;0.01,"***",IF('Estimates-split'!Y8&lt;0.05,"**",IF('Estimates-split'!Y8&lt;0.1,"*",""))))</f>
        <v>0.004</v>
      </c>
      <c r="D65" s="8" t="str">
        <f aca="false">TEXT('Estimates-split'!Z8,"0.000")&amp;IF('Estimates-split'!AC8="","",IF('Estimates-split'!AC8&lt;0.01,"***",IF('Estimates-split'!AC8&lt;0.05,"**",IF('Estimates-split'!AC8&lt;0.1,"*",""))))</f>
        <v>-0.020</v>
      </c>
      <c r="E65" s="8" t="str">
        <f aca="false">TEXT('Estimates-split'!AD8,"0.000")&amp;IF('Estimates-split'!AG8="","",IF('Estimates-split'!AG8&lt;0.01,"***",IF('Estimates-split'!AG8&lt;0.05,"**",IF('Estimates-split'!AG8&lt;0.1,"*",""))))</f>
        <v>-0.017</v>
      </c>
    </row>
    <row r="66" customFormat="false" ht="15" hidden="false" customHeight="false" outlineLevel="0" collapsed="false">
      <c r="B66" s="8" t="str">
        <f aca="false">IF('Estimates-split'!T8="","(n/a)","("&amp;TEXT('Estimates-split'!T8,"0.00")&amp;")")</f>
        <v>(0.62)</v>
      </c>
      <c r="C66" s="8" t="str">
        <f aca="false">IF('Estimates-split'!X8="","(n/a)","("&amp;TEXT('Estimates-split'!X8,"0.00")&amp;")")</f>
        <v>(0.72)</v>
      </c>
      <c r="D66" s="8" t="str">
        <f aca="false">IF('Estimates-split'!AB8="","(n/a)","("&amp;TEXT('Estimates-split'!AB8,"0.00")&amp;")")</f>
        <v>(-1.55)</v>
      </c>
      <c r="E66" s="8" t="str">
        <f aca="false">IF('Estimates-split'!AF8="","(n/a)","("&amp;TEXT('Estimates-split'!AF8,"0.00")&amp;")")</f>
        <v>(-1.49)</v>
      </c>
    </row>
    <row r="67" customFormat="false" ht="15" hidden="false" customHeight="false" outlineLevel="0" collapsed="false">
      <c r="A67" s="7" t="s">
        <v>13</v>
      </c>
      <c r="B67" s="8" t="str">
        <f aca="false">TEXT('Estimates-split'!R9,"0.000")&amp;IF('Estimates-split'!U9="","",IF('Estimates-split'!U9&lt;0.01,"***",IF('Estimates-split'!U9&lt;0.05,"**",IF('Estimates-split'!U9&lt;0.1,"*",""))))</f>
        <v>-0.171</v>
      </c>
      <c r="C67" s="8" t="str">
        <f aca="false">TEXT('Estimates-split'!V9,"0.000")&amp;IF('Estimates-split'!Y9="","",IF('Estimates-split'!Y9&lt;0.01,"***",IF('Estimates-split'!Y9&lt;0.05,"**",IF('Estimates-split'!Y9&lt;0.1,"*",""))))</f>
        <v>-0.010</v>
      </c>
      <c r="D67" s="8" t="str">
        <f aca="false">TEXT('Estimates-split'!Z9,"0.000")&amp;IF('Estimates-split'!AC9="","",IF('Estimates-split'!AC9&lt;0.01,"***",IF('Estimates-split'!AC9&lt;0.05,"**",IF('Estimates-split'!AC9&lt;0.1,"*",""))))</f>
        <v>-0.002</v>
      </c>
      <c r="E67" s="8" t="str">
        <f aca="false">TEXT('Estimates-split'!AD9,"0.000")&amp;IF('Estimates-split'!AG9="","",IF('Estimates-split'!AG9&lt;0.01,"***",IF('Estimates-split'!AG9&lt;0.05,"**",IF('Estimates-split'!AG9&lt;0.1,"*",""))))</f>
        <v>0.020</v>
      </c>
    </row>
    <row r="68" customFormat="false" ht="15" hidden="false" customHeight="false" outlineLevel="0" collapsed="false">
      <c r="B68" s="8" t="str">
        <f aca="false">IF('Estimates-split'!T9="","(n/a)","("&amp;TEXT('Estimates-split'!T9,"0.00")&amp;")")</f>
        <v>(-1.29)</v>
      </c>
      <c r="C68" s="8" t="str">
        <f aca="false">IF('Estimates-split'!X9="","(n/a)","("&amp;TEXT('Estimates-split'!X9,"0.00")&amp;")")</f>
        <v>(-0.09)</v>
      </c>
      <c r="D68" s="8" t="str">
        <f aca="false">IF('Estimates-split'!AB9="","(n/a)","("&amp;TEXT('Estimates-split'!AB9,"0.00")&amp;")")</f>
        <v>(-0.01)</v>
      </c>
      <c r="E68" s="8" t="str">
        <f aca="false">IF('Estimates-split'!AF9="","(n/a)","("&amp;TEXT('Estimates-split'!AF9,"0.00")&amp;")")</f>
        <v>(0.12)</v>
      </c>
    </row>
    <row r="69" customFormat="false" ht="15" hidden="false" customHeight="false" outlineLevel="0" collapsed="false">
      <c r="A69" s="7" t="s">
        <v>14</v>
      </c>
      <c r="B69" s="8" t="str">
        <f aca="false">TEXT('Estimates-split'!R10,"0.000")&amp;IF('Estimates-split'!U10="","",IF('Estimates-split'!U10&lt;0.01,"***",IF('Estimates-split'!U10&lt;0.05,"**",IF('Estimates-split'!U10&lt;0.1,"*",""))))</f>
        <v>-0.159</v>
      </c>
      <c r="C69" s="8" t="str">
        <f aca="false">TEXT('Estimates-split'!V10,"0.000")&amp;IF('Estimates-split'!Y10="","",IF('Estimates-split'!Y10&lt;0.01,"***",IF('Estimates-split'!Y10&lt;0.05,"**",IF('Estimates-split'!Y10&lt;0.1,"*",""))))</f>
        <v>-0.006</v>
      </c>
      <c r="D69" s="8" t="str">
        <f aca="false">TEXT('Estimates-split'!Z10,"0.000")&amp;IF('Estimates-split'!AC10="","",IF('Estimates-split'!AC10&lt;0.01,"***",IF('Estimates-split'!AC10&lt;0.05,"**",IF('Estimates-split'!AC10&lt;0.1,"*",""))))</f>
        <v>-0.019</v>
      </c>
      <c r="E69" s="8" t="str">
        <f aca="false">TEXT('Estimates-split'!AD10,"0.000")&amp;IF('Estimates-split'!AG10="","",IF('Estimates-split'!AG10&lt;0.01,"***",IF('Estimates-split'!AG10&lt;0.05,"**",IF('Estimates-split'!AG10&lt;0.1,"*",""))))</f>
        <v>0.018</v>
      </c>
    </row>
    <row r="70" customFormat="false" ht="15" hidden="false" customHeight="false" outlineLevel="0" collapsed="false">
      <c r="B70" s="8" t="str">
        <f aca="false">IF('Estimates-split'!T10="","(n/a)","("&amp;TEXT('Estimates-split'!T10,"0.00")&amp;")")</f>
        <v>(-1.20)</v>
      </c>
      <c r="C70" s="8" t="str">
        <f aca="false">IF('Estimates-split'!X10="","(n/a)","("&amp;TEXT('Estimates-split'!X10,"0.00")&amp;")")</f>
        <v>(-0.05)</v>
      </c>
      <c r="D70" s="8" t="str">
        <f aca="false">IF('Estimates-split'!AB10="","(n/a)","("&amp;TEXT('Estimates-split'!AB10,"0.00")&amp;")")</f>
        <v>(-0.11)</v>
      </c>
      <c r="E70" s="8" t="str">
        <f aca="false">IF('Estimates-split'!AF10="","(n/a)","("&amp;TEXT('Estimates-split'!AF10,"0.00")&amp;")")</f>
        <v>(0.10)</v>
      </c>
    </row>
    <row r="71" customFormat="false" ht="15" hidden="false" customHeight="false" outlineLevel="0" collapsed="false">
      <c r="A71" s="7" t="s">
        <v>15</v>
      </c>
      <c r="B71" s="8" t="str">
        <f aca="false">TEXT('Estimates-split'!R11,"0.000")&amp;IF('Estimates-split'!U11="","",IF('Estimates-split'!U11&lt;0.01,"***",IF('Estimates-split'!U11&lt;0.05,"**",IF('Estimates-split'!U11&lt;0.1,"*",""))))</f>
        <v>-0.184</v>
      </c>
      <c r="C71" s="8" t="str">
        <f aca="false">TEXT('Estimates-split'!V11,"0.000")&amp;IF('Estimates-split'!Y11="","",IF('Estimates-split'!Y11&lt;0.01,"***",IF('Estimates-split'!Y11&lt;0.05,"**",IF('Estimates-split'!Y11&lt;0.1,"*",""))))</f>
        <v>-0.014</v>
      </c>
      <c r="D71" s="8" t="str">
        <f aca="false">TEXT('Estimates-split'!Z11,"0.000")&amp;IF('Estimates-split'!AC11="","",IF('Estimates-split'!AC11&lt;0.01,"***",IF('Estimates-split'!AC11&lt;0.05,"**",IF('Estimates-split'!AC11&lt;0.1,"*",""))))</f>
        <v>-0.049</v>
      </c>
      <c r="E71" s="8" t="str">
        <f aca="false">TEXT('Estimates-split'!AD11,"0.000")&amp;IF('Estimates-split'!AG11="","",IF('Estimates-split'!AG11&lt;0.01,"***",IF('Estimates-split'!AG11&lt;0.05,"**",IF('Estimates-split'!AG11&lt;0.1,"*",""))))</f>
        <v>-0.018</v>
      </c>
    </row>
    <row r="72" customFormat="false" ht="15" hidden="false" customHeight="false" outlineLevel="0" collapsed="false">
      <c r="B72" s="8" t="str">
        <f aca="false">IF('Estimates-split'!T11="","(n/a)","("&amp;TEXT('Estimates-split'!T11,"0.00")&amp;")")</f>
        <v>(-1.50)</v>
      </c>
      <c r="C72" s="8" t="str">
        <f aca="false">IF('Estimates-split'!X11="","(n/a)","("&amp;TEXT('Estimates-split'!X11,"0.00")&amp;")")</f>
        <v>(-0.13)</v>
      </c>
      <c r="D72" s="8" t="str">
        <f aca="false">IF('Estimates-split'!AB11="","(n/a)","("&amp;TEXT('Estimates-split'!AB11,"0.00")&amp;")")</f>
        <v>(-0.28)</v>
      </c>
      <c r="E72" s="8" t="str">
        <f aca="false">IF('Estimates-split'!AF11="","(n/a)","("&amp;TEXT('Estimates-split'!AF11,"0.00")&amp;")")</f>
        <v>(-0.11)</v>
      </c>
    </row>
    <row r="73" customFormat="false" ht="15" hidden="false" customHeight="false" outlineLevel="0" collapsed="false">
      <c r="A73" s="7" t="s">
        <v>16</v>
      </c>
      <c r="B73" s="8" t="str">
        <f aca="false">TEXT('Estimates-split'!R12,"0.000")&amp;IF('Estimates-split'!U12="","",IF('Estimates-split'!U12&lt;0.01,"***",IF('Estimates-split'!U12&lt;0.05,"**",IF('Estimates-split'!U12&lt;0.1,"*",""))))</f>
        <v>-0.158</v>
      </c>
      <c r="C73" s="8" t="str">
        <f aca="false">TEXT('Estimates-split'!V12,"0.000")&amp;IF('Estimates-split'!Y12="","",IF('Estimates-split'!Y12&lt;0.01,"***",IF('Estimates-split'!Y12&lt;0.05,"**",IF('Estimates-split'!Y12&lt;0.1,"*",""))))</f>
        <v>0.004</v>
      </c>
      <c r="D73" s="8" t="str">
        <f aca="false">TEXT('Estimates-split'!Z12,"0.000")&amp;IF('Estimates-split'!AC12="","",IF('Estimates-split'!AC12&lt;0.01,"***",IF('Estimates-split'!AC12&lt;0.05,"**",IF('Estimates-split'!AC12&lt;0.1,"*",""))))</f>
        <v>-0.021</v>
      </c>
      <c r="E73" s="8" t="str">
        <f aca="false">TEXT('Estimates-split'!AD12,"0.000")&amp;IF('Estimates-split'!AG12="","",IF('Estimates-split'!AG12&lt;0.01,"***",IF('Estimates-split'!AG12&lt;0.05,"**",IF('Estimates-split'!AG12&lt;0.1,"*",""))))</f>
        <v>0.030</v>
      </c>
    </row>
    <row r="74" customFormat="false" ht="15" hidden="false" customHeight="false" outlineLevel="0" collapsed="false">
      <c r="B74" s="8" t="str">
        <f aca="false">IF('Estimates-split'!T12="","(n/a)","("&amp;TEXT('Estimates-split'!T12,"0.00")&amp;")")</f>
        <v>(-1.21)</v>
      </c>
      <c r="C74" s="8" t="str">
        <f aca="false">IF('Estimates-split'!X12="","(n/a)","("&amp;TEXT('Estimates-split'!X12,"0.00")&amp;")")</f>
        <v>(0.03)</v>
      </c>
      <c r="D74" s="8" t="str">
        <f aca="false">IF('Estimates-split'!AB12="","(n/a)","("&amp;TEXT('Estimates-split'!AB12,"0.00")&amp;")")</f>
        <v>(-0.13)</v>
      </c>
      <c r="E74" s="8" t="str">
        <f aca="false">IF('Estimates-split'!AF12="","(n/a)","("&amp;TEXT('Estimates-split'!AF12,"0.00")&amp;")")</f>
        <v>(0.17)</v>
      </c>
    </row>
    <row r="75" customFormat="false" ht="15" hidden="false" customHeight="false" outlineLevel="0" collapsed="false">
      <c r="A75" s="7" t="s">
        <v>17</v>
      </c>
      <c r="B75" s="8" t="str">
        <f aca="false">TEXT('Estimates-split'!R13,"0.000")&amp;IF('Estimates-split'!U13="","",IF('Estimates-split'!U13&lt;0.01,"***",IF('Estimates-split'!U13&lt;0.05,"**",IF('Estimates-split'!U13&lt;0.1,"*",""))))</f>
        <v>-0.161</v>
      </c>
      <c r="C75" s="8" t="str">
        <f aca="false">TEXT('Estimates-split'!V13,"0.000")&amp;IF('Estimates-split'!Y13="","",IF('Estimates-split'!Y13&lt;0.01,"***",IF('Estimates-split'!Y13&lt;0.05,"**",IF('Estimates-split'!Y13&lt;0.1,"*",""))))</f>
        <v>-0.003</v>
      </c>
      <c r="D75" s="8" t="str">
        <f aca="false">TEXT('Estimates-split'!Z13,"0.000")&amp;IF('Estimates-split'!AC13="","",IF('Estimates-split'!AC13&lt;0.01,"***",IF('Estimates-split'!AC13&lt;0.05,"**",IF('Estimates-split'!AC13&lt;0.1,"*",""))))</f>
        <v>-0.007</v>
      </c>
      <c r="E75" s="8" t="str">
        <f aca="false">TEXT('Estimates-split'!AD13,"0.000")&amp;IF('Estimates-split'!AG13="","",IF('Estimates-split'!AG13&lt;0.01,"***",IF('Estimates-split'!AG13&lt;0.05,"**",IF('Estimates-split'!AG13&lt;0.1,"*",""))))</f>
        <v>0.012</v>
      </c>
    </row>
    <row r="76" customFormat="false" ht="15" hidden="false" customHeight="false" outlineLevel="0" collapsed="false">
      <c r="B76" s="8" t="str">
        <f aca="false">IF('Estimates-split'!T13="","(n/a)","("&amp;TEXT('Estimates-split'!T13,"0.00")&amp;")")</f>
        <v>(-1.27)</v>
      </c>
      <c r="C76" s="8" t="str">
        <f aca="false">IF('Estimates-split'!X13="","(n/a)","("&amp;TEXT('Estimates-split'!X13,"0.00")&amp;")")</f>
        <v>(-0.03)</v>
      </c>
      <c r="D76" s="8" t="str">
        <f aca="false">IF('Estimates-split'!AB13="","(n/a)","("&amp;TEXT('Estimates-split'!AB13,"0.00")&amp;")")</f>
        <v>(-0.04)</v>
      </c>
      <c r="E76" s="8" t="str">
        <f aca="false">IF('Estimates-split'!AF13="","(n/a)","("&amp;TEXT('Estimates-split'!AF13,"0.00")&amp;")")</f>
        <v>(0.07)</v>
      </c>
    </row>
    <row r="77" customFormat="false" ht="15" hidden="false" customHeight="false" outlineLevel="0" collapsed="false">
      <c r="A77" s="7" t="s">
        <v>18</v>
      </c>
      <c r="B77" s="8" t="str">
        <f aca="false">TEXT('Estimates-split'!R14,"0.000")&amp;IF('Estimates-split'!U14="","",IF('Estimates-split'!U14&lt;0.01,"***",IF('Estimates-split'!U14&lt;0.05,"**",IF('Estimates-split'!U14&lt;0.1,"*",""))))</f>
        <v>-0.179</v>
      </c>
      <c r="C77" s="8" t="str">
        <f aca="false">TEXT('Estimates-split'!V14,"0.000")&amp;IF('Estimates-split'!Y14="","",IF('Estimates-split'!Y14&lt;0.01,"***",IF('Estimates-split'!Y14&lt;0.05,"**",IF('Estimates-split'!Y14&lt;0.1,"*",""))))</f>
        <v>-0.011</v>
      </c>
      <c r="D77" s="8" t="str">
        <f aca="false">TEXT('Estimates-split'!Z14,"0.000")&amp;IF('Estimates-split'!AC14="","",IF('Estimates-split'!AC14&lt;0.01,"***",IF('Estimates-split'!AC14&lt;0.05,"**",IF('Estimates-split'!AC14&lt;0.1,"*",""))))</f>
        <v>-0.024</v>
      </c>
      <c r="E77" s="8" t="str">
        <f aca="false">TEXT('Estimates-split'!AD14,"0.000")&amp;IF('Estimates-split'!AG14="","",IF('Estimates-split'!AG14&lt;0.01,"***",IF('Estimates-split'!AG14&lt;0.05,"**",IF('Estimates-split'!AG14&lt;0.1,"*",""))))</f>
        <v>0.034</v>
      </c>
    </row>
    <row r="78" customFormat="false" ht="15" hidden="false" customHeight="false" outlineLevel="0" collapsed="false">
      <c r="B78" s="8" t="str">
        <f aca="false">IF('Estimates-split'!T14="","(n/a)","("&amp;TEXT('Estimates-split'!T14,"0.00")&amp;")")</f>
        <v>(-1.43)</v>
      </c>
      <c r="C78" s="8" t="str">
        <f aca="false">IF('Estimates-split'!X14="","(n/a)","("&amp;TEXT('Estimates-split'!X14,"0.00")&amp;")")</f>
        <v>(-0.10)</v>
      </c>
      <c r="D78" s="8" t="str">
        <f aca="false">IF('Estimates-split'!AB14="","(n/a)","("&amp;TEXT('Estimates-split'!AB14,"0.00")&amp;")")</f>
        <v>(-0.13)</v>
      </c>
      <c r="E78" s="8" t="str">
        <f aca="false">IF('Estimates-split'!AF14="","(n/a)","("&amp;TEXT('Estimates-split'!AF14,"0.00")&amp;")")</f>
        <v>(0.19)</v>
      </c>
    </row>
    <row r="79" customFormat="false" ht="15" hidden="false" customHeight="false" outlineLevel="0" collapsed="false">
      <c r="A79" s="7" t="s">
        <v>19</v>
      </c>
      <c r="B79" s="8" t="str">
        <f aca="false">TEXT('Estimates-split'!R15,"0.000")&amp;IF('Estimates-split'!U15="","",IF('Estimates-split'!U15&lt;0.01,"***",IF('Estimates-split'!U15&lt;0.05,"**",IF('Estimates-split'!U15&lt;0.1,"*",""))))</f>
        <v>-0.198</v>
      </c>
      <c r="C79" s="8" t="str">
        <f aca="false">TEXT('Estimates-split'!V15,"0.000")&amp;IF('Estimates-split'!Y15="","",IF('Estimates-split'!Y15&lt;0.01,"***",IF('Estimates-split'!Y15&lt;0.05,"**",IF('Estimates-split'!Y15&lt;0.1,"*",""))))</f>
        <v>-0.021</v>
      </c>
      <c r="D79" s="8" t="str">
        <f aca="false">TEXT('Estimates-split'!Z15,"0.000")&amp;IF('Estimates-split'!AC15="","",IF('Estimates-split'!AC15&lt;0.01,"***",IF('Estimates-split'!AC15&lt;0.05,"**",IF('Estimates-split'!AC15&lt;0.1,"*",""))))</f>
        <v>-0.032</v>
      </c>
      <c r="E79" s="8" t="str">
        <f aca="false">TEXT('Estimates-split'!AD15,"0.000")&amp;IF('Estimates-split'!AG15="","",IF('Estimates-split'!AG15&lt;0.01,"***",IF('Estimates-split'!AG15&lt;0.05,"**",IF('Estimates-split'!AG15&lt;0.1,"*",""))))</f>
        <v>0.003</v>
      </c>
    </row>
    <row r="80" customFormat="false" ht="15" hidden="false" customHeight="false" outlineLevel="0" collapsed="false">
      <c r="B80" s="8" t="str">
        <f aca="false">IF('Estimates-split'!T15="","(n/a)","("&amp;TEXT('Estimates-split'!T15,"0.00")&amp;")")</f>
        <v>(-1.46)</v>
      </c>
      <c r="C80" s="8" t="str">
        <f aca="false">IF('Estimates-split'!X15="","(n/a)","("&amp;TEXT('Estimates-split'!X15,"0.00")&amp;")")</f>
        <v>(-0.18)</v>
      </c>
      <c r="D80" s="8" t="str">
        <f aca="false">IF('Estimates-split'!AB15="","(n/a)","("&amp;TEXT('Estimates-split'!AB15,"0.00")&amp;")")</f>
        <v>(-0.18)</v>
      </c>
      <c r="E80" s="8" t="str">
        <f aca="false">IF('Estimates-split'!AF15="","(n/a)","("&amp;TEXT('Estimates-split'!AF15,"0.00")&amp;")")</f>
        <v>(0.02)</v>
      </c>
    </row>
    <row r="81" customFormat="false" ht="15" hidden="false" customHeight="false" outlineLevel="0" collapsed="false">
      <c r="A81" s="7" t="s">
        <v>20</v>
      </c>
      <c r="B81" s="8" t="str">
        <f aca="false">TEXT('Estimates-split'!R16,"0.000")&amp;IF('Estimates-split'!U16="","",IF('Estimates-split'!U16&lt;0.01,"***",IF('Estimates-split'!U16&lt;0.05,"**",IF('Estimates-split'!U16&lt;0.1,"*",""))))</f>
        <v>-0.126</v>
      </c>
      <c r="C81" s="8" t="str">
        <f aca="false">TEXT('Estimates-split'!V16,"0.000")&amp;IF('Estimates-split'!Y16="","",IF('Estimates-split'!Y16&lt;0.01,"***",IF('Estimates-split'!Y16&lt;0.05,"**",IF('Estimates-split'!Y16&lt;0.1,"*",""))))</f>
        <v>0.021</v>
      </c>
      <c r="D81" s="8" t="str">
        <f aca="false">TEXT('Estimates-split'!Z16,"0.000")&amp;IF('Estimates-split'!AC16="","",IF('Estimates-split'!AC16&lt;0.01,"***",IF('Estimates-split'!AC16&lt;0.05,"**",IF('Estimates-split'!AC16&lt;0.1,"*",""))))</f>
        <v>0.037</v>
      </c>
      <c r="E81" s="8" t="str">
        <f aca="false">TEXT('Estimates-split'!AD16,"0.000")&amp;IF('Estimates-split'!AG16="","",IF('Estimates-split'!AG16&lt;0.01,"***",IF('Estimates-split'!AG16&lt;0.05,"**",IF('Estimates-split'!AG16&lt;0.1,"*",""))))</f>
        <v>0.063</v>
      </c>
    </row>
    <row r="82" customFormat="false" ht="15" hidden="false" customHeight="false" outlineLevel="0" collapsed="false">
      <c r="B82" s="8" t="str">
        <f aca="false">IF('Estimates-split'!T16="","(n/a)","("&amp;TEXT('Estimates-split'!T16,"0.00")&amp;")")</f>
        <v>(-0.86)</v>
      </c>
      <c r="C82" s="8" t="str">
        <f aca="false">IF('Estimates-split'!X16="","(n/a)","("&amp;TEXT('Estimates-split'!X16,"0.00")&amp;")")</f>
        <v>(0.16)</v>
      </c>
      <c r="D82" s="8" t="str">
        <f aca="false">IF('Estimates-split'!AB16="","(n/a)","("&amp;TEXT('Estimates-split'!AB16,"0.00")&amp;")")</f>
        <v>(0.19)</v>
      </c>
      <c r="E82" s="8" t="str">
        <f aca="false">IF('Estimates-split'!AF16="","(n/a)","("&amp;TEXT('Estimates-split'!AF16,"0.00")&amp;")")</f>
        <v>(0.34)</v>
      </c>
    </row>
    <row r="83" customFormat="false" ht="15" hidden="false" customHeight="false" outlineLevel="0" collapsed="false">
      <c r="A83" s="7" t="s">
        <v>21</v>
      </c>
      <c r="B83" s="8" t="str">
        <f aca="false">TEXT('Estimates-split'!R17,"0.000")&amp;IF('Estimates-split'!U17="","",IF('Estimates-split'!U17&lt;0.01,"***",IF('Estimates-split'!U17&lt;0.05,"**",IF('Estimates-split'!U17&lt;0.1,"*",""))))</f>
        <v>-0.120*</v>
      </c>
      <c r="C83" s="8" t="str">
        <f aca="false">TEXT('Estimates-split'!V17,"0.000")&amp;IF('Estimates-split'!Y17="","",IF('Estimates-split'!Y17&lt;0.01,"***",IF('Estimates-split'!Y17&lt;0.05,"**",IF('Estimates-split'!Y17&lt;0.1,"*",""))))</f>
        <v>-0.124</v>
      </c>
    </row>
    <row r="84" customFormat="false" ht="15" hidden="false" customHeight="false" outlineLevel="0" collapsed="false">
      <c r="B84" s="8" t="str">
        <f aca="false">IF('Estimates-split'!T17="","(n/a)","("&amp;TEXT('Estimates-split'!T17,"0.00")&amp;")")</f>
        <v>(-1.80)</v>
      </c>
      <c r="C84" s="8" t="str">
        <f aca="false">IF('Estimates-split'!X17="","(n/a)","("&amp;TEXT('Estimates-split'!X17,"0.00")&amp;")")</f>
        <v>(-1.56)</v>
      </c>
    </row>
    <row r="85" customFormat="false" ht="15" hidden="false" customHeight="false" outlineLevel="0" collapsed="false">
      <c r="A85" s="7" t="s">
        <v>22</v>
      </c>
      <c r="C85" s="8" t="str">
        <f aca="false">TEXT('Estimates-split'!V18,"0.000")&amp;IF('Estimates-split'!Y18="","",IF('Estimates-split'!Y18&lt;0.01,"***",IF('Estimates-split'!Y18&lt;0.05,"**",IF('Estimates-split'!Y18&lt;0.1,"*",""))))</f>
        <v>-1.210***</v>
      </c>
      <c r="D85" s="8" t="str">
        <f aca="false">TEXT('Estimates-split'!Z18,"0.000")&amp;IF('Estimates-split'!AC18="","",IF('Estimates-split'!AC18&lt;0.01,"***",IF('Estimates-split'!AC18&lt;0.05,"**",IF('Estimates-split'!AC18&lt;0.1,"*",""))))</f>
        <v>-0.155</v>
      </c>
      <c r="E85" s="8" t="str">
        <f aca="false">TEXT('Estimates-split'!AD18,"0.000")&amp;IF('Estimates-split'!AG18="","",IF('Estimates-split'!AG18&lt;0.01,"***",IF('Estimates-split'!AG18&lt;0.05,"**",IF('Estimates-split'!AG18&lt;0.1,"*",""))))</f>
        <v>0.211</v>
      </c>
    </row>
    <row r="86" customFormat="false" ht="15" hidden="false" customHeight="false" outlineLevel="0" collapsed="false">
      <c r="C86" s="8" t="str">
        <f aca="false">IF('Estimates-split'!X18="","(n/a)","("&amp;TEXT('Estimates-split'!X18,"0.00")&amp;")")</f>
        <v>(-3.31)</v>
      </c>
      <c r="D86" s="8" t="str">
        <f aca="false">IF('Estimates-split'!AB18="","(n/a)","("&amp;TEXT('Estimates-split'!AB18,"0.00")&amp;")")</f>
        <v>(-0.23)</v>
      </c>
      <c r="E86" s="8" t="str">
        <f aca="false">IF('Estimates-split'!AF18="","(n/a)","("&amp;TEXT('Estimates-split'!AF18,"0.00")&amp;")")</f>
        <v>(0.31)</v>
      </c>
    </row>
    <row r="87" customFormat="false" ht="15" hidden="false" customHeight="false" outlineLevel="0" collapsed="false">
      <c r="A87" s="7" t="s">
        <v>23</v>
      </c>
      <c r="C87" s="8" t="str">
        <f aca="false">TEXT('Estimates-split'!V19,"0.000")&amp;IF('Estimates-split'!Y19="","",IF('Estimates-split'!Y19&lt;0.01,"***",IF('Estimates-split'!Y19&lt;0.05,"**",IF('Estimates-split'!Y19&lt;0.1,"*",""))))</f>
        <v>-0.012</v>
      </c>
      <c r="D87" s="8" t="str">
        <f aca="false">TEXT('Estimates-split'!Z19,"0.000")&amp;IF('Estimates-split'!AC19="","",IF('Estimates-split'!AC19&lt;0.01,"***",IF('Estimates-split'!AC19&lt;0.05,"**",IF('Estimates-split'!AC19&lt;0.1,"*",""))))</f>
        <v>-0.077</v>
      </c>
      <c r="E87" s="8" t="str">
        <f aca="false">TEXT('Estimates-split'!AD19,"0.000")&amp;IF('Estimates-split'!AG19="","",IF('Estimates-split'!AG19&lt;0.01,"***",IF('Estimates-split'!AG19&lt;0.05,"**",IF('Estimates-split'!AG19&lt;0.1,"*",""))))</f>
        <v>-0.193</v>
      </c>
    </row>
    <row r="88" customFormat="false" ht="15" hidden="false" customHeight="false" outlineLevel="0" collapsed="false">
      <c r="C88" s="8" t="str">
        <f aca="false">IF('Estimates-split'!X19="","(n/a)","("&amp;TEXT('Estimates-split'!X19,"0.00")&amp;")")</f>
        <v>(-0.11)</v>
      </c>
      <c r="D88" s="8" t="str">
        <f aca="false">IF('Estimates-split'!AB19="","(n/a)","("&amp;TEXT('Estimates-split'!AB19,"0.00")&amp;")")</f>
        <v>(-0.64)</v>
      </c>
      <c r="E88" s="8" t="str">
        <f aca="false">IF('Estimates-split'!AF19="","(n/a)","("&amp;TEXT('Estimates-split'!AF19,"0.00")&amp;")")</f>
        <v>(-1.47)</v>
      </c>
    </row>
    <row r="89" customFormat="false" ht="15" hidden="false" customHeight="false" outlineLevel="0" collapsed="false">
      <c r="A89" s="7" t="s">
        <v>24</v>
      </c>
      <c r="C89" s="8" t="str">
        <f aca="false">TEXT('Estimates-split'!V20,"0.000")&amp;IF('Estimates-split'!Y20="","",IF('Estimates-split'!Y20&lt;0.01,"***",IF('Estimates-split'!Y20&lt;0.05,"**",IF('Estimates-split'!Y20&lt;0.1,"*",""))))</f>
        <v>0.102</v>
      </c>
      <c r="D89" s="8" t="str">
        <f aca="false">TEXT('Estimates-split'!Z20,"0.000")&amp;IF('Estimates-split'!AC20="","",IF('Estimates-split'!AC20&lt;0.01,"***",IF('Estimates-split'!AC20&lt;0.05,"**",IF('Estimates-split'!AC20&lt;0.1,"*",""))))</f>
        <v>0.134</v>
      </c>
      <c r="E89" s="8" t="str">
        <f aca="false">TEXT('Estimates-split'!AD20,"0.000")&amp;IF('Estimates-split'!AG20="","",IF('Estimates-split'!AG20&lt;0.01,"***",IF('Estimates-split'!AG20&lt;0.05,"**",IF('Estimates-split'!AG20&lt;0.1,"*",""))))</f>
        <v>0.107</v>
      </c>
    </row>
    <row r="90" customFormat="false" ht="15" hidden="false" customHeight="false" outlineLevel="0" collapsed="false">
      <c r="C90" s="8" t="str">
        <f aca="false">IF('Estimates-split'!X20="","(n/a)","("&amp;TEXT('Estimates-split'!X20,"0.00")&amp;")")</f>
        <v>(0.98)</v>
      </c>
      <c r="D90" s="8" t="str">
        <f aca="false">IF('Estimates-split'!AB20="","(n/a)","("&amp;TEXT('Estimates-split'!AB20,"0.00")&amp;")")</f>
        <v>(0.66)</v>
      </c>
      <c r="E90" s="8" t="str">
        <f aca="false">IF('Estimates-split'!AF20="","(n/a)","("&amp;TEXT('Estimates-split'!AF20,"0.00")&amp;")")</f>
        <v>(0.51)</v>
      </c>
    </row>
    <row r="91" customFormat="false" ht="15" hidden="false" customHeight="false" outlineLevel="0" collapsed="false">
      <c r="A91" s="7" t="s">
        <v>25</v>
      </c>
      <c r="C91" s="8" t="str">
        <f aca="false">TEXT('Estimates-split'!V21,"0.000")&amp;IF('Estimates-split'!Y21="","",IF('Estimates-split'!Y21&lt;0.01,"***",IF('Estimates-split'!Y21&lt;0.05,"**",IF('Estimates-split'!Y21&lt;0.1,"*",""))))</f>
        <v>-0.154</v>
      </c>
      <c r="D91" s="8" t="str">
        <f aca="false">TEXT('Estimates-split'!Z21,"0.000")&amp;IF('Estimates-split'!AC21="","",IF('Estimates-split'!AC21&lt;0.01,"***",IF('Estimates-split'!AC21&lt;0.05,"**",IF('Estimates-split'!AC21&lt;0.1,"*",""))))</f>
        <v>0.103</v>
      </c>
      <c r="E91" s="8" t="str">
        <f aca="false">TEXT('Estimates-split'!AD21,"0.000")&amp;IF('Estimates-split'!AG21="","",IF('Estimates-split'!AG21&lt;0.01,"***",IF('Estimates-split'!AG21&lt;0.05,"**",IF('Estimates-split'!AG21&lt;0.1,"*",""))))</f>
        <v>-0.017</v>
      </c>
    </row>
    <row r="92" customFormat="false" ht="15" hidden="false" customHeight="false" outlineLevel="0" collapsed="false">
      <c r="C92" s="8" t="str">
        <f aca="false">IF('Estimates-split'!X21="","(n/a)","("&amp;TEXT('Estimates-split'!X21,"0.00")&amp;")")</f>
        <v>(-0.98)</v>
      </c>
      <c r="D92" s="8" t="str">
        <f aca="false">IF('Estimates-split'!AB21="","(n/a)","("&amp;TEXT('Estimates-split'!AB21,"0.00")&amp;")")</f>
        <v>(0.51)</v>
      </c>
      <c r="E92" s="8" t="str">
        <f aca="false">IF('Estimates-split'!AF21="","(n/a)","("&amp;TEXT('Estimates-split'!AF21,"0.00")&amp;")")</f>
        <v>(-0.08)</v>
      </c>
    </row>
    <row r="93" customFormat="false" ht="15" hidden="false" customHeight="false" outlineLevel="0" collapsed="false">
      <c r="A93" s="7" t="s">
        <v>26</v>
      </c>
      <c r="C93" s="8" t="str">
        <f aca="false">TEXT('Estimates-split'!V22,"0.000")&amp;IF('Estimates-split'!Y22="","",IF('Estimates-split'!Y22&lt;0.01,"***",IF('Estimates-split'!Y22&lt;0.05,"**",IF('Estimates-split'!Y22&lt;0.1,"*",""))))</f>
        <v>0.314*</v>
      </c>
      <c r="D93" s="8" t="str">
        <f aca="false">TEXT('Estimates-split'!Z22,"0.000")&amp;IF('Estimates-split'!AC22="","",IF('Estimates-split'!AC22&lt;0.01,"***",IF('Estimates-split'!AC22&lt;0.05,"**",IF('Estimates-split'!AC22&lt;0.1,"*",""))))</f>
        <v>-0.048</v>
      </c>
      <c r="E93" s="8" t="str">
        <f aca="false">TEXT('Estimates-split'!AD22,"0.000")&amp;IF('Estimates-split'!AG22="","",IF('Estimates-split'!AG22&lt;0.01,"***",IF('Estimates-split'!AG22&lt;0.05,"**",IF('Estimates-split'!AG22&lt;0.1,"*",""))))</f>
        <v>0.541</v>
      </c>
    </row>
    <row r="94" customFormat="false" ht="15" hidden="false" customHeight="false" outlineLevel="0" collapsed="false">
      <c r="C94" s="8" t="str">
        <f aca="false">IF('Estimates-split'!X22="","(n/a)","("&amp;TEXT('Estimates-split'!X22,"0.00")&amp;")")</f>
        <v>(1.87)</v>
      </c>
      <c r="D94" s="8" t="str">
        <f aca="false">IF('Estimates-split'!AB22="","(n/a)","("&amp;TEXT('Estimates-split'!AB22,"0.00")&amp;")")</f>
        <v>(-0.05)</v>
      </c>
      <c r="E94" s="8" t="str">
        <f aca="false">IF('Estimates-split'!AF22="","(n/a)","("&amp;TEXT('Estimates-split'!AF22,"0.00")&amp;")")</f>
        <v>(0.72)</v>
      </c>
    </row>
    <row r="95" customFormat="false" ht="15" hidden="false" customHeight="false" outlineLevel="0" collapsed="false">
      <c r="A95" s="7" t="s">
        <v>27</v>
      </c>
      <c r="C95" s="8" t="str">
        <f aca="false">TEXT('Estimates-split'!V23,"0.000")&amp;IF('Estimates-split'!Y23="","",IF('Estimates-split'!Y23&lt;0.01,"***",IF('Estimates-split'!Y23&lt;0.05,"**",IF('Estimates-split'!Y23&lt;0.1,"*",""))))</f>
        <v>-0.042</v>
      </c>
      <c r="D95" s="8" t="str">
        <f aca="false">TEXT('Estimates-split'!Z23,"0.000")&amp;IF('Estimates-split'!AC23="","",IF('Estimates-split'!AC23&lt;0.01,"***",IF('Estimates-split'!AC23&lt;0.05,"**",IF('Estimates-split'!AC23&lt;0.1,"*",""))))</f>
        <v>0.388</v>
      </c>
      <c r="E95" s="8" t="str">
        <f aca="false">TEXT('Estimates-split'!AD23,"0.000")&amp;IF('Estimates-split'!AG23="","",IF('Estimates-split'!AG23&lt;0.01,"***",IF('Estimates-split'!AG23&lt;0.05,"**",IF('Estimates-split'!AG23&lt;0.1,"*",""))))</f>
        <v>-0.322</v>
      </c>
    </row>
    <row r="96" customFormat="false" ht="15" hidden="false" customHeight="false" outlineLevel="0" collapsed="false">
      <c r="C96" s="8" t="str">
        <f aca="false">IF('Estimates-split'!X23="","(n/a)","("&amp;TEXT('Estimates-split'!X23,"0.00")&amp;")")</f>
        <v>(-0.20)</v>
      </c>
      <c r="D96" s="8" t="str">
        <f aca="false">IF('Estimates-split'!AB23="","(n/a)","("&amp;TEXT('Estimates-split'!AB23,"0.00")&amp;")")</f>
        <v>(0.24)</v>
      </c>
      <c r="E96" s="8" t="str">
        <f aca="false">IF('Estimates-split'!AF23="","(n/a)","("&amp;TEXT('Estimates-split'!AF23,"0.00")&amp;")")</f>
        <v>(-0.24)</v>
      </c>
    </row>
    <row r="98" customFormat="false" ht="15" hidden="false" customHeight="false" outlineLevel="0" collapsed="false">
      <c r="A98" s="7" t="s">
        <v>28</v>
      </c>
      <c r="B98" s="9" t="n">
        <f aca="false">'Estimates-split'!R26</f>
        <v>1538</v>
      </c>
      <c r="C98" s="9" t="n">
        <f aca="false">'Estimates-split'!V26</f>
        <v>1320</v>
      </c>
      <c r="D98" s="9" t="n">
        <f aca="false">'Estimates-split'!Z26</f>
        <v>1319</v>
      </c>
      <c r="E98" s="9" t="n">
        <f aca="false">'Estimates-split'!AD26</f>
        <v>1319</v>
      </c>
    </row>
    <row r="99" customFormat="false" ht="15" hidden="false" customHeight="false" outlineLevel="0" collapsed="false">
      <c r="A99" s="7" t="s">
        <v>29</v>
      </c>
      <c r="B99" s="10" t="n">
        <f aca="false">'Estimates-split'!R29</f>
        <v>0.118578094817697</v>
      </c>
      <c r="C99" s="10" t="n">
        <f aca="false">'Estimates-split'!V29</f>
        <v>0.128109877763082</v>
      </c>
      <c r="D99" s="10" t="n">
        <f aca="false">'Estimates-split'!Z29</f>
        <v>0.0207914424340943</v>
      </c>
      <c r="E99" s="10" t="n">
        <f aca="false">'Estimates-split'!AD29</f>
        <v>0.123904799399671</v>
      </c>
    </row>
    <row r="100" customFormat="false" ht="15" hidden="false" customHeight="false" outlineLevel="0" collapsed="false">
      <c r="A100" s="7" t="s">
        <v>30</v>
      </c>
      <c r="B100" s="11" t="s">
        <v>31</v>
      </c>
      <c r="C100" s="11" t="s">
        <v>31</v>
      </c>
      <c r="D100" s="11" t="s">
        <v>32</v>
      </c>
      <c r="E100" s="11" t="s">
        <v>32</v>
      </c>
    </row>
    <row r="101" customFormat="false" ht="15" hidden="false" customHeight="false" outlineLevel="0" collapsed="false">
      <c r="A101" s="7" t="s">
        <v>33</v>
      </c>
      <c r="B101" s="11" t="s">
        <v>32</v>
      </c>
      <c r="C101" s="11" t="s">
        <v>32</v>
      </c>
      <c r="D101" s="11" t="s">
        <v>31</v>
      </c>
      <c r="E101" s="11" t="s">
        <v>32</v>
      </c>
    </row>
    <row r="102" customFormat="false" ht="15" hidden="false" customHeight="false" outlineLevel="0" collapsed="false">
      <c r="A102" s="12" t="s">
        <v>34</v>
      </c>
      <c r="B102" s="13" t="n">
        <f aca="false">'Estimates-split'!U24</f>
        <v>0.572440113260154</v>
      </c>
      <c r="C102" s="13" t="n">
        <f aca="false">'Estimates-split'!Y24</f>
        <v>0.386150556066564</v>
      </c>
      <c r="D102" s="13" t="n">
        <f aca="false">'Estimates-split'!AC24</f>
        <v>0.190500893906074</v>
      </c>
      <c r="E102" s="13" t="n">
        <f aca="false">'Estimates-split'!AG24</f>
        <v>0.0956110118151261</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s>
  <sheetData>
    <row r="1" customFormat="false" ht="15" hidden="false" customHeight="false" outlineLevel="0" collapsed="false">
      <c r="A1" s="1" t="s">
        <v>37</v>
      </c>
    </row>
    <row r="2" customFormat="false" ht="135" hidden="false" customHeight="true" outlineLevel="0" collapsed="false">
      <c r="A2" s="2" t="s">
        <v>38</v>
      </c>
      <c r="B2" s="2"/>
      <c r="C2" s="2"/>
      <c r="D2" s="2"/>
      <c r="E2" s="2"/>
    </row>
    <row r="4" customFormat="false" ht="15" hidden="false" customHeight="false" outlineLevel="0" collapsed="false">
      <c r="A4" s="3"/>
      <c r="B4" s="4" t="s">
        <v>3</v>
      </c>
      <c r="C4" s="4" t="s">
        <v>4</v>
      </c>
      <c r="D4" s="4" t="s">
        <v>5</v>
      </c>
      <c r="E4" s="4" t="s">
        <v>6</v>
      </c>
    </row>
    <row r="5" customFormat="false" ht="15" hidden="false" customHeight="false" outlineLevel="0" collapsed="false">
      <c r="A5" s="5"/>
      <c r="B5" s="6" t="s">
        <v>39</v>
      </c>
      <c r="C5" s="6" t="s">
        <v>39</v>
      </c>
      <c r="D5" s="6" t="s">
        <v>39</v>
      </c>
      <c r="E5" s="6" t="s">
        <v>39</v>
      </c>
    </row>
    <row r="6" customFormat="false" ht="15" hidden="false" customHeight="false" outlineLevel="0" collapsed="false">
      <c r="A6" s="7" t="s">
        <v>8</v>
      </c>
      <c r="B6" s="8" t="str">
        <f aca="false">TEXT('Estimates-split'!AH4,"0.000")&amp;IF('Estimates-split'!AK4="","",IF('Estimates-split'!AK4&lt;0.01,"***",IF('Estimates-split'!AK4&lt;0.05,"**",IF('Estimates-split'!AK4&lt;0.1,"*",""))))</f>
        <v>-0.045</v>
      </c>
      <c r="C6" s="8" t="str">
        <f aca="false">TEXT('Estimates-split'!AL4,"0.000")&amp;IF('Estimates-split'!AO4="","",IF('Estimates-split'!AO4&lt;0.01,"***",IF('Estimates-split'!AO4&lt;0.05,"**",IF('Estimates-split'!AO4&lt;0.1,"*",""))))</f>
        <v>-0.028</v>
      </c>
      <c r="D6" s="8" t="str">
        <f aca="false">TEXT('Estimates-split'!AP4,"0.000")&amp;IF('Estimates-split'!AS4="","",IF('Estimates-split'!AS4&lt;0.01,"***",IF('Estimates-split'!AS4&lt;0.05,"**",IF('Estimates-split'!AS4&lt;0.1,"*",""))))</f>
        <v>0.039</v>
      </c>
      <c r="E6" s="8" t="str">
        <f aca="false">TEXT('Estimates-split'!AT4,"0.000")&amp;IF('Estimates-split'!AW4="","",IF('Estimates-split'!AW4&lt;0.01,"***",IF('Estimates-split'!AW4&lt;0.05,"**",IF('Estimates-split'!AW4&lt;0.1,"*",""))))</f>
        <v>0.037</v>
      </c>
    </row>
    <row r="7" customFormat="false" ht="15" hidden="false" customHeight="false" outlineLevel="0" collapsed="false">
      <c r="B7" s="8" t="str">
        <f aca="false">IF('Estimates-split'!AJ4="","(n/a)","("&amp;TEXT('Estimates-split'!AJ4,"0.00")&amp;")")</f>
        <v>(-1.30)</v>
      </c>
      <c r="C7" s="8" t="str">
        <f aca="false">IF('Estimates-split'!AN4="","(n/a)","("&amp;TEXT('Estimates-split'!AN4,"0.00")&amp;")")</f>
        <v>(-0.62)</v>
      </c>
      <c r="D7" s="8" t="str">
        <f aca="false">IF('Estimates-split'!AR4="","(n/a)","("&amp;TEXT('Estimates-split'!AR4,"0.00")&amp;")")</f>
        <v>(0.71)</v>
      </c>
      <c r="E7" s="8" t="str">
        <f aca="false">IF('Estimates-split'!AV4="","(n/a)","("&amp;TEXT('Estimates-split'!AV4,"0.00")&amp;")")</f>
        <v>(0.67)</v>
      </c>
    </row>
    <row r="8" customFormat="false" ht="15" hidden="false" customHeight="false" outlineLevel="0" collapsed="false">
      <c r="A8" s="7" t="s">
        <v>9</v>
      </c>
      <c r="B8" s="8" t="str">
        <f aca="false">TEXT('Estimates-split'!AH5,"0.000")&amp;IF('Estimates-split'!AK5="","",IF('Estimates-split'!AK5&lt;0.01,"***",IF('Estimates-split'!AK5&lt;0.05,"**",IF('Estimates-split'!AK5&lt;0.1,"*",""))))</f>
        <v>-0.047</v>
      </c>
      <c r="C8" s="8" t="str">
        <f aca="false">TEXT('Estimates-split'!AL5,"0.000")&amp;IF('Estimates-split'!AO5="","",IF('Estimates-split'!AO5&lt;0.01,"***",IF('Estimates-split'!AO5&lt;0.05,"**",IF('Estimates-split'!AO5&lt;0.1,"*",""))))</f>
        <v>-0.035</v>
      </c>
      <c r="D8" s="8" t="str">
        <f aca="false">TEXT('Estimates-split'!AP5,"0.000")&amp;IF('Estimates-split'!AS5="","",IF('Estimates-split'!AS5&lt;0.01,"***",IF('Estimates-split'!AS5&lt;0.05,"**",IF('Estimates-split'!AS5&lt;0.1,"*",""))))</f>
        <v>0.031</v>
      </c>
      <c r="E8" s="8" t="str">
        <f aca="false">TEXT('Estimates-split'!AT5,"0.000")&amp;IF('Estimates-split'!AW5="","",IF('Estimates-split'!AW5&lt;0.01,"***",IF('Estimates-split'!AW5&lt;0.05,"**",IF('Estimates-split'!AW5&lt;0.1,"*",""))))</f>
        <v>0.028</v>
      </c>
    </row>
    <row r="9" customFormat="false" ht="15" hidden="false" customHeight="false" outlineLevel="0" collapsed="false">
      <c r="B9" s="8" t="str">
        <f aca="false">IF('Estimates-split'!AJ5="","(n/a)","("&amp;TEXT('Estimates-split'!AJ5,"0.00")&amp;")")</f>
        <v>(-1.17)</v>
      </c>
      <c r="C9" s="8" t="str">
        <f aca="false">IF('Estimates-split'!AN5="","(n/a)","("&amp;TEXT('Estimates-split'!AN5,"0.00")&amp;")")</f>
        <v>(-0.90)</v>
      </c>
      <c r="D9" s="8" t="str">
        <f aca="false">IF('Estimates-split'!AR5="","(n/a)","("&amp;TEXT('Estimates-split'!AR5,"0.00")&amp;")")</f>
        <v>(0.53)</v>
      </c>
      <c r="E9" s="8" t="str">
        <f aca="false">IF('Estimates-split'!AV5="","(n/a)","("&amp;TEXT('Estimates-split'!AV5,"0.00")&amp;")")</f>
        <v>(0.50)</v>
      </c>
    </row>
    <row r="10" customFormat="false" ht="15" hidden="false" customHeight="false" outlineLevel="0" collapsed="false">
      <c r="A10" s="7" t="s">
        <v>10</v>
      </c>
      <c r="B10" s="8" t="str">
        <f aca="false">TEXT('Estimates-split'!AH6,"0.000")&amp;IF('Estimates-split'!AK6="","",IF('Estimates-split'!AK6&lt;0.01,"***",IF('Estimates-split'!AK6&lt;0.05,"**",IF('Estimates-split'!AK6&lt;0.1,"*",""))))</f>
        <v>0.000</v>
      </c>
      <c r="C10" s="8" t="str">
        <f aca="false">TEXT('Estimates-split'!AL6,"0.000")&amp;IF('Estimates-split'!AO6="","",IF('Estimates-split'!AO6&lt;0.01,"***",IF('Estimates-split'!AO6&lt;0.05,"**",IF('Estimates-split'!AO6&lt;0.1,"*",""))))</f>
        <v>0.000</v>
      </c>
      <c r="D10" s="8" t="str">
        <f aca="false">TEXT('Estimates-split'!AP6,"0.000")&amp;IF('Estimates-split'!AS6="","",IF('Estimates-split'!AS6&lt;0.01,"***",IF('Estimates-split'!AS6&lt;0.05,"**",IF('Estimates-split'!AS6&lt;0.1,"*",""))))</f>
        <v>-0.001</v>
      </c>
      <c r="E10" s="8" t="str">
        <f aca="false">TEXT('Estimates-split'!AT6,"0.000")&amp;IF('Estimates-split'!AW6="","",IF('Estimates-split'!AW6&lt;0.01,"***",IF('Estimates-split'!AW6&lt;0.05,"**",IF('Estimates-split'!AW6&lt;0.1,"*",""))))</f>
        <v>-0.001**</v>
      </c>
    </row>
    <row r="11" customFormat="false" ht="15" hidden="false" customHeight="false" outlineLevel="0" collapsed="false">
      <c r="B11" s="8" t="str">
        <f aca="false">IF('Estimates-split'!AJ6="","(n/a)","("&amp;TEXT('Estimates-split'!AJ6,"0.00")&amp;")")</f>
        <v>(-0.40)</v>
      </c>
      <c r="C11" s="8" t="str">
        <f aca="false">IF('Estimates-split'!AN6="","(n/a)","("&amp;TEXT('Estimates-split'!AN6,"0.00")&amp;")")</f>
        <v>(-0.56)</v>
      </c>
      <c r="D11" s="8" t="str">
        <f aca="false">IF('Estimates-split'!AR6="","(n/a)","("&amp;TEXT('Estimates-split'!AR6,"0.00")&amp;")")</f>
        <v>(-1.20)</v>
      </c>
      <c r="E11" s="8" t="str">
        <f aca="false">IF('Estimates-split'!AV6="","(n/a)","("&amp;TEXT('Estimates-split'!AV6,"0.00")&amp;")")</f>
        <v>(-2.39)</v>
      </c>
    </row>
    <row r="12" customFormat="false" ht="15" hidden="false" customHeight="false" outlineLevel="0" collapsed="false">
      <c r="A12" s="7" t="s">
        <v>11</v>
      </c>
      <c r="B12" s="8" t="str">
        <f aca="false">TEXT('Estimates-split'!AH7,"0.000")&amp;IF('Estimates-split'!AK7="","",IF('Estimates-split'!AK7&lt;0.01,"***",IF('Estimates-split'!AK7&lt;0.05,"**",IF('Estimates-split'!AK7&lt;0.1,"*",""))))</f>
        <v>-0.022</v>
      </c>
      <c r="C12" s="8" t="str">
        <f aca="false">TEXT('Estimates-split'!AL7,"0.000")&amp;IF('Estimates-split'!AO7="","",IF('Estimates-split'!AO7&lt;0.01,"***",IF('Estimates-split'!AO7&lt;0.05,"**",IF('Estimates-split'!AO7&lt;0.1,"*",""))))</f>
        <v>-0.019</v>
      </c>
      <c r="D12" s="8" t="str">
        <f aca="false">TEXT('Estimates-split'!AP7,"0.000")&amp;IF('Estimates-split'!AS7="","",IF('Estimates-split'!AS7&lt;0.01,"***",IF('Estimates-split'!AS7&lt;0.05,"**",IF('Estimates-split'!AS7&lt;0.1,"*",""))))</f>
        <v>0.008</v>
      </c>
      <c r="E12" s="8" t="str">
        <f aca="false">TEXT('Estimates-split'!AT7,"0.000")&amp;IF('Estimates-split'!AW7="","",IF('Estimates-split'!AW7&lt;0.01,"***",IF('Estimates-split'!AW7&lt;0.05,"**",IF('Estimates-split'!AW7&lt;0.1,"*",""))))</f>
        <v>0.042</v>
      </c>
    </row>
    <row r="13" customFormat="false" ht="15" hidden="false" customHeight="false" outlineLevel="0" collapsed="false">
      <c r="B13" s="8" t="str">
        <f aca="false">IF('Estimates-split'!AJ7="","(n/a)","("&amp;TEXT('Estimates-split'!AJ7,"0.00")&amp;")")</f>
        <v>(-1.62)</v>
      </c>
      <c r="C13" s="8" t="str">
        <f aca="false">IF('Estimates-split'!AN7="","(n/a)","("&amp;TEXT('Estimates-split'!AN7,"0.00")&amp;")")</f>
        <v>(-1.32)</v>
      </c>
      <c r="D13" s="8" t="str">
        <f aca="false">IF('Estimates-split'!AR7="","(n/a)","("&amp;TEXT('Estimates-split'!AR7,"0.00")&amp;")")</f>
        <v>(0.16)</v>
      </c>
      <c r="E13" s="8" t="str">
        <f aca="false">IF('Estimates-split'!AV7="","(n/a)","("&amp;TEXT('Estimates-split'!AV7,"0.00")&amp;")")</f>
        <v>(0.41)</v>
      </c>
    </row>
    <row r="14" customFormat="false" ht="15" hidden="false" customHeight="false" outlineLevel="0" collapsed="false">
      <c r="A14" s="7" t="s">
        <v>12</v>
      </c>
      <c r="B14" s="8" t="str">
        <f aca="false">TEXT('Estimates-split'!AH8,"0.000")&amp;IF('Estimates-split'!AK8="","",IF('Estimates-split'!AK8&lt;0.01,"***",IF('Estimates-split'!AK8&lt;0.05,"**",IF('Estimates-split'!AK8&lt;0.1,"*",""))))</f>
        <v>-0.001</v>
      </c>
      <c r="C14" s="8" t="str">
        <f aca="false">TEXT('Estimates-split'!AL8,"0.000")&amp;IF('Estimates-split'!AO8="","",IF('Estimates-split'!AO8&lt;0.01,"***",IF('Estimates-split'!AO8&lt;0.05,"**",IF('Estimates-split'!AO8&lt;0.1,"*",""))))</f>
        <v>-0.001</v>
      </c>
      <c r="D14" s="8" t="str">
        <f aca="false">TEXT('Estimates-split'!AP8,"0.000")&amp;IF('Estimates-split'!AS8="","",IF('Estimates-split'!AS8&lt;0.01,"***",IF('Estimates-split'!AS8&lt;0.05,"**",IF('Estimates-split'!AS8&lt;0.1,"*",""))))</f>
        <v>-0.001</v>
      </c>
      <c r="E14" s="8" t="str">
        <f aca="false">TEXT('Estimates-split'!AT8,"0.000")&amp;IF('Estimates-split'!AW8="","",IF('Estimates-split'!AW8&lt;0.01,"***",IF('Estimates-split'!AW8&lt;0.05,"**",IF('Estimates-split'!AW8&lt;0.1,"*",""))))</f>
        <v>-0.002**</v>
      </c>
    </row>
    <row r="15" customFormat="false" ht="15" hidden="false" customHeight="false" outlineLevel="0" collapsed="false">
      <c r="B15" s="8" t="str">
        <f aca="false">IF('Estimates-split'!AJ8="","(n/a)","("&amp;TEXT('Estimates-split'!AJ8,"0.00")&amp;")")</f>
        <v>(-0.94)</v>
      </c>
      <c r="C15" s="8" t="str">
        <f aca="false">IF('Estimates-split'!AN8="","(n/a)","("&amp;TEXT('Estimates-split'!AN8,"0.00")&amp;")")</f>
        <v>(-1.18)</v>
      </c>
      <c r="D15" s="8" t="str">
        <f aca="false">IF('Estimates-split'!AR8="","(n/a)","("&amp;TEXT('Estimates-split'!AR8,"0.00")&amp;")")</f>
        <v>(-1.14)</v>
      </c>
      <c r="E15" s="8" t="str">
        <f aca="false">IF('Estimates-split'!AV8="","(n/a)","("&amp;TEXT('Estimates-split'!AV8,"0.00")&amp;")")</f>
        <v>(-2.38)</v>
      </c>
    </row>
    <row r="16" customFormat="false" ht="15" hidden="false" customHeight="false" outlineLevel="0" collapsed="false">
      <c r="A16" s="7" t="s">
        <v>13</v>
      </c>
      <c r="B16" s="8" t="str">
        <f aca="false">TEXT('Estimates-split'!AH9,"0.000")&amp;IF('Estimates-split'!AK9="","",IF('Estimates-split'!AK9&lt;0.01,"***",IF('Estimates-split'!AK9&lt;0.05,"**",IF('Estimates-split'!AK9&lt;0.1,"*",""))))</f>
        <v>-0.039</v>
      </c>
      <c r="C16" s="8" t="str">
        <f aca="false">TEXT('Estimates-split'!AL9,"0.000")&amp;IF('Estimates-split'!AO9="","",IF('Estimates-split'!AO9&lt;0.01,"***",IF('Estimates-split'!AO9&lt;0.05,"**",IF('Estimates-split'!AO9&lt;0.1,"*",""))))</f>
        <v>-0.082</v>
      </c>
      <c r="D16" s="8" t="str">
        <f aca="false">TEXT('Estimates-split'!AP9,"0.000")&amp;IF('Estimates-split'!AS9="","",IF('Estimates-split'!AS9&lt;0.01,"***",IF('Estimates-split'!AS9&lt;0.05,"**",IF('Estimates-split'!AS9&lt;0.1,"*",""))))</f>
        <v>-0.085</v>
      </c>
      <c r="E16" s="8" t="str">
        <f aca="false">TEXT('Estimates-split'!AT9,"0.000")&amp;IF('Estimates-split'!AW9="","",IF('Estimates-split'!AW9&lt;0.01,"***",IF('Estimates-split'!AW9&lt;0.05,"**",IF('Estimates-split'!AW9&lt;0.1,"*",""))))</f>
        <v>-0.086</v>
      </c>
    </row>
    <row r="17" customFormat="false" ht="15" hidden="false" customHeight="false" outlineLevel="0" collapsed="false">
      <c r="B17" s="8" t="str">
        <f aca="false">IF('Estimates-split'!AJ9="","(n/a)","("&amp;TEXT('Estimates-split'!AJ9,"0.00")&amp;")")</f>
        <v>(-1.12)</v>
      </c>
      <c r="C17" s="8" t="str">
        <f aca="false">IF('Estimates-split'!AN9="","(n/a)","("&amp;TEXT('Estimates-split'!AN9,"0.00")&amp;")")</f>
        <v>(-1.19)</v>
      </c>
      <c r="D17" s="8" t="str">
        <f aca="false">IF('Estimates-split'!AR9="","(n/a)","("&amp;TEXT('Estimates-split'!AR9,"0.00")&amp;")")</f>
        <v>(-1.44)</v>
      </c>
      <c r="E17" s="8" t="str">
        <f aca="false">IF('Estimates-split'!AV9="","(n/a)","("&amp;TEXT('Estimates-split'!AV9,"0.00")&amp;")")</f>
        <v>(-1.55)</v>
      </c>
    </row>
    <row r="18" customFormat="false" ht="15" hidden="false" customHeight="false" outlineLevel="0" collapsed="false">
      <c r="A18" s="7" t="s">
        <v>14</v>
      </c>
      <c r="B18" s="8" t="str">
        <f aca="false">TEXT('Estimates-split'!AH10,"0.000")&amp;IF('Estimates-split'!AK10="","",IF('Estimates-split'!AK10&lt;0.01,"***",IF('Estimates-split'!AK10&lt;0.05,"**",IF('Estimates-split'!AK10&lt;0.1,"*",""))))</f>
        <v>-0.043</v>
      </c>
      <c r="C18" s="8" t="str">
        <f aca="false">TEXT('Estimates-split'!AL10,"0.000")&amp;IF('Estimates-split'!AO10="","",IF('Estimates-split'!AO10&lt;0.01,"***",IF('Estimates-split'!AO10&lt;0.05,"**",IF('Estimates-split'!AO10&lt;0.1,"*",""))))</f>
        <v>-0.087</v>
      </c>
      <c r="D18" s="8" t="str">
        <f aca="false">TEXT('Estimates-split'!AP10,"0.000")&amp;IF('Estimates-split'!AS10="","",IF('Estimates-split'!AS10&lt;0.01,"***",IF('Estimates-split'!AS10&lt;0.05,"**",IF('Estimates-split'!AS10&lt;0.1,"*",""))))</f>
        <v>-0.090</v>
      </c>
      <c r="E18" s="8" t="str">
        <f aca="false">TEXT('Estimates-split'!AT10,"0.000")&amp;IF('Estimates-split'!AW10="","",IF('Estimates-split'!AW10&lt;0.01,"***",IF('Estimates-split'!AW10&lt;0.05,"**",IF('Estimates-split'!AW10&lt;0.1,"*",""))))</f>
        <v>-0.091</v>
      </c>
    </row>
    <row r="19" customFormat="false" ht="15" hidden="false" customHeight="false" outlineLevel="0" collapsed="false">
      <c r="B19" s="8" t="str">
        <f aca="false">IF('Estimates-split'!AJ10="","(n/a)","("&amp;TEXT('Estimates-split'!AJ10,"0.00")&amp;")")</f>
        <v>(-1.23)</v>
      </c>
      <c r="C19" s="8" t="str">
        <f aca="false">IF('Estimates-split'!AN10="","(n/a)","("&amp;TEXT('Estimates-split'!AN10,"0.00")&amp;")")</f>
        <v>(-1.25)</v>
      </c>
      <c r="D19" s="8" t="str">
        <f aca="false">IF('Estimates-split'!AR10="","(n/a)","("&amp;TEXT('Estimates-split'!AR10,"0.00")&amp;")")</f>
        <v>(-1.52)</v>
      </c>
      <c r="E19" s="8" t="str">
        <f aca="false">IF('Estimates-split'!AV10="","(n/a)","("&amp;TEXT('Estimates-split'!AV10,"0.00")&amp;")")</f>
        <v>(-1.64)</v>
      </c>
    </row>
    <row r="20" customFormat="false" ht="15" hidden="false" customHeight="false" outlineLevel="0" collapsed="false">
      <c r="A20" s="7" t="s">
        <v>15</v>
      </c>
      <c r="B20" s="8" t="str">
        <f aca="false">TEXT('Estimates-split'!AH11,"0.000")&amp;IF('Estimates-split'!AK11="","",IF('Estimates-split'!AK11&lt;0.01,"***",IF('Estimates-split'!AK11&lt;0.05,"**",IF('Estimates-split'!AK11&lt;0.1,"*",""))))</f>
        <v>-0.032</v>
      </c>
      <c r="C20" s="8" t="str">
        <f aca="false">TEXT('Estimates-split'!AL11,"0.000")&amp;IF('Estimates-split'!AO11="","",IF('Estimates-split'!AO11&lt;0.01,"***",IF('Estimates-split'!AO11&lt;0.05,"**",IF('Estimates-split'!AO11&lt;0.1,"*",""))))</f>
        <v>-0.075</v>
      </c>
      <c r="D20" s="8" t="str">
        <f aca="false">TEXT('Estimates-split'!AP11,"0.000")&amp;IF('Estimates-split'!AS11="","",IF('Estimates-split'!AS11&lt;0.01,"***",IF('Estimates-split'!AS11&lt;0.05,"**",IF('Estimates-split'!AS11&lt;0.1,"*",""))))</f>
        <v>-0.085</v>
      </c>
      <c r="E20" s="8" t="str">
        <f aca="false">TEXT('Estimates-split'!AT11,"0.000")&amp;IF('Estimates-split'!AW11="","",IF('Estimates-split'!AW11&lt;0.01,"***",IF('Estimates-split'!AW11&lt;0.05,"**",IF('Estimates-split'!AW11&lt;0.1,"*",""))))</f>
        <v>-0.087</v>
      </c>
    </row>
    <row r="21" customFormat="false" ht="15" hidden="false" customHeight="false" outlineLevel="0" collapsed="false">
      <c r="B21" s="8" t="str">
        <f aca="false">IF('Estimates-split'!AJ11="","(n/a)","("&amp;TEXT('Estimates-split'!AJ11,"0.00")&amp;")")</f>
        <v>(-0.90)</v>
      </c>
      <c r="C21" s="8" t="str">
        <f aca="false">IF('Estimates-split'!AN11="","(n/a)","("&amp;TEXT('Estimates-split'!AN11,"0.00")&amp;")")</f>
        <v>(-1.08)</v>
      </c>
      <c r="D21" s="8" t="str">
        <f aca="false">IF('Estimates-split'!AR11="","(n/a)","("&amp;TEXT('Estimates-split'!AR11,"0.00")&amp;")")</f>
        <v>(-1.45)</v>
      </c>
      <c r="E21" s="8" t="str">
        <f aca="false">IF('Estimates-split'!AV11="","(n/a)","("&amp;TEXT('Estimates-split'!AV11,"0.00")&amp;")")</f>
        <v>(-1.59)</v>
      </c>
    </row>
    <row r="22" customFormat="false" ht="15" hidden="false" customHeight="false" outlineLevel="0" collapsed="false">
      <c r="A22" s="7" t="s">
        <v>16</v>
      </c>
      <c r="B22" s="8" t="str">
        <f aca="false">TEXT('Estimates-split'!AH12,"0.000")&amp;IF('Estimates-split'!AK12="","",IF('Estimates-split'!AK12&lt;0.01,"***",IF('Estimates-split'!AK12&lt;0.05,"**",IF('Estimates-split'!AK12&lt;0.1,"*",""))))</f>
        <v>-0.034</v>
      </c>
      <c r="C22" s="8" t="str">
        <f aca="false">TEXT('Estimates-split'!AL12,"0.000")&amp;IF('Estimates-split'!AO12="","",IF('Estimates-split'!AO12&lt;0.01,"***",IF('Estimates-split'!AO12&lt;0.05,"**",IF('Estimates-split'!AO12&lt;0.1,"*",""))))</f>
        <v>-0.077</v>
      </c>
      <c r="D22" s="8" t="str">
        <f aca="false">TEXT('Estimates-split'!AP12,"0.000")&amp;IF('Estimates-split'!AS12="","",IF('Estimates-split'!AS12&lt;0.01,"***",IF('Estimates-split'!AS12&lt;0.05,"**",IF('Estimates-split'!AS12&lt;0.1,"*",""))))</f>
        <v>-0.067</v>
      </c>
      <c r="E22" s="8" t="str">
        <f aca="false">TEXT('Estimates-split'!AT12,"0.000")&amp;IF('Estimates-split'!AW12="","",IF('Estimates-split'!AW12&lt;0.01,"***",IF('Estimates-split'!AW12&lt;0.05,"**",IF('Estimates-split'!AW12&lt;0.1,"*",""))))</f>
        <v>-0.065</v>
      </c>
    </row>
    <row r="23" customFormat="false" ht="15" hidden="false" customHeight="false" outlineLevel="0" collapsed="false">
      <c r="B23" s="8" t="str">
        <f aca="false">IF('Estimates-split'!AJ12="","(n/a)","("&amp;TEXT('Estimates-split'!AJ12,"0.00")&amp;")")</f>
        <v>(-0.98)</v>
      </c>
      <c r="C23" s="8" t="str">
        <f aca="false">IF('Estimates-split'!AN12="","(n/a)","("&amp;TEXT('Estimates-split'!AN12,"0.00")&amp;")")</f>
        <v>(-1.11)</v>
      </c>
      <c r="D23" s="8" t="str">
        <f aca="false">IF('Estimates-split'!AR12="","(n/a)","("&amp;TEXT('Estimates-split'!AR12,"0.00")&amp;")")</f>
        <v>(-1.13)</v>
      </c>
      <c r="E23" s="8" t="str">
        <f aca="false">IF('Estimates-split'!AV12="","(n/a)","("&amp;TEXT('Estimates-split'!AV12,"0.00")&amp;")")</f>
        <v>(-1.16)</v>
      </c>
    </row>
    <row r="24" customFormat="false" ht="15" hidden="false" customHeight="false" outlineLevel="0" collapsed="false">
      <c r="A24" s="7" t="s">
        <v>17</v>
      </c>
      <c r="B24" s="8" t="str">
        <f aca="false">TEXT('Estimates-split'!AH13,"0.000")&amp;IF('Estimates-split'!AK13="","",IF('Estimates-split'!AK13&lt;0.01,"***",IF('Estimates-split'!AK13&lt;0.05,"**",IF('Estimates-split'!AK13&lt;0.1,"*",""))))</f>
        <v>-0.022</v>
      </c>
      <c r="C24" s="8" t="str">
        <f aca="false">TEXT('Estimates-split'!AL13,"0.000")&amp;IF('Estimates-split'!AO13="","",IF('Estimates-split'!AO13&lt;0.01,"***",IF('Estimates-split'!AO13&lt;0.05,"**",IF('Estimates-split'!AO13&lt;0.1,"*",""))))</f>
        <v>-0.064</v>
      </c>
      <c r="D24" s="8" t="str">
        <f aca="false">TEXT('Estimates-split'!AP13,"0.000")&amp;IF('Estimates-split'!AS13="","",IF('Estimates-split'!AS13&lt;0.01,"***",IF('Estimates-split'!AS13&lt;0.05,"**",IF('Estimates-split'!AS13&lt;0.1,"*",""))))</f>
        <v>-0.069</v>
      </c>
      <c r="E24" s="8" t="str">
        <f aca="false">TEXT('Estimates-split'!AT13,"0.000")&amp;IF('Estimates-split'!AW13="","",IF('Estimates-split'!AW13&lt;0.01,"***",IF('Estimates-split'!AW13&lt;0.05,"**",IF('Estimates-split'!AW13&lt;0.1,"*",""))))</f>
        <v>-0.069</v>
      </c>
    </row>
    <row r="25" customFormat="false" ht="15" hidden="false" customHeight="false" outlineLevel="0" collapsed="false">
      <c r="B25" s="8" t="str">
        <f aca="false">IF('Estimates-split'!AJ13="","(n/a)","("&amp;TEXT('Estimates-split'!AJ13,"0.00")&amp;")")</f>
        <v>(-0.62)</v>
      </c>
      <c r="C25" s="8" t="str">
        <f aca="false">IF('Estimates-split'!AN13="","(n/a)","("&amp;TEXT('Estimates-split'!AN13,"0.00")&amp;")")</f>
        <v>(-0.92)</v>
      </c>
      <c r="D25" s="8" t="str">
        <f aca="false">IF('Estimates-split'!AR13="","(n/a)","("&amp;TEXT('Estimates-split'!AR13,"0.00")&amp;")")</f>
        <v>(-1.17)</v>
      </c>
      <c r="E25" s="8" t="str">
        <f aca="false">IF('Estimates-split'!AV13="","(n/a)","("&amp;TEXT('Estimates-split'!AV13,"0.00")&amp;")")</f>
        <v>(-1.25)</v>
      </c>
    </row>
    <row r="26" customFormat="false" ht="15" hidden="false" customHeight="false" outlineLevel="0" collapsed="false">
      <c r="A26" s="7" t="s">
        <v>18</v>
      </c>
      <c r="B26" s="8" t="str">
        <f aca="false">TEXT('Estimates-split'!AH14,"0.000")&amp;IF('Estimates-split'!AK14="","",IF('Estimates-split'!AK14&lt;0.01,"***",IF('Estimates-split'!AK14&lt;0.05,"**",IF('Estimates-split'!AK14&lt;0.1,"*",""))))</f>
        <v>-0.034</v>
      </c>
      <c r="C26" s="8" t="str">
        <f aca="false">TEXT('Estimates-split'!AL14,"0.000")&amp;IF('Estimates-split'!AO14="","",IF('Estimates-split'!AO14&lt;0.01,"***",IF('Estimates-split'!AO14&lt;0.05,"**",IF('Estimates-split'!AO14&lt;0.1,"*",""))))</f>
        <v>-0.075</v>
      </c>
      <c r="D26" s="8" t="str">
        <f aca="false">TEXT('Estimates-split'!AP14,"0.000")&amp;IF('Estimates-split'!AS14="","",IF('Estimates-split'!AS14&lt;0.01,"***",IF('Estimates-split'!AS14&lt;0.05,"**",IF('Estimates-split'!AS14&lt;0.1,"*",""))))</f>
        <v>-0.074</v>
      </c>
      <c r="E26" s="8" t="str">
        <f aca="false">TEXT('Estimates-split'!AT14,"0.000")&amp;IF('Estimates-split'!AW14="","",IF('Estimates-split'!AW14&lt;0.01,"***",IF('Estimates-split'!AW14&lt;0.05,"**",IF('Estimates-split'!AW14&lt;0.1,"*",""))))</f>
        <v>-0.073</v>
      </c>
    </row>
    <row r="27" customFormat="false" ht="15" hidden="false" customHeight="false" outlineLevel="0" collapsed="false">
      <c r="B27" s="8" t="str">
        <f aca="false">IF('Estimates-split'!AJ14="","(n/a)","("&amp;TEXT('Estimates-split'!AJ14,"0.00")&amp;")")</f>
        <v>(-0.99)</v>
      </c>
      <c r="C27" s="8" t="str">
        <f aca="false">IF('Estimates-split'!AN14="","(n/a)","("&amp;TEXT('Estimates-split'!AN14,"0.00")&amp;")")</f>
        <v>(-1.10)</v>
      </c>
      <c r="D27" s="8" t="str">
        <f aca="false">IF('Estimates-split'!AR14="","(n/a)","("&amp;TEXT('Estimates-split'!AR14,"0.00")&amp;")")</f>
        <v>(-1.26)</v>
      </c>
      <c r="E27" s="8" t="str">
        <f aca="false">IF('Estimates-split'!AV14="","(n/a)","("&amp;TEXT('Estimates-split'!AV14,"0.00")&amp;")")</f>
        <v>(-1.33)</v>
      </c>
    </row>
    <row r="28" customFormat="false" ht="15" hidden="false" customHeight="false" outlineLevel="0" collapsed="false">
      <c r="A28" s="7" t="s">
        <v>19</v>
      </c>
      <c r="B28" s="8" t="str">
        <f aca="false">TEXT('Estimates-split'!AH15,"0.000")&amp;IF('Estimates-split'!AK15="","",IF('Estimates-split'!AK15&lt;0.01,"***",IF('Estimates-split'!AK15&lt;0.05,"**",IF('Estimates-split'!AK15&lt;0.1,"*",""))))</f>
        <v>-0.032</v>
      </c>
      <c r="C28" s="8" t="str">
        <f aca="false">TEXT('Estimates-split'!AL15,"0.000")&amp;IF('Estimates-split'!AO15="","",IF('Estimates-split'!AO15&lt;0.01,"***",IF('Estimates-split'!AO15&lt;0.05,"**",IF('Estimates-split'!AO15&lt;0.1,"*",""))))</f>
        <v>-0.073</v>
      </c>
      <c r="D28" s="8" t="str">
        <f aca="false">TEXT('Estimates-split'!AP15,"0.000")&amp;IF('Estimates-split'!AS15="","",IF('Estimates-split'!AS15&lt;0.01,"***",IF('Estimates-split'!AS15&lt;0.05,"**",IF('Estimates-split'!AS15&lt;0.1,"*",""))))</f>
        <v>-0.082</v>
      </c>
      <c r="E28" s="8" t="str">
        <f aca="false">TEXT('Estimates-split'!AT15,"0.000")&amp;IF('Estimates-split'!AW15="","",IF('Estimates-split'!AW15&lt;0.01,"***",IF('Estimates-split'!AW15&lt;0.05,"**",IF('Estimates-split'!AW15&lt;0.1,"*",""))))</f>
        <v>-0.083</v>
      </c>
    </row>
    <row r="29" customFormat="false" ht="15" hidden="false" customHeight="false" outlineLevel="0" collapsed="false">
      <c r="B29" s="8" t="str">
        <f aca="false">IF('Estimates-split'!AJ15="","(n/a)","("&amp;TEXT('Estimates-split'!AJ15,"0.00")&amp;")")</f>
        <v>(-0.91)</v>
      </c>
      <c r="C29" s="8" t="str">
        <f aca="false">IF('Estimates-split'!AN15="","(n/a)","("&amp;TEXT('Estimates-split'!AN15,"0.00")&amp;")")</f>
        <v>(-1.07)</v>
      </c>
      <c r="D29" s="8" t="str">
        <f aca="false">IF('Estimates-split'!AR15="","(n/a)","("&amp;TEXT('Estimates-split'!AR15,"0.00")&amp;")")</f>
        <v>(-1.41)</v>
      </c>
      <c r="E29" s="8" t="str">
        <f aca="false">IF('Estimates-split'!AV15="","(n/a)","("&amp;TEXT('Estimates-split'!AV15,"0.00")&amp;")")</f>
        <v>(-1.52)</v>
      </c>
    </row>
    <row r="30" customFormat="false" ht="15" hidden="false" customHeight="false" outlineLevel="0" collapsed="false">
      <c r="A30" s="7" t="s">
        <v>20</v>
      </c>
      <c r="B30" s="8" t="str">
        <f aca="false">TEXT('Estimates-split'!AH16,"0.000")&amp;IF('Estimates-split'!AK16="","",IF('Estimates-split'!AK16&lt;0.01,"***",IF('Estimates-split'!AK16&lt;0.05,"**",IF('Estimates-split'!AK16&lt;0.1,"*",""))))</f>
        <v>-0.036</v>
      </c>
      <c r="C30" s="8" t="str">
        <f aca="false">TEXT('Estimates-split'!AL16,"0.000")&amp;IF('Estimates-split'!AO16="","",IF('Estimates-split'!AO16&lt;0.01,"***",IF('Estimates-split'!AO16&lt;0.05,"**",IF('Estimates-split'!AO16&lt;0.1,"*",""))))</f>
        <v>-0.082</v>
      </c>
      <c r="D30" s="8" t="str">
        <f aca="false">TEXT('Estimates-split'!AP16,"0.000")&amp;IF('Estimates-split'!AS16="","",IF('Estimates-split'!AS16&lt;0.01,"***",IF('Estimates-split'!AS16&lt;0.05,"**",IF('Estimates-split'!AS16&lt;0.1,"*",""))))</f>
        <v>-0.080</v>
      </c>
      <c r="E30" s="8" t="str">
        <f aca="false">TEXT('Estimates-split'!AT16,"0.000")&amp;IF('Estimates-split'!AW16="","",IF('Estimates-split'!AW16&lt;0.01,"***",IF('Estimates-split'!AW16&lt;0.05,"**",IF('Estimates-split'!AW16&lt;0.1,"*",""))))</f>
        <v>-0.080</v>
      </c>
    </row>
    <row r="31" customFormat="false" ht="15" hidden="false" customHeight="false" outlineLevel="0" collapsed="false">
      <c r="B31" s="8" t="str">
        <f aca="false">IF('Estimates-split'!AJ16="","(n/a)","("&amp;TEXT('Estimates-split'!AJ16,"0.00")&amp;")")</f>
        <v>(-1.04)</v>
      </c>
      <c r="C31" s="8" t="str">
        <f aca="false">IF('Estimates-split'!AN16="","(n/a)","("&amp;TEXT('Estimates-split'!AN16,"0.00")&amp;")")</f>
        <v>(-1.17)</v>
      </c>
      <c r="D31" s="8" t="str">
        <f aca="false">IF('Estimates-split'!AR16="","(n/a)","("&amp;TEXT('Estimates-split'!AR16,"0.00")&amp;")")</f>
        <v>(-1.35)</v>
      </c>
      <c r="E31" s="8" t="str">
        <f aca="false">IF('Estimates-split'!AV16="","(n/a)","("&amp;TEXT('Estimates-split'!AV16,"0.00")&amp;")")</f>
        <v>(-1.44)</v>
      </c>
    </row>
    <row r="32" customFormat="false" ht="15" hidden="false" customHeight="false" outlineLevel="0" collapsed="false">
      <c r="A32" s="7" t="s">
        <v>21</v>
      </c>
      <c r="B32" s="8" t="str">
        <f aca="false">TEXT('Estimates-split'!AH17,"0.000")&amp;IF('Estimates-split'!AK17="","",IF('Estimates-split'!AK17&lt;0.01,"***",IF('Estimates-split'!AK17&lt;0.05,"**",IF('Estimates-split'!AK17&lt;0.1,"*",""))))</f>
        <v>-0.012</v>
      </c>
      <c r="C32" s="8" t="str">
        <f aca="false">TEXT('Estimates-split'!AL17,"0.000")&amp;IF('Estimates-split'!AO17="","",IF('Estimates-split'!AO17&lt;0.01,"***",IF('Estimates-split'!AO17&lt;0.05,"**",IF('Estimates-split'!AO17&lt;0.1,"*",""))))</f>
        <v>0.033</v>
      </c>
    </row>
    <row r="33" customFormat="false" ht="15" hidden="false" customHeight="false" outlineLevel="0" collapsed="false">
      <c r="B33" s="8" t="str">
        <f aca="false">IF('Estimates-split'!AJ17="","(n/a)","("&amp;TEXT('Estimates-split'!AJ17,"0.00")&amp;")")</f>
        <v>(-0.29)</v>
      </c>
      <c r="C33" s="8" t="str">
        <f aca="false">IF('Estimates-split'!AN17="","(n/a)","("&amp;TEXT('Estimates-split'!AN17,"0.00")&amp;")")</f>
        <v>(0.81)</v>
      </c>
    </row>
    <row r="34" customFormat="false" ht="15" hidden="false" customHeight="false" outlineLevel="0" collapsed="false">
      <c r="A34" s="7" t="s">
        <v>22</v>
      </c>
      <c r="C34" s="8" t="str">
        <f aca="false">TEXT('Estimates-split'!AL18,"0.000")&amp;IF('Estimates-split'!AO18="","",IF('Estimates-split'!AO18&lt;0.01,"***",IF('Estimates-split'!AO18&lt;0.05,"**",IF('Estimates-split'!AO18&lt;0.1,"*",""))))</f>
        <v>0.001</v>
      </c>
      <c r="D34" s="8" t="str">
        <f aca="false">TEXT('Estimates-split'!AP18,"0.000")&amp;IF('Estimates-split'!AS18="","",IF('Estimates-split'!AS18&lt;0.01,"***",IF('Estimates-split'!AS18&lt;0.05,"**",IF('Estimates-split'!AS18&lt;0.1,"*",""))))</f>
        <v>-0.185*</v>
      </c>
      <c r="E34" s="8" t="str">
        <f aca="false">TEXT('Estimates-split'!AT18,"0.000")&amp;IF('Estimates-split'!AW18="","",IF('Estimates-split'!AW18&lt;0.01,"***",IF('Estimates-split'!AW18&lt;0.05,"**",IF('Estimates-split'!AW18&lt;0.1,"*",""))))</f>
        <v>-0.155</v>
      </c>
    </row>
    <row r="35" customFormat="false" ht="15" hidden="false" customHeight="false" outlineLevel="0" collapsed="false">
      <c r="C35" s="8" t="str">
        <f aca="false">IF('Estimates-split'!AN18="","(n/a)","("&amp;TEXT('Estimates-split'!AN18,"0.00")&amp;")")</f>
        <v>(0.01)</v>
      </c>
      <c r="D35" s="8" t="str">
        <f aca="false">IF('Estimates-split'!AR18="","(n/a)","("&amp;TEXT('Estimates-split'!AR18,"0.00")&amp;")")</f>
        <v>(-1.78)</v>
      </c>
      <c r="E35" s="8" t="str">
        <f aca="false">IF('Estimates-split'!AV18="","(n/a)","("&amp;TEXT('Estimates-split'!AV18,"0.00")&amp;")")</f>
        <v>(-1.49)</v>
      </c>
    </row>
    <row r="36" customFormat="false" ht="15" hidden="false" customHeight="false" outlineLevel="0" collapsed="false">
      <c r="A36" s="7" t="s">
        <v>23</v>
      </c>
      <c r="C36" s="8" t="str">
        <f aca="false">TEXT('Estimates-split'!AL19,"0.000")&amp;IF('Estimates-split'!AO19="","",IF('Estimates-split'!AO19&lt;0.01,"***",IF('Estimates-split'!AO19&lt;0.05,"**",IF('Estimates-split'!AO19&lt;0.1,"*",""))))</f>
        <v>-0.015</v>
      </c>
      <c r="D36" s="8" t="str">
        <f aca="false">TEXT('Estimates-split'!AP19,"0.000")&amp;IF('Estimates-split'!AS19="","",IF('Estimates-split'!AS19&lt;0.01,"***",IF('Estimates-split'!AS19&lt;0.05,"**",IF('Estimates-split'!AS19&lt;0.1,"*",""))))</f>
        <v>0.017</v>
      </c>
      <c r="E36" s="8" t="str">
        <f aca="false">TEXT('Estimates-split'!AT19,"0.000")&amp;IF('Estimates-split'!AW19="","",IF('Estimates-split'!AW19&lt;0.01,"***",IF('Estimates-split'!AW19&lt;0.05,"**",IF('Estimates-split'!AW19&lt;0.1,"*",""))))</f>
        <v>0.014</v>
      </c>
    </row>
    <row r="37" customFormat="false" ht="15" hidden="false" customHeight="false" outlineLevel="0" collapsed="false">
      <c r="C37" s="8" t="str">
        <f aca="false">IF('Estimates-split'!AN19="","(n/a)","("&amp;TEXT('Estimates-split'!AN19,"0.00")&amp;")")</f>
        <v>(-1.11)</v>
      </c>
      <c r="D37" s="8" t="str">
        <f aca="false">IF('Estimates-split'!AR19="","(n/a)","("&amp;TEXT('Estimates-split'!AR19,"0.00")&amp;")")</f>
        <v>(1.57)</v>
      </c>
      <c r="E37" s="8" t="str">
        <f aca="false">IF('Estimates-split'!AV19="","(n/a)","("&amp;TEXT('Estimates-split'!AV19,"0.00")&amp;")")</f>
        <v>(1.36)</v>
      </c>
    </row>
    <row r="38" customFormat="false" ht="15" hidden="false" customHeight="false" outlineLevel="0" collapsed="false">
      <c r="A38" s="7" t="s">
        <v>24</v>
      </c>
      <c r="C38" s="8" t="str">
        <f aca="false">TEXT('Estimates-split'!AL20,"0.000")&amp;IF('Estimates-split'!AO20="","",IF('Estimates-split'!AO20&lt;0.01,"***",IF('Estimates-split'!AO20&lt;0.05,"**",IF('Estimates-split'!AO20&lt;0.1,"*",""))))</f>
        <v>-0.056</v>
      </c>
      <c r="D38" s="8" t="str">
        <f aca="false">TEXT('Estimates-split'!AP20,"0.000")&amp;IF('Estimates-split'!AS20="","",IF('Estimates-split'!AS20&lt;0.01,"***",IF('Estimates-split'!AS20&lt;0.05,"**",IF('Estimates-split'!AS20&lt;0.1,"*",""))))</f>
        <v>-0.073</v>
      </c>
      <c r="E38" s="8" t="str">
        <f aca="false">TEXT('Estimates-split'!AT20,"0.000")&amp;IF('Estimates-split'!AW20="","",IF('Estimates-split'!AW20&lt;0.01,"***",IF('Estimates-split'!AW20&lt;0.05,"**",IF('Estimates-split'!AW20&lt;0.1,"*",""))))</f>
        <v>-0.067</v>
      </c>
    </row>
    <row r="39" customFormat="false" ht="15" hidden="false" customHeight="false" outlineLevel="0" collapsed="false">
      <c r="C39" s="8" t="str">
        <f aca="false">IF('Estimates-split'!AN20="","(n/a)","("&amp;TEXT('Estimates-split'!AN20,"0.00")&amp;")")</f>
        <v>(-1.44)</v>
      </c>
      <c r="D39" s="8" t="str">
        <f aca="false">IF('Estimates-split'!AR20="","(n/a)","("&amp;TEXT('Estimates-split'!AR20,"0.00")&amp;")")</f>
        <v>(-1.36)</v>
      </c>
      <c r="E39" s="8" t="str">
        <f aca="false">IF('Estimates-split'!AV20="","(n/a)","("&amp;TEXT('Estimates-split'!AV20,"0.00")&amp;")")</f>
        <v>(-1.32)</v>
      </c>
    </row>
    <row r="40" customFormat="false" ht="15" hidden="false" customHeight="false" outlineLevel="0" collapsed="false">
      <c r="A40" s="7" t="s">
        <v>25</v>
      </c>
      <c r="C40" s="8" t="str">
        <f aca="false">TEXT('Estimates-split'!AL21,"0.000")&amp;IF('Estimates-split'!AO21="","",IF('Estimates-split'!AO21&lt;0.01,"***",IF('Estimates-split'!AO21&lt;0.05,"**",IF('Estimates-split'!AO21&lt;0.1,"*",""))))</f>
        <v>0.033</v>
      </c>
      <c r="D40" s="8" t="str">
        <f aca="false">TEXT('Estimates-split'!AP21,"0.000")&amp;IF('Estimates-split'!AS21="","",IF('Estimates-split'!AS21&lt;0.01,"***",IF('Estimates-split'!AS21&lt;0.05,"**",IF('Estimates-split'!AS21&lt;0.1,"*",""))))</f>
        <v>-0.059</v>
      </c>
      <c r="E40" s="8" t="str">
        <f aca="false">TEXT('Estimates-split'!AT21,"0.000")&amp;IF('Estimates-split'!AW21="","",IF('Estimates-split'!AW21&lt;0.01,"***",IF('Estimates-split'!AW21&lt;0.05,"**",IF('Estimates-split'!AW21&lt;0.1,"*",""))))</f>
        <v>-0.059</v>
      </c>
    </row>
    <row r="41" customFormat="false" ht="15" hidden="false" customHeight="false" outlineLevel="0" collapsed="false">
      <c r="C41" s="8" t="str">
        <f aca="false">IF('Estimates-split'!AN21="","(n/a)","("&amp;TEXT('Estimates-split'!AN21,"0.00")&amp;")")</f>
        <v>(0.81)</v>
      </c>
      <c r="D41" s="8" t="str">
        <f aca="false">IF('Estimates-split'!AR21="","(n/a)","("&amp;TEXT('Estimates-split'!AR21,"0.00")&amp;")")</f>
        <v>(-1.56)</v>
      </c>
      <c r="E41" s="8" t="str">
        <f aca="false">IF('Estimates-split'!AV21="","(n/a)","("&amp;TEXT('Estimates-split'!AV21,"0.00")&amp;")")</f>
        <v>(-1.63)</v>
      </c>
    </row>
    <row r="42" customFormat="false" ht="15" hidden="false" customHeight="false" outlineLevel="0" collapsed="false">
      <c r="A42" s="7" t="s">
        <v>26</v>
      </c>
      <c r="C42" s="8" t="str">
        <f aca="false">TEXT('Estimates-split'!AL22,"0.000")&amp;IF('Estimates-split'!AO22="","",IF('Estimates-split'!AO22&lt;0.01,"***",IF('Estimates-split'!AO22&lt;0.05,"**",IF('Estimates-split'!AO22&lt;0.1,"*",""))))</f>
        <v>0.002</v>
      </c>
      <c r="D42" s="8" t="str">
        <f aca="false">TEXT('Estimates-split'!AP22,"0.000")&amp;IF('Estimates-split'!AS22="","",IF('Estimates-split'!AS22&lt;0.01,"***",IF('Estimates-split'!AS22&lt;0.05,"**",IF('Estimates-split'!AS22&lt;0.1,"*",""))))</f>
        <v>-0.277***</v>
      </c>
      <c r="E42" s="8" t="str">
        <f aca="false">TEXT('Estimates-split'!AT22,"0.000")&amp;IF('Estimates-split'!AW22="","",IF('Estimates-split'!AW22&lt;0.01,"***",IF('Estimates-split'!AW22&lt;0.05,"**",IF('Estimates-split'!AW22&lt;0.1,"*",""))))</f>
        <v>-0.256***</v>
      </c>
    </row>
    <row r="43" customFormat="false" ht="15" hidden="false" customHeight="false" outlineLevel="0" collapsed="false">
      <c r="C43" s="8" t="str">
        <f aca="false">IF('Estimates-split'!AN22="","(n/a)","("&amp;TEXT('Estimates-split'!AN22,"0.00")&amp;")")</f>
        <v>(0.06)</v>
      </c>
      <c r="D43" s="8" t="str">
        <f aca="false">IF('Estimates-split'!AR22="","(n/a)","("&amp;TEXT('Estimates-split'!AR22,"0.00")&amp;")")</f>
        <v>(-3.54)</v>
      </c>
      <c r="E43" s="8" t="str">
        <f aca="false">IF('Estimates-split'!AV22="","(n/a)","("&amp;TEXT('Estimates-split'!AV22,"0.00")&amp;")")</f>
        <v>(-3.22)</v>
      </c>
    </row>
    <row r="44" customFormat="false" ht="15" hidden="false" customHeight="false" outlineLevel="0" collapsed="false">
      <c r="A44" s="7" t="s">
        <v>27</v>
      </c>
      <c r="C44" s="8" t="str">
        <f aca="false">TEXT('Estimates-split'!AL23,"0.000")&amp;IF('Estimates-split'!AO23="","",IF('Estimates-split'!AO23&lt;0.01,"***",IF('Estimates-split'!AO23&lt;0.05,"**",IF('Estimates-split'!AO23&lt;0.1,"*",""))))</f>
        <v>-0.077</v>
      </c>
      <c r="D44" s="8" t="str">
        <f aca="false">TEXT('Estimates-split'!AP23,"0.000")&amp;IF('Estimates-split'!AS23="","",IF('Estimates-split'!AS23&lt;0.01,"***",IF('Estimates-split'!AS23&lt;0.05,"**",IF('Estimates-split'!AS23&lt;0.1,"*",""))))</f>
        <v>-0.070</v>
      </c>
      <c r="E44" s="8" t="str">
        <f aca="false">TEXT('Estimates-split'!AT23,"0.000")&amp;IF('Estimates-split'!AW23="","",IF('Estimates-split'!AW23&lt;0.01,"***",IF('Estimates-split'!AW23&lt;0.05,"**",IF('Estimates-split'!AW23&lt;0.1,"*",""))))</f>
        <v>-0.118</v>
      </c>
    </row>
    <row r="45" customFormat="false" ht="15" hidden="false" customHeight="false" outlineLevel="0" collapsed="false">
      <c r="C45" s="8" t="str">
        <f aca="false">IF('Estimates-split'!AN23="","(n/a)","("&amp;TEXT('Estimates-split'!AN23,"0.00")&amp;")")</f>
        <v>(-1.48)</v>
      </c>
      <c r="D45" s="8" t="str">
        <f aca="false">IF('Estimates-split'!AR23="","(n/a)","("&amp;TEXT('Estimates-split'!AR23,"0.00")&amp;")")</f>
        <v>(-0.54)</v>
      </c>
      <c r="E45" s="8" t="str">
        <f aca="false">IF('Estimates-split'!AV23="","(n/a)","("&amp;TEXT('Estimates-split'!AV23,"0.00")&amp;")")</f>
        <v>(-0.88)</v>
      </c>
    </row>
    <row r="47" customFormat="false" ht="15" hidden="false" customHeight="false" outlineLevel="0" collapsed="false">
      <c r="A47" s="7" t="s">
        <v>28</v>
      </c>
      <c r="B47" s="9" t="n">
        <f aca="false">'Estimates-split'!AH26</f>
        <v>1485</v>
      </c>
      <c r="C47" s="9" t="n">
        <f aca="false">'Estimates-split'!AL26</f>
        <v>1301</v>
      </c>
      <c r="D47" s="9" t="n">
        <f aca="false">'Estimates-split'!AP26</f>
        <v>1299</v>
      </c>
      <c r="E47" s="9" t="n">
        <f aca="false">'Estimates-split'!AT26</f>
        <v>1299</v>
      </c>
    </row>
    <row r="48" customFormat="false" ht="15" hidden="false" customHeight="false" outlineLevel="0" collapsed="false">
      <c r="A48" s="7" t="s">
        <v>29</v>
      </c>
      <c r="B48" s="10" t="n">
        <f aca="false">'Estimates-split'!AH29</f>
        <v>0.342677598096958</v>
      </c>
      <c r="C48" s="10" t="n">
        <f aca="false">'Estimates-split'!AL29</f>
        <v>0.360686893191692</v>
      </c>
      <c r="D48" s="10" t="n">
        <f aca="false">'Estimates-split'!AP29</f>
        <v>0.661655111871864</v>
      </c>
      <c r="E48" s="10" t="n">
        <f aca="false">'Estimates-split'!AT29</f>
        <v>0.67056452258284</v>
      </c>
    </row>
    <row r="49" customFormat="false" ht="15" hidden="false" customHeight="false" outlineLevel="0" collapsed="false">
      <c r="A49" s="7" t="s">
        <v>30</v>
      </c>
      <c r="B49" s="11" t="s">
        <v>31</v>
      </c>
      <c r="C49" s="11" t="s">
        <v>31</v>
      </c>
      <c r="D49" s="11" t="s">
        <v>32</v>
      </c>
      <c r="E49" s="11" t="s">
        <v>32</v>
      </c>
    </row>
    <row r="50" customFormat="false" ht="15" hidden="false" customHeight="false" outlineLevel="0" collapsed="false">
      <c r="A50" s="7" t="s">
        <v>33</v>
      </c>
      <c r="B50" s="11" t="s">
        <v>32</v>
      </c>
      <c r="C50" s="11" t="s">
        <v>32</v>
      </c>
      <c r="D50" s="11" t="s">
        <v>31</v>
      </c>
      <c r="E50" s="11" t="s">
        <v>32</v>
      </c>
    </row>
    <row r="51" customFormat="false" ht="15" hidden="false" customHeight="false" outlineLevel="0" collapsed="false">
      <c r="A51" s="12" t="s">
        <v>34</v>
      </c>
      <c r="B51" s="13" t="n">
        <f aca="false">'Estimates-split'!AK24</f>
        <v>0.960925372575723</v>
      </c>
      <c r="C51" s="13" t="n">
        <f aca="false">'Estimates-split'!AO24</f>
        <v>0.878043839960362</v>
      </c>
      <c r="D51" s="13" t="n">
        <f aca="false">'Estimates-split'!AS24</f>
        <v>0.849413111405078</v>
      </c>
      <c r="E51" s="13" t="n">
        <f aca="false">'Estimates-split'!AW24</f>
        <v>0.821651147963641</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4"/>
  </cols>
  <sheetData>
    <row r="1" customFormat="false" ht="15" hidden="false" customHeight="false" outlineLevel="0" collapsed="false">
      <c r="A1" s="1" t="s">
        <v>40</v>
      </c>
    </row>
    <row r="2" customFormat="false" ht="240" hidden="false" customHeight="true" outlineLevel="0" collapsed="false">
      <c r="A2" s="2" t="s">
        <v>41</v>
      </c>
      <c r="B2" s="2"/>
      <c r="C2" s="2"/>
      <c r="D2" s="2"/>
      <c r="E2" s="2"/>
      <c r="F2" s="2"/>
      <c r="G2" s="2"/>
    </row>
    <row r="4" customFormat="false" ht="15" hidden="false" customHeight="false" outlineLevel="0" collapsed="false">
      <c r="A4" s="1" t="s">
        <v>2</v>
      </c>
    </row>
    <row r="5" customFormat="false" ht="15" hidden="false" customHeight="false" outlineLevel="0" collapsed="false">
      <c r="A5" s="3"/>
      <c r="B5" s="4" t="s">
        <v>3</v>
      </c>
      <c r="C5" s="4" t="s">
        <v>4</v>
      </c>
      <c r="D5" s="4" t="s">
        <v>5</v>
      </c>
      <c r="E5" s="4" t="s">
        <v>6</v>
      </c>
      <c r="F5" s="4" t="s">
        <v>42</v>
      </c>
      <c r="G5" s="4" t="s">
        <v>43</v>
      </c>
    </row>
    <row r="6" customFormat="false" ht="15" hidden="false" customHeight="false" outlineLevel="0" collapsed="false">
      <c r="A6" s="5"/>
      <c r="B6" s="6" t="s">
        <v>7</v>
      </c>
      <c r="C6" s="6" t="s">
        <v>7</v>
      </c>
      <c r="D6" s="6" t="s">
        <v>7</v>
      </c>
      <c r="E6" s="6" t="s">
        <v>7</v>
      </c>
      <c r="F6" s="6" t="s">
        <v>7</v>
      </c>
      <c r="G6" s="6" t="s">
        <v>7</v>
      </c>
    </row>
    <row r="7" customFormat="false" ht="15" hidden="false" customHeight="false" outlineLevel="0" collapsed="false">
      <c r="A7" s="7" t="s">
        <v>44</v>
      </c>
      <c r="B7" s="8" t="str">
        <f aca="false">TEXT(Estimates!B4,"0.000")&amp;IF(Estimates!E4="","",IF(Estimates!E4&lt;0.01,"***",IF(Estimates!E4&lt;0.05,"**",IF(Estimates!E4&lt;0.1,"*",""))))</f>
        <v>-0.229</v>
      </c>
      <c r="C7" s="8" t="str">
        <f aca="false">TEXT(Estimates!F4,"0.000")&amp;IF(Estimates!I4="","",IF(Estimates!I4&lt;0.01,"***",IF(Estimates!I4&lt;0.05,"**",IF(Estimates!I4&lt;0.1,"*",""))))</f>
        <v>-0.144</v>
      </c>
      <c r="D7" s="8" t="str">
        <f aca="false">TEXT(Estimates!J4,"0.000")&amp;IF(Estimates!M4="","",IF(Estimates!M4&lt;0.01,"***",IF(Estimates!M4&lt;0.05,"**",IF(Estimates!M4&lt;0.1,"*",""))))</f>
        <v>0.044</v>
      </c>
      <c r="E7" s="8" t="str">
        <f aca="false">TEXT(Estimates!N4,"0.000")&amp;IF(Estimates!Q4="","",IF(Estimates!Q4&lt;0.01,"***",IF(Estimates!Q4&lt;0.05,"**",IF(Estimates!Q4&lt;0.1,"*",""))))</f>
        <v>-0.083</v>
      </c>
      <c r="F7" s="8" t="str">
        <f aca="false">TEXT(Estimates!R4,"0.000")&amp;IF(Estimates!U4="","",IF(Estimates!U4&lt;0.01,"***",IF(Estimates!U4&lt;0.05,"**",IF(Estimates!U4&lt;0.1,"*",""))))</f>
        <v>-0.969*</v>
      </c>
      <c r="G7" s="8" t="str">
        <f aca="false">TEXT(Estimates!V4,"0.000")&amp;IF(Estimates!Y4="","",IF(Estimates!Y4&lt;0.01,"***",IF(Estimates!Y4&lt;0.05,"**",IF(Estimates!Y4&lt;0.1,"*",""))))</f>
        <v>-0.309</v>
      </c>
    </row>
    <row r="8" customFormat="false" ht="15" hidden="false" customHeight="false" outlineLevel="0" collapsed="false">
      <c r="B8" s="8" t="str">
        <f aca="false">IF(Estimates!D4="","(n/a)","("&amp;TEXT(Estimates!D4,"0.00")&amp;")")</f>
        <v>(-1.25)</v>
      </c>
      <c r="C8" s="8" t="str">
        <f aca="false">IF(Estimates!H4="","(n/a)","("&amp;TEXT(Estimates!H4,"0.00")&amp;")")</f>
        <v>(-0.68)</v>
      </c>
      <c r="D8" s="8" t="str">
        <f aca="false">IF(Estimates!L4="","(n/a)","("&amp;TEXT(Estimates!L4,"0.00")&amp;")")</f>
        <v>(0.17)</v>
      </c>
      <c r="E8" s="8" t="str">
        <f aca="false">IF(Estimates!P4="","(n/a)","("&amp;TEXT(Estimates!P4,"0.00")&amp;")")</f>
        <v>(-0.27)</v>
      </c>
      <c r="F8" s="8" t="str">
        <f aca="false">IF(Estimates!T4="","(n/a)","("&amp;TEXT(Estimates!T4,"0.00")&amp;")")</f>
        <v>(-1.93)</v>
      </c>
      <c r="G8" s="8" t="str">
        <f aca="false">IF(Estimates!X4="","(n/a)","("&amp;TEXT(Estimates!X4,"0.00")&amp;")")</f>
        <v>(-0.33)</v>
      </c>
    </row>
    <row r="9" customFormat="false" ht="15" hidden="false" customHeight="false" outlineLevel="0" collapsed="false">
      <c r="A9" s="7" t="s">
        <v>10</v>
      </c>
      <c r="B9" s="8" t="str">
        <f aca="false">TEXT(Estimates!B5,"0.000")&amp;IF(Estimates!E5="","",IF(Estimates!E5&lt;0.01,"***",IF(Estimates!E5&lt;0.05,"**",IF(Estimates!E5&lt;0.1,"*",""))))</f>
        <v>0.061</v>
      </c>
      <c r="C9" s="8" t="str">
        <f aca="false">TEXT(Estimates!F5,"0.000")&amp;IF(Estimates!I5="","",IF(Estimates!I5&lt;0.01,"***",IF(Estimates!I5&lt;0.05,"**",IF(Estimates!I5&lt;0.1,"*",""))))</f>
        <v>0.032</v>
      </c>
      <c r="D9" s="8" t="str">
        <f aca="false">TEXT(Estimates!J5,"0.000")&amp;IF(Estimates!M5="","",IF(Estimates!M5&lt;0.01,"***",IF(Estimates!M5&lt;0.05,"**",IF(Estimates!M5&lt;0.1,"*",""))))</f>
        <v>-0.003</v>
      </c>
      <c r="E9" s="8" t="str">
        <f aca="false">TEXT(Estimates!N5,"0.000")&amp;IF(Estimates!Q5="","",IF(Estimates!Q5&lt;0.01,"***",IF(Estimates!Q5&lt;0.05,"**",IF(Estimates!Q5&lt;0.1,"*",""))))</f>
        <v>0.015</v>
      </c>
      <c r="F9" s="8" t="str">
        <f aca="false">TEXT(Estimates!R5,"0.000")&amp;IF(Estimates!U5="","",IF(Estimates!U5&lt;0.01,"***",IF(Estimates!U5&lt;0.05,"**",IF(Estimates!U5&lt;0.1,"*",""))))</f>
        <v>-0.002</v>
      </c>
      <c r="G9" s="8" t="str">
        <f aca="false">TEXT(Estimates!V5,"0.000")&amp;IF(Estimates!Y5="","",IF(Estimates!Y5&lt;0.01,"***",IF(Estimates!Y5&lt;0.05,"**",IF(Estimates!Y5&lt;0.1,"*",""))))</f>
        <v>0.030</v>
      </c>
    </row>
    <row r="10" customFormat="false" ht="15" hidden="false" customHeight="false" outlineLevel="0" collapsed="false">
      <c r="B10" s="8" t="str">
        <f aca="false">IF(Estimates!D5="","(n/a)","("&amp;TEXT(Estimates!D5,"0.00")&amp;")")</f>
        <v>(0.88)</v>
      </c>
      <c r="C10" s="8" t="str">
        <f aca="false">IF(Estimates!H5="","(n/a)","("&amp;TEXT(Estimates!H5,"0.00")&amp;")")</f>
        <v>(0.58)</v>
      </c>
      <c r="D10" s="8" t="str">
        <f aca="false">IF(Estimates!L5="","(n/a)","("&amp;TEXT(Estimates!L5,"0.00")&amp;")")</f>
        <v>(-0.15)</v>
      </c>
      <c r="E10" s="8" t="str">
        <f aca="false">IF(Estimates!P5="","(n/a)","("&amp;TEXT(Estimates!P5,"0.00")&amp;")")</f>
        <v>(0.41)</v>
      </c>
      <c r="F10" s="8" t="str">
        <f aca="false">IF(Estimates!T5="","(n/a)","("&amp;TEXT(Estimates!T5,"0.00")&amp;")")</f>
        <v>(-0.05)</v>
      </c>
      <c r="G10" s="8" t="str">
        <f aca="false">IF(Estimates!X5="","(n/a)","("&amp;TEXT(Estimates!X5,"0.00")&amp;")")</f>
        <v>(0.60)</v>
      </c>
    </row>
    <row r="11" customFormat="false" ht="15" hidden="false" customHeight="false" outlineLevel="0" collapsed="false">
      <c r="A11" s="7" t="s">
        <v>11</v>
      </c>
      <c r="B11" s="8" t="str">
        <f aca="false">TEXT(Estimates!B6,"0.000")&amp;IF(Estimates!E6="","",IF(Estimates!E6&lt;0.01,"***",IF(Estimates!E6&lt;0.05,"**",IF(Estimates!E6&lt;0.1,"*",""))))</f>
        <v>-0.046</v>
      </c>
      <c r="C11" s="8" t="str">
        <f aca="false">TEXT(Estimates!F6,"0.000")&amp;IF(Estimates!I6="","",IF(Estimates!I6&lt;0.01,"***",IF(Estimates!I6&lt;0.05,"**",IF(Estimates!I6&lt;0.1,"*",""))))</f>
        <v>-0.085</v>
      </c>
      <c r="D11" s="8" t="str">
        <f aca="false">TEXT(Estimates!J6,"0.000")&amp;IF(Estimates!M6="","",IF(Estimates!M6&lt;0.01,"***",IF(Estimates!M6&lt;0.05,"**",IF(Estimates!M6&lt;0.1,"*",""))))</f>
        <v>-0.405</v>
      </c>
      <c r="E11" s="8" t="str">
        <f aca="false">TEXT(Estimates!N6,"0.000")&amp;IF(Estimates!Q6="","",IF(Estimates!Q6&lt;0.01,"***",IF(Estimates!Q6&lt;0.05,"**",IF(Estimates!Q6&lt;0.1,"*",""))))</f>
        <v>0.130</v>
      </c>
      <c r="F11" s="8" t="str">
        <f aca="false">TEXT(Estimates!R6,"0.000")&amp;IF(Estimates!U6="","",IF(Estimates!U6&lt;0.01,"***",IF(Estimates!U6&lt;0.05,"**",IF(Estimates!U6&lt;0.1,"*",""))))</f>
        <v>1.409</v>
      </c>
      <c r="G11" s="8" t="str">
        <f aca="false">TEXT(Estimates!V6,"0.000")&amp;IF(Estimates!Y6="","",IF(Estimates!Y6&lt;0.01,"***",IF(Estimates!Y6&lt;0.05,"**",IF(Estimates!Y6&lt;0.1,"*",""))))</f>
        <v>1.201</v>
      </c>
    </row>
    <row r="12" customFormat="false" ht="15" hidden="false" customHeight="false" outlineLevel="0" collapsed="false">
      <c r="B12" s="8" t="str">
        <f aca="false">IF(Estimates!D6="","(n/a)","("&amp;TEXT(Estimates!D6,"0.00")&amp;")")</f>
        <v>(-0.42)</v>
      </c>
      <c r="C12" s="8" t="str">
        <f aca="false">IF(Estimates!H6="","(n/a)","("&amp;TEXT(Estimates!H6,"0.00")&amp;")")</f>
        <v>(-0.77)</v>
      </c>
      <c r="D12" s="8" t="str">
        <f aca="false">IF(Estimates!L6="","(n/a)","("&amp;TEXT(Estimates!L6,"0.00")&amp;")")</f>
        <v>(-0.43)</v>
      </c>
      <c r="E12" s="8" t="str">
        <f aca="false">IF(Estimates!P6="","(n/a)","("&amp;TEXT(Estimates!P6,"0.00")&amp;")")</f>
        <v>(0.12)</v>
      </c>
      <c r="F12" s="8" t="str">
        <f aca="false">IF(Estimates!T6="","(n/a)","("&amp;TEXT(Estimates!T6,"0.00")&amp;")")</f>
        <v>(0.64)</v>
      </c>
      <c r="G12" s="8" t="str">
        <f aca="false">IF(Estimates!X6="","(n/a)","("&amp;TEXT(Estimates!X6,"0.00")&amp;")")</f>
        <v>(0.52)</v>
      </c>
    </row>
    <row r="13" customFormat="false" ht="15" hidden="false" customHeight="false" outlineLevel="0" collapsed="false">
      <c r="A13" s="7" t="s">
        <v>12</v>
      </c>
      <c r="B13" s="8" t="str">
        <f aca="false">TEXT(Estimates!B7,"0.000")&amp;IF(Estimates!E7="","",IF(Estimates!E7&lt;0.01,"***",IF(Estimates!E7&lt;0.05,"**",IF(Estimates!E7&lt;0.1,"*",""))))</f>
        <v>-0.019*</v>
      </c>
      <c r="C13" s="8" t="str">
        <f aca="false">TEXT(Estimates!F7,"0.000")&amp;IF(Estimates!I7="","",IF(Estimates!I7&lt;0.01,"***",IF(Estimates!I7&lt;0.05,"**",IF(Estimates!I7&lt;0.1,"*",""))))</f>
        <v>-0.014</v>
      </c>
      <c r="D13" s="8" t="str">
        <f aca="false">TEXT(Estimates!J7,"0.000")&amp;IF(Estimates!M7="","",IF(Estimates!M7&lt;0.01,"***",IF(Estimates!M7&lt;0.05,"**",IF(Estimates!M7&lt;0.1,"*",""))))</f>
        <v>-0.016</v>
      </c>
      <c r="E13" s="8" t="str">
        <f aca="false">TEXT(Estimates!N7,"0.000")&amp;IF(Estimates!Q7="","",IF(Estimates!Q7&lt;0.01,"***",IF(Estimates!Q7&lt;0.05,"**",IF(Estimates!Q7&lt;0.1,"*",""))))</f>
        <v>-0.035</v>
      </c>
      <c r="F13" s="8" t="str">
        <f aca="false">TEXT(Estimates!R7,"0.000")&amp;IF(Estimates!U7="","",IF(Estimates!U7&lt;0.01,"***",IF(Estimates!U7&lt;0.05,"**",IF(Estimates!U7&lt;0.1,"*",""))))</f>
        <v>-0.093**</v>
      </c>
      <c r="G13" s="8" t="str">
        <f aca="false">TEXT(Estimates!V7,"0.000")&amp;IF(Estimates!Y7="","",IF(Estimates!Y7&lt;0.01,"***",IF(Estimates!Y7&lt;0.05,"**",IF(Estimates!Y7&lt;0.1,"*",""))))</f>
        <v>-0.093*</v>
      </c>
    </row>
    <row r="14" customFormat="false" ht="15" hidden="false" customHeight="false" outlineLevel="0" collapsed="false">
      <c r="B14" s="8" t="str">
        <f aca="false">IF(Estimates!D7="","(n/a)","("&amp;TEXT(Estimates!D7,"0.00")&amp;")")</f>
        <v>(-1.92)</v>
      </c>
      <c r="C14" s="8" t="str">
        <f aca="false">IF(Estimates!H7="","(n/a)","("&amp;TEXT(Estimates!H7,"0.00")&amp;")")</f>
        <v>(-1.59)</v>
      </c>
      <c r="D14" s="8" t="str">
        <f aca="false">IF(Estimates!L7="","(n/a)","("&amp;TEXT(Estimates!L7,"0.00")&amp;")")</f>
        <v>(-0.49)</v>
      </c>
      <c r="E14" s="8" t="str">
        <f aca="false">IF(Estimates!P7="","(n/a)","("&amp;TEXT(Estimates!P7,"0.00")&amp;")")</f>
        <v>(-0.89)</v>
      </c>
      <c r="F14" s="8" t="str">
        <f aca="false">IF(Estimates!T7="","(n/a)","("&amp;TEXT(Estimates!T7,"0.00")&amp;")")</f>
        <v>(-2.46)</v>
      </c>
      <c r="G14" s="8" t="str">
        <f aca="false">IF(Estimates!X7="","(n/a)","("&amp;TEXT(Estimates!X7,"0.00")&amp;")")</f>
        <v>(-2.00)</v>
      </c>
    </row>
    <row r="15" customFormat="false" ht="15" hidden="false" customHeight="false" outlineLevel="0" collapsed="false">
      <c r="A15" s="7" t="s">
        <v>13</v>
      </c>
      <c r="B15" s="8" t="str">
        <f aca="false">TEXT(Estimates!B8,"0.000")&amp;IF(Estimates!E8="","",IF(Estimates!E8&lt;0.01,"***",IF(Estimates!E8&lt;0.05,"**",IF(Estimates!E8&lt;0.1,"*",""))))</f>
        <v>0.076</v>
      </c>
      <c r="C15" s="8" t="str">
        <f aca="false">TEXT(Estimates!F8,"0.000")&amp;IF(Estimates!I8="","",IF(Estimates!I8&lt;0.01,"***",IF(Estimates!I8&lt;0.05,"**",IF(Estimates!I8&lt;0.1,"*",""))))</f>
        <v>0.103</v>
      </c>
      <c r="D15" s="8" t="str">
        <f aca="false">TEXT(Estimates!J8,"0.000")&amp;IF(Estimates!M8="","",IF(Estimates!M8&lt;0.01,"***",IF(Estimates!M8&lt;0.05,"**",IF(Estimates!M8&lt;0.1,"*",""))))</f>
        <v>-0.629**</v>
      </c>
      <c r="E15" s="8" t="str">
        <f aca="false">TEXT(Estimates!N8,"0.000")&amp;IF(Estimates!Q8="","",IF(Estimates!Q8&lt;0.01,"***",IF(Estimates!Q8&lt;0.05,"**",IF(Estimates!Q8&lt;0.1,"*",""))))</f>
        <v>-0.611</v>
      </c>
      <c r="F15" s="8" t="str">
        <f aca="false">TEXT(Estimates!R8,"0.000")&amp;IF(Estimates!U8="","",IF(Estimates!U8&lt;0.01,"***",IF(Estimates!U8&lt;0.05,"**",IF(Estimates!U8&lt;0.1,"*",""))))</f>
        <v>-1.558***</v>
      </c>
      <c r="G15" s="8" t="str">
        <f aca="false">TEXT(Estimates!V8,"0.000")&amp;IF(Estimates!Y8="","",IF(Estimates!Y8&lt;0.01,"***",IF(Estimates!Y8&lt;0.05,"**",IF(Estimates!Y8&lt;0.1,"*",""))))</f>
        <v>-2.156***</v>
      </c>
    </row>
    <row r="16" customFormat="false" ht="15" hidden="false" customHeight="false" outlineLevel="0" collapsed="false">
      <c r="B16" s="8" t="str">
        <f aca="false">IF(Estimates!D8="","(n/a)","("&amp;TEXT(Estimates!D8,"0.00")&amp;")")</f>
        <v>(0.67)</v>
      </c>
      <c r="C16" s="8" t="str">
        <f aca="false">IF(Estimates!H8="","(n/a)","("&amp;TEXT(Estimates!H8,"0.00")&amp;")")</f>
        <v>(0.89)</v>
      </c>
      <c r="D16" s="8" t="str">
        <f aca="false">IF(Estimates!L8="","(n/a)","("&amp;TEXT(Estimates!L8,"0.00")&amp;")")</f>
        <v>(-2.14)</v>
      </c>
      <c r="E16" s="8" t="str">
        <f aca="false">IF(Estimates!P8="","(n/a)","("&amp;TEXT(Estimates!P8,"0.00")&amp;")")</f>
        <v>(-1.63)</v>
      </c>
      <c r="F16" s="8" t="str">
        <f aca="false">IF(Estimates!T8="","(n/a)","("&amp;TEXT(Estimates!T8,"0.00")&amp;")")</f>
        <v>(-3.47)</v>
      </c>
      <c r="G16" s="8" t="str">
        <f aca="false">IF(Estimates!X8="","(n/a)","("&amp;TEXT(Estimates!X8,"0.00")&amp;")")</f>
        <v>(-3.71)</v>
      </c>
    </row>
    <row r="17" customFormat="false" ht="15" hidden="false" customHeight="false" outlineLevel="0" collapsed="false">
      <c r="A17" s="7" t="s">
        <v>14</v>
      </c>
      <c r="B17" s="8" t="str">
        <f aca="false">TEXT(Estimates!B9,"0.000")&amp;IF(Estimates!E9="","",IF(Estimates!E9&lt;0.01,"***",IF(Estimates!E9&lt;0.05,"**",IF(Estimates!E9&lt;0.1,"*",""))))</f>
        <v>0.037</v>
      </c>
      <c r="C17" s="8" t="str">
        <f aca="false">TEXT(Estimates!F9,"0.000")&amp;IF(Estimates!I9="","",IF(Estimates!I9&lt;0.01,"***",IF(Estimates!I9&lt;0.05,"**",IF(Estimates!I9&lt;0.1,"*",""))))</f>
        <v>0.056</v>
      </c>
      <c r="D17" s="8" t="str">
        <f aca="false">TEXT(Estimates!J9,"0.000")&amp;IF(Estimates!M9="","",IF(Estimates!M9&lt;0.01,"***",IF(Estimates!M9&lt;0.05,"**",IF(Estimates!M9&lt;0.1,"*",""))))</f>
        <v>-0.658**</v>
      </c>
      <c r="E17" s="8" t="str">
        <f aca="false">TEXT(Estimates!N9,"0.000")&amp;IF(Estimates!Q9="","",IF(Estimates!Q9&lt;0.01,"***",IF(Estimates!Q9&lt;0.05,"**",IF(Estimates!Q9&lt;0.1,"*",""))))</f>
        <v>-0.648*</v>
      </c>
      <c r="F17" s="8" t="str">
        <f aca="false">TEXT(Estimates!R9,"0.000")&amp;IF(Estimates!U9="","",IF(Estimates!U9&lt;0.01,"***",IF(Estimates!U9&lt;0.05,"**",IF(Estimates!U9&lt;0.1,"*",""))))</f>
        <v>-1.619***</v>
      </c>
      <c r="G17" s="8" t="str">
        <f aca="false">TEXT(Estimates!V9,"0.000")&amp;IF(Estimates!Y9="","",IF(Estimates!Y9&lt;0.01,"***",IF(Estimates!Y9&lt;0.05,"**",IF(Estimates!Y9&lt;0.1,"*",""))))</f>
        <v>-2.255***</v>
      </c>
    </row>
    <row r="18" customFormat="false" ht="15" hidden="false" customHeight="false" outlineLevel="0" collapsed="false">
      <c r="B18" s="8" t="str">
        <f aca="false">IF(Estimates!D9="","(n/a)","("&amp;TEXT(Estimates!D9,"0.00")&amp;")")</f>
        <v>(0.29)</v>
      </c>
      <c r="C18" s="8" t="str">
        <f aca="false">IF(Estimates!H9="","(n/a)","("&amp;TEXT(Estimates!H9,"0.00")&amp;")")</f>
        <v>(0.46)</v>
      </c>
      <c r="D18" s="8" t="str">
        <f aca="false">IF(Estimates!L9="","(n/a)","("&amp;TEXT(Estimates!L9,"0.00")&amp;")")</f>
        <v>(-2.15)</v>
      </c>
      <c r="E18" s="8" t="str">
        <f aca="false">IF(Estimates!P9="","(n/a)","("&amp;TEXT(Estimates!P9,"0.00")&amp;")")</f>
        <v>(-1.74)</v>
      </c>
      <c r="F18" s="8" t="str">
        <f aca="false">IF(Estimates!T9="","(n/a)","("&amp;TEXT(Estimates!T9,"0.00")&amp;")")</f>
        <v>(-3.54)</v>
      </c>
      <c r="G18" s="8" t="str">
        <f aca="false">IF(Estimates!X9="","(n/a)","("&amp;TEXT(Estimates!X9,"0.00")&amp;")")</f>
        <v>(-3.82)</v>
      </c>
    </row>
    <row r="19" customFormat="false" ht="15" hidden="false" customHeight="false" outlineLevel="0" collapsed="false">
      <c r="A19" s="7" t="s">
        <v>15</v>
      </c>
      <c r="B19" s="8" t="str">
        <f aca="false">TEXT(Estimates!B10,"0.000")&amp;IF(Estimates!E10="","",IF(Estimates!E10&lt;0.01,"***",IF(Estimates!E10&lt;0.05,"**",IF(Estimates!E10&lt;0.1,"*",""))))</f>
        <v>0.126</v>
      </c>
      <c r="C19" s="8" t="str">
        <f aca="false">TEXT(Estimates!F10,"0.000")&amp;IF(Estimates!I10="","",IF(Estimates!I10&lt;0.01,"***",IF(Estimates!I10&lt;0.05,"**",IF(Estimates!I10&lt;0.1,"*",""))))</f>
        <v>0.154</v>
      </c>
      <c r="D19" s="8" t="str">
        <f aca="false">TEXT(Estimates!J10,"0.000")&amp;IF(Estimates!M10="","",IF(Estimates!M10&lt;0.01,"***",IF(Estimates!M10&lt;0.05,"**",IF(Estimates!M10&lt;0.1,"*",""))))</f>
        <v>-0.718*</v>
      </c>
      <c r="E19" s="8" t="str">
        <f aca="false">TEXT(Estimates!N10,"0.000")&amp;IF(Estimates!Q10="","",IF(Estimates!Q10&lt;0.01,"***",IF(Estimates!Q10&lt;0.05,"**",IF(Estimates!Q10&lt;0.1,"*",""))))</f>
        <v>-0.658</v>
      </c>
      <c r="F19" s="8" t="str">
        <f aca="false">TEXT(Estimates!R10,"0.000")&amp;IF(Estimates!U10="","",IF(Estimates!U10&lt;0.01,"***",IF(Estimates!U10&lt;0.05,"**",IF(Estimates!U10&lt;0.1,"*",""))))</f>
        <v>-1.716**</v>
      </c>
      <c r="G19" s="8" t="str">
        <f aca="false">TEXT(Estimates!V10,"0.000")&amp;IF(Estimates!Y10="","",IF(Estimates!Y10&lt;0.01,"***",IF(Estimates!Y10&lt;0.05,"**",IF(Estimates!Y10&lt;0.1,"*",""))))</f>
        <v>-2.645***</v>
      </c>
    </row>
    <row r="20" customFormat="false" ht="15" hidden="false" customHeight="false" outlineLevel="0" collapsed="false">
      <c r="B20" s="8" t="str">
        <f aca="false">IF(Estimates!D10="","(n/a)","("&amp;TEXT(Estimates!D10,"0.00")&amp;")")</f>
        <v>(0.86)</v>
      </c>
      <c r="C20" s="8" t="str">
        <f aca="false">IF(Estimates!H10="","(n/a)","("&amp;TEXT(Estimates!H10,"0.00")&amp;")")</f>
        <v>(1.20)</v>
      </c>
      <c r="D20" s="8" t="str">
        <f aca="false">IF(Estimates!L10="","(n/a)","("&amp;TEXT(Estimates!L10,"0.00")&amp;")")</f>
        <v>(-2.06)</v>
      </c>
      <c r="E20" s="8" t="str">
        <f aca="false">IF(Estimates!P10="","(n/a)","("&amp;TEXT(Estimates!P10,"0.00")&amp;")")</f>
        <v>(-1.63)</v>
      </c>
      <c r="F20" s="8" t="str">
        <f aca="false">IF(Estimates!T10="","(n/a)","("&amp;TEXT(Estimates!T10,"0.00")&amp;")")</f>
        <v>(-2.56)</v>
      </c>
      <c r="G20" s="8" t="str">
        <f aca="false">IF(Estimates!X10="","(n/a)","("&amp;TEXT(Estimates!X10,"0.00")&amp;")")</f>
        <v>(-3.38)</v>
      </c>
    </row>
    <row r="21" customFormat="false" ht="15" hidden="false" customHeight="false" outlineLevel="0" collapsed="false">
      <c r="A21" s="7" t="s">
        <v>16</v>
      </c>
      <c r="B21" s="8" t="str">
        <f aca="false">TEXT(Estimates!B11,"0.000")&amp;IF(Estimates!E11="","",IF(Estimates!E11&lt;0.01,"***",IF(Estimates!E11&lt;0.05,"**",IF(Estimates!E11&lt;0.1,"*",""))))</f>
        <v>0.046</v>
      </c>
      <c r="C21" s="8" t="str">
        <f aca="false">TEXT(Estimates!F11,"0.000")&amp;IF(Estimates!I11="","",IF(Estimates!I11&lt;0.01,"***",IF(Estimates!I11&lt;0.05,"**",IF(Estimates!I11&lt;0.1,"*",""))))</f>
        <v>0.097</v>
      </c>
      <c r="D21" s="8" t="str">
        <f aca="false">TEXT(Estimates!J11,"0.000")&amp;IF(Estimates!M11="","",IF(Estimates!M11&lt;0.01,"***",IF(Estimates!M11&lt;0.05,"**",IF(Estimates!M11&lt;0.1,"*",""))))</f>
        <v>-0.513</v>
      </c>
      <c r="E21" s="8" t="str">
        <f aca="false">TEXT(Estimates!N11,"0.000")&amp;IF(Estimates!Q11="","",IF(Estimates!Q11&lt;0.01,"***",IF(Estimates!Q11&lt;0.05,"**",IF(Estimates!Q11&lt;0.1,"*",""))))</f>
        <v>-0.553</v>
      </c>
      <c r="F21" s="8" t="str">
        <f aca="false">TEXT(Estimates!R11,"0.000")&amp;IF(Estimates!U11="","",IF(Estimates!U11&lt;0.01,"***",IF(Estimates!U11&lt;0.05,"**",IF(Estimates!U11&lt;0.1,"*",""))))</f>
        <v>-1.471***</v>
      </c>
      <c r="G21" s="8" t="str">
        <f aca="false">TEXT(Estimates!V11,"0.000")&amp;IF(Estimates!Y11="","",IF(Estimates!Y11&lt;0.01,"***",IF(Estimates!Y11&lt;0.05,"**",IF(Estimates!Y11&lt;0.1,"*",""))))</f>
        <v>-1.960***</v>
      </c>
    </row>
    <row r="22" customFormat="false" ht="15" hidden="false" customHeight="false" outlineLevel="0" collapsed="false">
      <c r="B22" s="8" t="str">
        <f aca="false">IF(Estimates!D11="","(n/a)","("&amp;TEXT(Estimates!D11,"0.00")&amp;")")</f>
        <v>(0.33)</v>
      </c>
      <c r="C22" s="8" t="str">
        <f aca="false">IF(Estimates!H11="","(n/a)","("&amp;TEXT(Estimates!H11,"0.00")&amp;")")</f>
        <v>(0.80)</v>
      </c>
      <c r="D22" s="8" t="str">
        <f aca="false">IF(Estimates!L11="","(n/a)","("&amp;TEXT(Estimates!L11,"0.00")&amp;")")</f>
        <v>(-1.66)</v>
      </c>
      <c r="E22" s="8" t="str">
        <f aca="false">IF(Estimates!P11="","(n/a)","("&amp;TEXT(Estimates!P11,"0.00")&amp;")")</f>
        <v>(-1.40)</v>
      </c>
      <c r="F22" s="8" t="str">
        <f aca="false">IF(Estimates!T11="","(n/a)","("&amp;TEXT(Estimates!T11,"0.00")&amp;")")</f>
        <v>(-3.48)</v>
      </c>
      <c r="G22" s="8" t="str">
        <f aca="false">IF(Estimates!X11="","(n/a)","("&amp;TEXT(Estimates!X11,"0.00")&amp;")")</f>
        <v>(-3.64)</v>
      </c>
    </row>
    <row r="23" customFormat="false" ht="15" hidden="false" customHeight="false" outlineLevel="0" collapsed="false">
      <c r="A23" s="7" t="s">
        <v>17</v>
      </c>
      <c r="B23" s="8" t="str">
        <f aca="false">TEXT(Estimates!B12,"0.000")&amp;IF(Estimates!E12="","",IF(Estimates!E12&lt;0.01,"***",IF(Estimates!E12&lt;0.05,"**",IF(Estimates!E12&lt;0.1,"*",""))))</f>
        <v>0.043</v>
      </c>
      <c r="C23" s="8" t="str">
        <f aca="false">TEXT(Estimates!F12,"0.000")&amp;IF(Estimates!I12="","",IF(Estimates!I12&lt;0.01,"***",IF(Estimates!I12&lt;0.05,"**",IF(Estimates!I12&lt;0.1,"*",""))))</f>
        <v>0.047</v>
      </c>
      <c r="D23" s="8" t="str">
        <f aca="false">TEXT(Estimates!J12,"0.000")&amp;IF(Estimates!M12="","",IF(Estimates!M12&lt;0.01,"***",IF(Estimates!M12&lt;0.05,"**",IF(Estimates!M12&lt;0.1,"*",""))))</f>
        <v>-0.679**</v>
      </c>
      <c r="E23" s="8" t="str">
        <f aca="false">TEXT(Estimates!N12,"0.000")&amp;IF(Estimates!Q12="","",IF(Estimates!Q12&lt;0.01,"***",IF(Estimates!Q12&lt;0.05,"**",IF(Estimates!Q12&lt;0.1,"*",""))))</f>
        <v>-0.648*</v>
      </c>
      <c r="F23" s="8" t="str">
        <f aca="false">TEXT(Estimates!R12,"0.000")&amp;IF(Estimates!U12="","",IF(Estimates!U12&lt;0.01,"***",IF(Estimates!U12&lt;0.05,"**",IF(Estimates!U12&lt;0.1,"*",""))))</f>
        <v>-1.566***</v>
      </c>
      <c r="G23" s="8" t="str">
        <f aca="false">TEXT(Estimates!V12,"0.000")&amp;IF(Estimates!Y12="","",IF(Estimates!Y12&lt;0.01,"***",IF(Estimates!Y12&lt;0.05,"**",IF(Estimates!Y12&lt;0.1,"*",""))))</f>
        <v>-2.101***</v>
      </c>
    </row>
    <row r="24" customFormat="false" ht="15" hidden="false" customHeight="false" outlineLevel="0" collapsed="false">
      <c r="B24" s="8" t="str">
        <f aca="false">IF(Estimates!D12="","(n/a)","("&amp;TEXT(Estimates!D12,"0.00")&amp;")")</f>
        <v>(0.38)</v>
      </c>
      <c r="C24" s="8" t="str">
        <f aca="false">IF(Estimates!H12="","(n/a)","("&amp;TEXT(Estimates!H12,"0.00")&amp;")")</f>
        <v>(0.46)</v>
      </c>
      <c r="D24" s="8" t="str">
        <f aca="false">IF(Estimates!L12="","(n/a)","("&amp;TEXT(Estimates!L12,"0.00")&amp;")")</f>
        <v>(-2.42)</v>
      </c>
      <c r="E24" s="8" t="str">
        <f aca="false">IF(Estimates!P12="","(n/a)","("&amp;TEXT(Estimates!P12,"0.00")&amp;")")</f>
        <v>(-2.01)</v>
      </c>
      <c r="F24" s="8" t="str">
        <f aca="false">IF(Estimates!T12="","(n/a)","("&amp;TEXT(Estimates!T12,"0.00")&amp;")")</f>
        <v>(-3.43)</v>
      </c>
      <c r="G24" s="8" t="str">
        <f aca="false">IF(Estimates!X12="","(n/a)","("&amp;TEXT(Estimates!X12,"0.00")&amp;")")</f>
        <v>(-3.61)</v>
      </c>
    </row>
    <row r="25" customFormat="false" ht="15" hidden="false" customHeight="false" outlineLevel="0" collapsed="false">
      <c r="A25" s="7" t="s">
        <v>18</v>
      </c>
      <c r="B25" s="8" t="str">
        <f aca="false">TEXT(Estimates!B13,"0.000")&amp;IF(Estimates!E13="","",IF(Estimates!E13&lt;0.01,"***",IF(Estimates!E13&lt;0.05,"**",IF(Estimates!E13&lt;0.1,"*",""))))</f>
        <v>0.101</v>
      </c>
      <c r="C25" s="8" t="str">
        <f aca="false">TEXT(Estimates!F13,"0.000")&amp;IF(Estimates!I13="","",IF(Estimates!I13&lt;0.01,"***",IF(Estimates!I13&lt;0.05,"**",IF(Estimates!I13&lt;0.1,"*",""))))</f>
        <v>0.137</v>
      </c>
      <c r="D25" s="8" t="str">
        <f aca="false">TEXT(Estimates!J13,"0.000")&amp;IF(Estimates!M13="","",IF(Estimates!M13&lt;0.01,"***",IF(Estimates!M13&lt;0.05,"**",IF(Estimates!M13&lt;0.1,"*",""))))</f>
        <v>-0.252</v>
      </c>
      <c r="E25" s="8" t="str">
        <f aca="false">TEXT(Estimates!N13,"0.000")&amp;IF(Estimates!Q13="","",IF(Estimates!Q13&lt;0.01,"***",IF(Estimates!Q13&lt;0.05,"**",IF(Estimates!Q13&lt;0.1,"*",""))))</f>
        <v>-0.311</v>
      </c>
      <c r="F25" s="8" t="str">
        <f aca="false">TEXT(Estimates!R13,"0.000")&amp;IF(Estimates!U13="","",IF(Estimates!U13&lt;0.01,"***",IF(Estimates!U13&lt;0.05,"**",IF(Estimates!U13&lt;0.1,"*",""))))</f>
        <v>-1.697*</v>
      </c>
      <c r="G25" s="8" t="str">
        <f aca="false">TEXT(Estimates!V13,"0.000")&amp;IF(Estimates!Y13="","",IF(Estimates!Y13&lt;0.01,"***",IF(Estimates!Y13&lt;0.05,"**",IF(Estimates!Y13&lt;0.1,"*",""))))</f>
        <v>-2.538**</v>
      </c>
    </row>
    <row r="26" customFormat="false" ht="15" hidden="false" customHeight="false" outlineLevel="0" collapsed="false">
      <c r="B26" s="8" t="str">
        <f aca="false">IF(Estimates!D13="","(n/a)","("&amp;TEXT(Estimates!D13,"0.00")&amp;")")</f>
        <v>(0.77)</v>
      </c>
      <c r="C26" s="8" t="str">
        <f aca="false">IF(Estimates!H13="","(n/a)","("&amp;TEXT(Estimates!H13,"0.00")&amp;")")</f>
        <v>(1.62)</v>
      </c>
      <c r="D26" s="8" t="str">
        <f aca="false">IF(Estimates!L13="","(n/a)","("&amp;TEXT(Estimates!L13,"0.00")&amp;")")</f>
        <v>(-0.32)</v>
      </c>
      <c r="E26" s="8" t="str">
        <f aca="false">IF(Estimates!P13="","(n/a)","("&amp;TEXT(Estimates!P13,"0.00")&amp;")")</f>
        <v>(-0.30)</v>
      </c>
      <c r="F26" s="8" t="str">
        <f aca="false">IF(Estimates!T13="","(n/a)","("&amp;TEXT(Estimates!T13,"0.00")&amp;")")</f>
        <v>(-1.81)</v>
      </c>
      <c r="G26" s="8" t="str">
        <f aca="false">IF(Estimates!X13="","(n/a)","("&amp;TEXT(Estimates!X13,"0.00")&amp;")")</f>
        <v>(-2.74)</v>
      </c>
    </row>
    <row r="27" customFormat="false" ht="15" hidden="false" customHeight="false" outlineLevel="0" collapsed="false">
      <c r="A27" s="7" t="s">
        <v>19</v>
      </c>
      <c r="B27" s="8" t="str">
        <f aca="false">TEXT(Estimates!B14,"0.000")&amp;IF(Estimates!E14="","",IF(Estimates!E14&lt;0.01,"***",IF(Estimates!E14&lt;0.05,"**",IF(Estimates!E14&lt;0.1,"*",""))))</f>
        <v>-0.136</v>
      </c>
      <c r="C27" s="8" t="str">
        <f aca="false">TEXT(Estimates!F14,"0.000")&amp;IF(Estimates!I14="","",IF(Estimates!I14&lt;0.01,"***",IF(Estimates!I14&lt;0.05,"**",IF(Estimates!I14&lt;0.1,"*",""))))</f>
        <v>-0.021</v>
      </c>
      <c r="D27" s="8" t="str">
        <f aca="false">TEXT(Estimates!J14,"0.000")&amp;IF(Estimates!M14="","",IF(Estimates!M14&lt;0.01,"***",IF(Estimates!M14&lt;0.05,"**",IF(Estimates!M14&lt;0.1,"*",""))))</f>
        <v>-0.684**</v>
      </c>
      <c r="E27" s="8" t="str">
        <f aca="false">TEXT(Estimates!N14,"0.000")&amp;IF(Estimates!Q14="","",IF(Estimates!Q14&lt;0.01,"***",IF(Estimates!Q14&lt;0.05,"**",IF(Estimates!Q14&lt;0.1,"*",""))))</f>
        <v>-0.702*</v>
      </c>
      <c r="F27" s="8" t="str">
        <f aca="false">TEXT(Estimates!R14,"0.000")&amp;IF(Estimates!U14="","",IF(Estimates!U14&lt;0.01,"***",IF(Estimates!U14&lt;0.05,"**",IF(Estimates!U14&lt;0.1,"*",""))))</f>
        <v>-1.472***</v>
      </c>
      <c r="G27" s="8" t="str">
        <f aca="false">TEXT(Estimates!V14,"0.000")&amp;IF(Estimates!Y14="","",IF(Estimates!Y14&lt;0.01,"***",IF(Estimates!Y14&lt;0.05,"**",IF(Estimates!Y14&lt;0.1,"*",""))))</f>
        <v>-1.744***</v>
      </c>
    </row>
    <row r="28" customFormat="false" ht="15" hidden="false" customHeight="false" outlineLevel="0" collapsed="false">
      <c r="B28" s="8" t="str">
        <f aca="false">IF(Estimates!D14="","(n/a)","("&amp;TEXT(Estimates!D14,"0.00")&amp;")")</f>
        <v>(-0.93)</v>
      </c>
      <c r="C28" s="8" t="str">
        <f aca="false">IF(Estimates!H14="","(n/a)","("&amp;TEXT(Estimates!H14,"0.00")&amp;")")</f>
        <v>(-0.20)</v>
      </c>
      <c r="D28" s="8" t="str">
        <f aca="false">IF(Estimates!L14="","(n/a)","("&amp;TEXT(Estimates!L14,"0.00")&amp;")")</f>
        <v>(-2.17)</v>
      </c>
      <c r="E28" s="8" t="str">
        <f aca="false">IF(Estimates!P14="","(n/a)","("&amp;TEXT(Estimates!P14,"0.00")&amp;")")</f>
        <v>(-1.76)</v>
      </c>
      <c r="F28" s="8" t="str">
        <f aca="false">IF(Estimates!T14="","(n/a)","("&amp;TEXT(Estimates!T14,"0.00")&amp;")")</f>
        <v>(-3.58)</v>
      </c>
      <c r="G28" s="8" t="str">
        <f aca="false">IF(Estimates!X14="","(n/a)","("&amp;TEXT(Estimates!X14,"0.00")&amp;")")</f>
        <v>(-3.91)</v>
      </c>
    </row>
    <row r="29" customFormat="false" ht="15" hidden="false" customHeight="false" outlineLevel="0" collapsed="false">
      <c r="A29" s="7" t="s">
        <v>20</v>
      </c>
      <c r="B29" s="8" t="str">
        <f aca="false">TEXT(Estimates!B15,"0.000")&amp;IF(Estimates!E15="","",IF(Estimates!E15&lt;0.01,"***",IF(Estimates!E15&lt;0.05,"**",IF(Estimates!E15&lt;0.1,"*",""))))</f>
        <v>0.080</v>
      </c>
      <c r="C29" s="8" t="str">
        <f aca="false">TEXT(Estimates!F15,"0.000")&amp;IF(Estimates!I15="","",IF(Estimates!I15&lt;0.01,"***",IF(Estimates!I15&lt;0.05,"**",IF(Estimates!I15&lt;0.1,"*",""))))</f>
        <v>0.126</v>
      </c>
      <c r="D29" s="8" t="str">
        <f aca="false">TEXT(Estimates!J15,"0.000")&amp;IF(Estimates!M15="","",IF(Estimates!M15&lt;0.01,"***",IF(Estimates!M15&lt;0.05,"**",IF(Estimates!M15&lt;0.1,"*",""))))</f>
        <v>-0.518</v>
      </c>
      <c r="E29" s="8" t="str">
        <f aca="false">TEXT(Estimates!N15,"0.000")&amp;IF(Estimates!Q15="","",IF(Estimates!Q15&lt;0.01,"***",IF(Estimates!Q15&lt;0.05,"**",IF(Estimates!Q15&lt;0.1,"*",""))))</f>
        <v>-0.504</v>
      </c>
      <c r="F29" s="8" t="str">
        <f aca="false">TEXT(Estimates!R15,"0.000")&amp;IF(Estimates!U15="","",IF(Estimates!U15&lt;0.01,"***",IF(Estimates!U15&lt;0.05,"**",IF(Estimates!U15&lt;0.1,"*",""))))</f>
        <v>-1.425***</v>
      </c>
      <c r="G29" s="8" t="str">
        <f aca="false">TEXT(Estimates!V15,"0.000")&amp;IF(Estimates!Y15="","",IF(Estimates!Y15&lt;0.01,"***",IF(Estimates!Y15&lt;0.05,"**",IF(Estimates!Y15&lt;0.1,"*",""))))</f>
        <v>-2.206***</v>
      </c>
    </row>
    <row r="30" customFormat="false" ht="15" hidden="false" customHeight="false" outlineLevel="0" collapsed="false">
      <c r="B30" s="8" t="str">
        <f aca="false">IF(Estimates!D15="","(n/a)","("&amp;TEXT(Estimates!D15,"0.00")&amp;")")</f>
        <v>(0.63)</v>
      </c>
      <c r="C30" s="8" t="str">
        <f aca="false">IF(Estimates!H15="","(n/a)","("&amp;TEXT(Estimates!H15,"0.00")&amp;")")</f>
        <v>(0.84)</v>
      </c>
      <c r="D30" s="8" t="str">
        <f aca="false">IF(Estimates!L15="","(n/a)","("&amp;TEXT(Estimates!L15,"0.00")&amp;")")</f>
        <v>(-1.53)</v>
      </c>
      <c r="E30" s="8" t="str">
        <f aca="false">IF(Estimates!P15="","(n/a)","("&amp;TEXT(Estimates!P15,"0.00")&amp;")")</f>
        <v>(-1.22)</v>
      </c>
      <c r="F30" s="8" t="str">
        <f aca="false">IF(Estimates!T15="","(n/a)","("&amp;TEXT(Estimates!T15,"0.00")&amp;")")</f>
        <v>(-2.98)</v>
      </c>
      <c r="G30" s="8" t="str">
        <f aca="false">IF(Estimates!X15="","(n/a)","("&amp;TEXT(Estimates!X15,"0.00")&amp;")")</f>
        <v>(-3.63)</v>
      </c>
    </row>
    <row r="31" customFormat="false" ht="15" hidden="false" customHeight="false" outlineLevel="0" collapsed="false">
      <c r="A31" s="7" t="s">
        <v>21</v>
      </c>
      <c r="B31" s="8" t="str">
        <f aca="false">TEXT(Estimates!B16,"0.000")&amp;IF(Estimates!E16="","",IF(Estimates!E16&lt;0.01,"***",IF(Estimates!E16&lt;0.05,"**",IF(Estimates!E16&lt;0.1,"*",""))))</f>
        <v>0.488</v>
      </c>
      <c r="C31" s="8" t="str">
        <f aca="false">TEXT(Estimates!F16,"0.000")&amp;IF(Estimates!I16="","",IF(Estimates!I16&lt;0.01,"***",IF(Estimates!I16&lt;0.05,"**",IF(Estimates!I16&lt;0.1,"*",""))))</f>
        <v>0.475</v>
      </c>
    </row>
    <row r="32" customFormat="false" ht="15" hidden="false" customHeight="false" outlineLevel="0" collapsed="false">
      <c r="B32" s="8" t="str">
        <f aca="false">IF(Estimates!D16="","(n/a)","("&amp;TEXT(Estimates!D16,"0.00")&amp;")")</f>
        <v>(1.08)</v>
      </c>
      <c r="C32" s="8" t="str">
        <f aca="false">IF(Estimates!H16="","(n/a)","("&amp;TEXT(Estimates!H16,"0.00")&amp;")")</f>
        <v>(1.42)</v>
      </c>
    </row>
    <row r="33" customFormat="false" ht="15" hidden="false" customHeight="false" outlineLevel="0" collapsed="false">
      <c r="A33" s="7" t="s">
        <v>22</v>
      </c>
      <c r="C33" s="8" t="str">
        <f aca="false">TEXT(Estimates!F17,"0.000")&amp;IF(Estimates!I17="","",IF(Estimates!I17&lt;0.01,"***",IF(Estimates!I17&lt;0.05,"**",IF(Estimates!I17&lt;0.1,"*",""))))</f>
        <v>-0.369</v>
      </c>
      <c r="D33" s="8" t="str">
        <f aca="false">TEXT(Estimates!J17,"0.000")&amp;IF(Estimates!M17="","",IF(Estimates!M17&lt;0.01,"***",IF(Estimates!M17&lt;0.05,"**",IF(Estimates!M17&lt;0.1,"*",""))))</f>
        <v>1.685</v>
      </c>
      <c r="E33" s="8" t="str">
        <f aca="false">TEXT(Estimates!N17,"0.000")&amp;IF(Estimates!Q17="","",IF(Estimates!Q17&lt;0.01,"***",IF(Estimates!Q17&lt;0.05,"**",IF(Estimates!Q17&lt;0.1,"*",""))))</f>
        <v>0.858</v>
      </c>
    </row>
    <row r="34" customFormat="false" ht="15" hidden="false" customHeight="false" outlineLevel="0" collapsed="false">
      <c r="C34" s="8" t="str">
        <f aca="false">IF(Estimates!H17="","(n/a)","("&amp;TEXT(Estimates!H17,"0.00")&amp;")")</f>
        <v>(-0.44)</v>
      </c>
      <c r="D34" s="8" t="str">
        <f aca="false">IF(Estimates!L17="","(n/a)","("&amp;TEXT(Estimates!L17,"0.00")&amp;")")</f>
        <v>(1.08)</v>
      </c>
      <c r="E34" s="8" t="str">
        <f aca="false">IF(Estimates!P17="","(n/a)","("&amp;TEXT(Estimates!P17,"0.00")&amp;")")</f>
        <v>(0.46)</v>
      </c>
    </row>
    <row r="35" customFormat="false" ht="15" hidden="false" customHeight="false" outlineLevel="0" collapsed="false">
      <c r="A35" s="7" t="s">
        <v>23</v>
      </c>
      <c r="C35" s="8" t="str">
        <f aca="false">TEXT(Estimates!F18,"0.000")&amp;IF(Estimates!I18="","",IF(Estimates!I18&lt;0.01,"***",IF(Estimates!I18&lt;0.05,"**",IF(Estimates!I18&lt;0.1,"*",""))))</f>
        <v>0.070</v>
      </c>
      <c r="D35" s="8" t="str">
        <f aca="false">TEXT(Estimates!J18,"0.000")&amp;IF(Estimates!M18="","",IF(Estimates!M18&lt;0.01,"***",IF(Estimates!M18&lt;0.05,"**",IF(Estimates!M18&lt;0.1,"*",""))))</f>
        <v>-0.124</v>
      </c>
      <c r="E35" s="8" t="str">
        <f aca="false">TEXT(Estimates!N18,"0.000")&amp;IF(Estimates!Q18="","",IF(Estimates!Q18&lt;0.01,"***",IF(Estimates!Q18&lt;0.05,"**",IF(Estimates!Q18&lt;0.1,"*",""))))</f>
        <v>0.006</v>
      </c>
    </row>
    <row r="36" customFormat="false" ht="15" hidden="false" customHeight="false" outlineLevel="0" collapsed="false">
      <c r="C36" s="8" t="str">
        <f aca="false">IF(Estimates!H18="","(n/a)","("&amp;TEXT(Estimates!H18,"0.00")&amp;")")</f>
        <v>(0.41)</v>
      </c>
      <c r="D36" s="8" t="str">
        <f aca="false">IF(Estimates!L18="","(n/a)","("&amp;TEXT(Estimates!L18,"0.00")&amp;")")</f>
        <v>(-0.45)</v>
      </c>
      <c r="E36" s="8" t="str">
        <f aca="false">IF(Estimates!P18="","(n/a)","("&amp;TEXT(Estimates!P18,"0.00")&amp;")")</f>
        <v>(0.02)</v>
      </c>
    </row>
    <row r="37" customFormat="false" ht="15" hidden="false" customHeight="false" outlineLevel="0" collapsed="false">
      <c r="A37" s="7" t="s">
        <v>24</v>
      </c>
      <c r="C37" s="8" t="str">
        <f aca="false">TEXT(Estimates!F19,"0.000")&amp;IF(Estimates!I19="","",IF(Estimates!I19&lt;0.01,"***",IF(Estimates!I19&lt;0.05,"**",IF(Estimates!I19&lt;0.1,"*",""))))</f>
        <v>-0.028</v>
      </c>
      <c r="D37" s="8" t="str">
        <f aca="false">TEXT(Estimates!J19,"0.000")&amp;IF(Estimates!M19="","",IF(Estimates!M19&lt;0.01,"***",IF(Estimates!M19&lt;0.05,"**",IF(Estimates!M19&lt;0.1,"*",""))))</f>
        <v>-0.278</v>
      </c>
      <c r="E37" s="8" t="str">
        <f aca="false">TEXT(Estimates!N19,"0.000")&amp;IF(Estimates!Q19="","",IF(Estimates!Q19&lt;0.01,"***",IF(Estimates!Q19&lt;0.05,"**",IF(Estimates!Q19&lt;0.1,"*",""))))</f>
        <v>-0.067</v>
      </c>
    </row>
    <row r="38" customFormat="false" ht="15" hidden="false" customHeight="false" outlineLevel="0" collapsed="false">
      <c r="C38" s="8" t="str">
        <f aca="false">IF(Estimates!H19="","(n/a)","("&amp;TEXT(Estimates!H19,"0.00")&amp;")")</f>
        <v>(-0.13)</v>
      </c>
      <c r="D38" s="8" t="str">
        <f aca="false">IF(Estimates!L19="","(n/a)","("&amp;TEXT(Estimates!L19,"0.00")&amp;")")</f>
        <v>(-0.58)</v>
      </c>
      <c r="E38" s="8" t="str">
        <f aca="false">IF(Estimates!P19="","(n/a)","("&amp;TEXT(Estimates!P19,"0.00")&amp;")")</f>
        <v>(-0.07)</v>
      </c>
    </row>
    <row r="39" customFormat="false" ht="15" hidden="false" customHeight="false" outlineLevel="0" collapsed="false">
      <c r="A39" s="7" t="s">
        <v>25</v>
      </c>
      <c r="C39" s="8" t="str">
        <f aca="false">TEXT(Estimates!F20,"0.000")&amp;IF(Estimates!I20="","",IF(Estimates!I20&lt;0.01,"***",IF(Estimates!I20&lt;0.05,"**",IF(Estimates!I20&lt;0.1,"*",""))))</f>
        <v>-0.110</v>
      </c>
      <c r="D39" s="8" t="str">
        <f aca="false">TEXT(Estimates!J20,"0.000")&amp;IF(Estimates!M20="","",IF(Estimates!M20&lt;0.01,"***",IF(Estimates!M20&lt;0.05,"**",IF(Estimates!M20&lt;0.1,"*",""))))</f>
        <v>0.173</v>
      </c>
      <c r="E39" s="8" t="str">
        <f aca="false">TEXT(Estimates!N20,"0.000")&amp;IF(Estimates!Q20="","",IF(Estimates!Q20&lt;0.01,"***",IF(Estimates!Q20&lt;0.05,"**",IF(Estimates!Q20&lt;0.1,"*",""))))</f>
        <v>0.128</v>
      </c>
    </row>
    <row r="40" customFormat="false" ht="15" hidden="false" customHeight="false" outlineLevel="0" collapsed="false">
      <c r="C40" s="8" t="str">
        <f aca="false">IF(Estimates!H20="","(n/a)","("&amp;TEXT(Estimates!H20,"0.00")&amp;")")</f>
        <v>(-0.76)</v>
      </c>
      <c r="D40" s="8" t="str">
        <f aca="false">IF(Estimates!L20="","(n/a)","("&amp;TEXT(Estimates!L20,"0.00")&amp;")")</f>
        <v>(0.40)</v>
      </c>
      <c r="E40" s="8" t="str">
        <f aca="false">IF(Estimates!P20="","(n/a)","("&amp;TEXT(Estimates!P20,"0.00")&amp;")")</f>
        <v>(0.23)</v>
      </c>
    </row>
    <row r="41" customFormat="false" ht="15" hidden="false" customHeight="false" outlineLevel="0" collapsed="false">
      <c r="A41" s="7" t="s">
        <v>26</v>
      </c>
      <c r="C41" s="8" t="str">
        <f aca="false">TEXT(Estimates!F21,"0.000")&amp;IF(Estimates!I21="","",IF(Estimates!I21&lt;0.01,"***",IF(Estimates!I21&lt;0.05,"**",IF(Estimates!I21&lt;0.1,"*",""))))</f>
        <v>0.205</v>
      </c>
    </row>
    <row r="42" customFormat="false" ht="15" hidden="false" customHeight="false" outlineLevel="0" collapsed="false">
      <c r="C42" s="8" t="str">
        <f aca="false">IF(Estimates!H21="","(n/a)","("&amp;TEXT(Estimates!H21,"0.00")&amp;")")</f>
        <v>(0.61)</v>
      </c>
    </row>
    <row r="43" customFormat="false" ht="15" hidden="false" customHeight="false" outlineLevel="0" collapsed="false">
      <c r="A43" s="7" t="s">
        <v>27</v>
      </c>
      <c r="C43" s="8" t="str">
        <f aca="false">TEXT(Estimates!F22,"0.000")&amp;IF(Estimates!I22="","",IF(Estimates!I22&lt;0.01,"***",IF(Estimates!I22&lt;0.05,"**",IF(Estimates!I22&lt;0.1,"*",""))))</f>
        <v>-0.126</v>
      </c>
      <c r="D43" s="8" t="str">
        <f aca="false">TEXT(Estimates!J22,"0.000")&amp;IF(Estimates!M22="","",IF(Estimates!M22&lt;0.01,"***",IF(Estimates!M22&lt;0.05,"**",IF(Estimates!M22&lt;0.1,"*",""))))</f>
        <v>1.441</v>
      </c>
      <c r="E43" s="8" t="str">
        <f aca="false">TEXT(Estimates!N22,"0.000")&amp;IF(Estimates!Q22="","",IF(Estimates!Q22&lt;0.01,"***",IF(Estimates!Q22&lt;0.05,"**",IF(Estimates!Q22&lt;0.1,"*",""))))</f>
        <v>2.004</v>
      </c>
    </row>
    <row r="44" customFormat="false" ht="15" hidden="false" customHeight="false" outlineLevel="0" collapsed="false">
      <c r="C44" s="8" t="str">
        <f aca="false">IF(Estimates!H22="","(n/a)","("&amp;TEXT(Estimates!H22,"0.00")&amp;")")</f>
        <v>(-0.18)</v>
      </c>
      <c r="D44" s="8" t="str">
        <f aca="false">IF(Estimates!L22="","(n/a)","("&amp;TEXT(Estimates!L22,"0.00")&amp;")")</f>
        <v>(0.34)</v>
      </c>
      <c r="E44" s="8" t="str">
        <f aca="false">IF(Estimates!P22="","(n/a)","("&amp;TEXT(Estimates!P22,"0.00")&amp;")")</f>
        <v>(0.42)</v>
      </c>
    </row>
    <row r="46" customFormat="false" ht="15" hidden="false" customHeight="false" outlineLevel="0" collapsed="false">
      <c r="A46" s="7" t="s">
        <v>28</v>
      </c>
      <c r="B46" s="9" t="n">
        <f aca="false">Estimates!B24</f>
        <v>306</v>
      </c>
      <c r="C46" s="9" t="n">
        <f aca="false">Estimates!F24</f>
        <v>280</v>
      </c>
      <c r="D46" s="9" t="n">
        <f aca="false">Estimates!J24</f>
        <v>278</v>
      </c>
      <c r="E46" s="9" t="n">
        <f aca="false">Estimates!N24</f>
        <v>278</v>
      </c>
      <c r="F46" s="9" t="n">
        <f aca="false">Estimates!R24</f>
        <v>289</v>
      </c>
      <c r="G46" s="9" t="n">
        <f aca="false">Estimates!V24</f>
        <v>197</v>
      </c>
    </row>
    <row r="47" customFormat="false" ht="15" hidden="false" customHeight="false" outlineLevel="0" collapsed="false">
      <c r="A47" s="7" t="s">
        <v>29</v>
      </c>
      <c r="B47" s="10" t="n">
        <f aca="false">Estimates!B27</f>
        <v>0.10380089644835</v>
      </c>
      <c r="C47" s="10" t="n">
        <f aca="false">Estimates!F27</f>
        <v>0.0523772858330219</v>
      </c>
      <c r="D47" s="10" t="n">
        <f aca="false">Estimates!J27</f>
        <v>0.0268647562803273</v>
      </c>
      <c r="E47" s="10" t="n">
        <f aca="false">Estimates!N27</f>
        <v>0.0196082491774481</v>
      </c>
      <c r="F47" s="10" t="n">
        <f aca="false">Estimates!R27</f>
        <v>0.139174378968396</v>
      </c>
      <c r="G47" s="10" t="n">
        <f aca="false">Estimates!V27</f>
        <v>0.104339387399832</v>
      </c>
    </row>
    <row r="48" customFormat="false" ht="15" hidden="false" customHeight="false" outlineLevel="0" collapsed="false">
      <c r="A48" s="7" t="s">
        <v>45</v>
      </c>
      <c r="B48" s="14" t="n">
        <f aca="false">Estimates!B28</f>
        <v>43</v>
      </c>
      <c r="C48" s="14" t="n">
        <f aca="false">Estimates!F28</f>
        <v>41</v>
      </c>
      <c r="D48" s="14" t="n">
        <f aca="false">Estimates!J28</f>
        <v>41</v>
      </c>
      <c r="E48" s="14" t="n">
        <f aca="false">Estimates!N28</f>
        <v>41</v>
      </c>
      <c r="F48" s="14" t="n">
        <f aca="false">Estimates!R28</f>
        <v>43</v>
      </c>
      <c r="G48" s="14" t="n">
        <f aca="false">Estimates!V28</f>
        <v>24</v>
      </c>
    </row>
    <row r="49" customFormat="false" ht="15" hidden="false" customHeight="false" outlineLevel="0" collapsed="false">
      <c r="A49" s="7" t="s">
        <v>30</v>
      </c>
      <c r="B49" s="11" t="s">
        <v>31</v>
      </c>
      <c r="C49" s="11" t="s">
        <v>31</v>
      </c>
      <c r="D49" s="11" t="s">
        <v>32</v>
      </c>
      <c r="E49" s="11" t="s">
        <v>32</v>
      </c>
      <c r="F49" s="11" t="s">
        <v>31</v>
      </c>
      <c r="G49" s="11" t="s">
        <v>31</v>
      </c>
    </row>
    <row r="50" customFormat="false" ht="15" hidden="false" customHeight="false" outlineLevel="0" collapsed="false">
      <c r="A50" s="7" t="s">
        <v>33</v>
      </c>
      <c r="B50" s="11" t="s">
        <v>32</v>
      </c>
      <c r="C50" s="11" t="s">
        <v>32</v>
      </c>
      <c r="D50" s="11" t="s">
        <v>31</v>
      </c>
      <c r="E50" s="11" t="s">
        <v>32</v>
      </c>
      <c r="F50" s="11" t="s">
        <v>32</v>
      </c>
      <c r="G50" s="11" t="s">
        <v>32</v>
      </c>
    </row>
    <row r="51" customFormat="false" ht="15" hidden="false" customHeight="false" outlineLevel="0" collapsed="false">
      <c r="A51" s="7" t="s">
        <v>46</v>
      </c>
      <c r="B51" s="11" t="s">
        <v>31</v>
      </c>
      <c r="C51" s="11" t="s">
        <v>31</v>
      </c>
      <c r="D51" s="11" t="s">
        <v>31</v>
      </c>
      <c r="E51" s="11" t="s">
        <v>31</v>
      </c>
      <c r="F51" s="11" t="s">
        <v>32</v>
      </c>
      <c r="G51" s="11" t="s">
        <v>32</v>
      </c>
    </row>
    <row r="52" customFormat="false" ht="15" hidden="false" customHeight="false" outlineLevel="0" collapsed="false">
      <c r="A52" s="12" t="s">
        <v>47</v>
      </c>
      <c r="B52" s="6"/>
      <c r="C52" s="6"/>
      <c r="D52" s="6"/>
      <c r="E52" s="6"/>
      <c r="F52" s="6"/>
      <c r="G52" s="6" t="s">
        <v>48</v>
      </c>
    </row>
    <row r="55" customFormat="false" ht="15" hidden="false" customHeight="false" outlineLevel="0" collapsed="false">
      <c r="A55" s="1" t="s">
        <v>35</v>
      </c>
    </row>
    <row r="56" customFormat="false" ht="15" hidden="false" customHeight="false" outlineLevel="0" collapsed="false">
      <c r="A56" s="3"/>
      <c r="B56" s="4" t="s">
        <v>3</v>
      </c>
      <c r="C56" s="4" t="s">
        <v>4</v>
      </c>
      <c r="D56" s="4" t="s">
        <v>5</v>
      </c>
      <c r="E56" s="4" t="s">
        <v>6</v>
      </c>
      <c r="F56" s="4" t="s">
        <v>42</v>
      </c>
      <c r="G56" s="4" t="s">
        <v>43</v>
      </c>
    </row>
    <row r="57" customFormat="false" ht="23.85" hidden="false" customHeight="false" outlineLevel="0" collapsed="false">
      <c r="A57" s="5"/>
      <c r="B57" s="6" t="s">
        <v>36</v>
      </c>
      <c r="C57" s="6" t="s">
        <v>36</v>
      </c>
      <c r="D57" s="6" t="s">
        <v>36</v>
      </c>
      <c r="E57" s="6" t="s">
        <v>36</v>
      </c>
      <c r="F57" s="6" t="s">
        <v>36</v>
      </c>
      <c r="G57" s="6" t="s">
        <v>36</v>
      </c>
    </row>
    <row r="58" customFormat="false" ht="15" hidden="false" customHeight="false" outlineLevel="0" collapsed="false">
      <c r="A58" s="7" t="s">
        <v>44</v>
      </c>
      <c r="B58" s="8" t="str">
        <f aca="false">TEXT(Estimates!Z4,"0.000")&amp;IF(Estimates!AC4="","",IF(Estimates!AC4&lt;0.01,"***",IF(Estimates!AC4&lt;0.05,"**",IF(Estimates!AC4&lt;0.1,"*",""))))</f>
        <v>0.094</v>
      </c>
      <c r="C58" s="8" t="str">
        <f aca="false">TEXT(Estimates!AD4,"0.000")&amp;IF(Estimates!AG4="","",IF(Estimates!AG4&lt;0.01,"***",IF(Estimates!AG4&lt;0.05,"**",IF(Estimates!AG4&lt;0.1,"*",""))))</f>
        <v>0.255</v>
      </c>
      <c r="D58" s="8" t="str">
        <f aca="false">TEXT(Estimates!AH4,"0.000")&amp;IF(Estimates!AK4="","",IF(Estimates!AK4&lt;0.01,"***",IF(Estimates!AK4&lt;0.05,"**",IF(Estimates!AK4&lt;0.1,"*",""))))</f>
        <v>0.282</v>
      </c>
      <c r="E58" s="8" t="str">
        <f aca="false">TEXT(Estimates!AL4,"0.000")&amp;IF(Estimates!AO4="","",IF(Estimates!AO4&lt;0.01,"***",IF(Estimates!AO4&lt;0.05,"**",IF(Estimates!AO4&lt;0.1,"*",""))))</f>
        <v>0.565**</v>
      </c>
      <c r="F58" s="8" t="str">
        <f aca="false">TEXT(Estimates!AP4,"0.000")&amp;IF(Estimates!AS4="","",IF(Estimates!AS4&lt;0.01,"***",IF(Estimates!AS4&lt;0.05,"**",IF(Estimates!AS4&lt;0.1,"*",""))))</f>
        <v>-0.166</v>
      </c>
      <c r="G58" s="8" t="str">
        <f aca="false">TEXT(Estimates!AT4,"0.000")&amp;IF(Estimates!AW4="","",IF(Estimates!AW4&lt;0.01,"***",IF(Estimates!AW4&lt;0.05,"**",IF(Estimates!AW4&lt;0.1,"*",""))))</f>
        <v>-0.087</v>
      </c>
    </row>
    <row r="59" customFormat="false" ht="15" hidden="false" customHeight="false" outlineLevel="0" collapsed="false">
      <c r="B59" s="8" t="str">
        <f aca="false">IF(Estimates!AB4="","(n/a)","("&amp;TEXT(Estimates!AB4,"0.00")&amp;")")</f>
        <v>(0.31)</v>
      </c>
      <c r="C59" s="8" t="str">
        <f aca="false">IF(Estimates!AF4="","(n/a)","("&amp;TEXT(Estimates!AF4,"0.00")&amp;")")</f>
        <v>(0.88)</v>
      </c>
      <c r="D59" s="8" t="str">
        <f aca="false">IF(Estimates!AJ4="","(n/a)","("&amp;TEXT(Estimates!AJ4,"0.00")&amp;")")</f>
        <v>(0.98)</v>
      </c>
      <c r="E59" s="8" t="str">
        <f aca="false">IF(Estimates!AN4="","(n/a)","("&amp;TEXT(Estimates!AN4,"0.00")&amp;")")</f>
        <v>(2.14)</v>
      </c>
      <c r="F59" s="8" t="str">
        <f aca="false">IF(Estimates!AR4="","(n/a)","("&amp;TEXT(Estimates!AR4,"0.00")&amp;")")</f>
        <v>(-0.42)</v>
      </c>
      <c r="G59" s="8" t="str">
        <f aca="false">IF(Estimates!AV4="","(n/a)","("&amp;TEXT(Estimates!AV4,"0.00")&amp;")")</f>
        <v>(-0.23)</v>
      </c>
    </row>
    <row r="60" customFormat="false" ht="15" hidden="false" customHeight="false" outlineLevel="0" collapsed="false">
      <c r="A60" s="7" t="s">
        <v>10</v>
      </c>
      <c r="B60" s="8" t="str">
        <f aca="false">TEXT(Estimates!Z5,"0.000")&amp;IF(Estimates!AC5="","",IF(Estimates!AC5&lt;0.01,"***",IF(Estimates!AC5&lt;0.05,"**",IF(Estimates!AC5&lt;0.1,"*",""))))</f>
        <v>0.084</v>
      </c>
      <c r="C60" s="8" t="str">
        <f aca="false">TEXT(Estimates!AD5,"0.000")&amp;IF(Estimates!AG5="","",IF(Estimates!AG5&lt;0.01,"***",IF(Estimates!AG5&lt;0.05,"**",IF(Estimates!AG5&lt;0.1,"*",""))))</f>
        <v>0.039</v>
      </c>
      <c r="D60" s="8" t="str">
        <f aca="false">TEXT(Estimates!AH5,"0.000")&amp;IF(Estimates!AK5="","",IF(Estimates!AK5&lt;0.01,"***",IF(Estimates!AK5&lt;0.05,"**",IF(Estimates!AK5&lt;0.1,"*",""))))</f>
        <v>-0.004</v>
      </c>
      <c r="E60" s="8" t="str">
        <f aca="false">TEXT(Estimates!AL5,"0.000")&amp;IF(Estimates!AO5="","",IF(Estimates!AO5&lt;0.01,"***",IF(Estimates!AO5&lt;0.05,"**",IF(Estimates!AO5&lt;0.1,"*",""))))</f>
        <v>0.012</v>
      </c>
      <c r="F60" s="8" t="str">
        <f aca="false">TEXT(Estimates!AP5,"0.000")&amp;IF(Estimates!AS5="","",IF(Estimates!AS5&lt;0.01,"***",IF(Estimates!AS5&lt;0.05,"**",IF(Estimates!AS5&lt;0.1,"*",""))))</f>
        <v>-0.041</v>
      </c>
      <c r="G60" s="8" t="str">
        <f aca="false">TEXT(Estimates!AT5,"0.000")&amp;IF(Estimates!AW5="","",IF(Estimates!AW5&lt;0.01,"***",IF(Estimates!AW5&lt;0.05,"**",IF(Estimates!AW5&lt;0.1,"*",""))))</f>
        <v>-0.012</v>
      </c>
    </row>
    <row r="61" customFormat="false" ht="15" hidden="false" customHeight="false" outlineLevel="0" collapsed="false">
      <c r="B61" s="8" t="str">
        <f aca="false">IF(Estimates!AB5="","(n/a)","("&amp;TEXT(Estimates!AB5,"0.00")&amp;")")</f>
        <v>(0.96)</v>
      </c>
      <c r="C61" s="8" t="str">
        <f aca="false">IF(Estimates!AF5="","(n/a)","("&amp;TEXT(Estimates!AF5,"0.00")&amp;")")</f>
        <v>(0.67)</v>
      </c>
      <c r="D61" s="8" t="str">
        <f aca="false">IF(Estimates!AJ5="","(n/a)","("&amp;TEXT(Estimates!AJ5,"0.00")&amp;")")</f>
        <v>(-0.13)</v>
      </c>
      <c r="E61" s="8" t="str">
        <f aca="false">IF(Estimates!AN5="","(n/a)","("&amp;TEXT(Estimates!AN5,"0.00")&amp;")")</f>
        <v>(0.23)</v>
      </c>
      <c r="F61" s="8" t="str">
        <f aca="false">IF(Estimates!AR5="","(n/a)","("&amp;TEXT(Estimates!AR5,"0.00")&amp;")")</f>
        <v>(-1.10)</v>
      </c>
      <c r="G61" s="8" t="str">
        <f aca="false">IF(Estimates!AV5="","(n/a)","("&amp;TEXT(Estimates!AV5,"0.00")&amp;")")</f>
        <v>(-0.27)</v>
      </c>
    </row>
    <row r="62" customFormat="false" ht="15" hidden="false" customHeight="false" outlineLevel="0" collapsed="false">
      <c r="A62" s="7" t="s">
        <v>11</v>
      </c>
      <c r="B62" s="8" t="str">
        <f aca="false">TEXT(Estimates!Z6,"0.000")&amp;IF(Estimates!AC6="","",IF(Estimates!AC6&lt;0.01,"***",IF(Estimates!AC6&lt;0.05,"**",IF(Estimates!AC6&lt;0.1,"*",""))))</f>
        <v>0.107</v>
      </c>
      <c r="C62" s="8" t="str">
        <f aca="false">TEXT(Estimates!AD6,"0.000")&amp;IF(Estimates!AG6="","",IF(Estimates!AG6&lt;0.01,"***",IF(Estimates!AG6&lt;0.05,"**",IF(Estimates!AG6&lt;0.1,"*",""))))</f>
        <v>0.084</v>
      </c>
      <c r="D62" s="8" t="str">
        <f aca="false">TEXT(Estimates!AH6,"0.000")&amp;IF(Estimates!AK6="","",IF(Estimates!AK6&lt;0.01,"***",IF(Estimates!AK6&lt;0.05,"**",IF(Estimates!AK6&lt;0.1,"*",""))))</f>
        <v>-0.905</v>
      </c>
      <c r="E62" s="8" t="str">
        <f aca="false">TEXT(Estimates!AL6,"0.000")&amp;IF(Estimates!AO6="","",IF(Estimates!AO6&lt;0.01,"***",IF(Estimates!AO6&lt;0.05,"**",IF(Estimates!AO6&lt;0.1,"*",""))))</f>
        <v>0.351</v>
      </c>
      <c r="F62" s="8" t="str">
        <f aca="false">TEXT(Estimates!AP6,"0.000")&amp;IF(Estimates!AS6="","",IF(Estimates!AS6&lt;0.01,"***",IF(Estimates!AS6&lt;0.05,"**",IF(Estimates!AS6&lt;0.1,"*",""))))</f>
        <v>-0.044</v>
      </c>
      <c r="G62" s="8" t="str">
        <f aca="false">TEXT(Estimates!AT6,"0.000")&amp;IF(Estimates!AW6="","",IF(Estimates!AW6&lt;0.01,"***",IF(Estimates!AW6&lt;0.05,"**",IF(Estimates!AW6&lt;0.1,"*",""))))</f>
        <v>1.652</v>
      </c>
    </row>
    <row r="63" customFormat="false" ht="15" hidden="false" customHeight="false" outlineLevel="0" collapsed="false">
      <c r="B63" s="8" t="str">
        <f aca="false">IF(Estimates!AB6="","(n/a)","("&amp;TEXT(Estimates!AB6,"0.00")&amp;")")</f>
        <v>(1.17)</v>
      </c>
      <c r="C63" s="8" t="str">
        <f aca="false">IF(Estimates!AF6="","(n/a)","("&amp;TEXT(Estimates!AF6,"0.00")&amp;")")</f>
        <v>(0.77)</v>
      </c>
      <c r="D63" s="8" t="str">
        <f aca="false">IF(Estimates!AJ6="","(n/a)","("&amp;TEXT(Estimates!AJ6,"0.00")&amp;")")</f>
        <v>(-0.77)</v>
      </c>
      <c r="E63" s="8" t="str">
        <f aca="false">IF(Estimates!AN6="","(n/a)","("&amp;TEXT(Estimates!AN6,"0.00")&amp;")")</f>
        <v>(0.34)</v>
      </c>
      <c r="F63" s="8" t="str">
        <f aca="false">IF(Estimates!AR6="","(n/a)","("&amp;TEXT(Estimates!AR6,"0.00")&amp;")")</f>
        <v>(-0.02)</v>
      </c>
      <c r="G63" s="8" t="str">
        <f aca="false">IF(Estimates!AV6="","(n/a)","("&amp;TEXT(Estimates!AV6,"0.00")&amp;")")</f>
        <v>(1.53)</v>
      </c>
    </row>
    <row r="64" customFormat="false" ht="15" hidden="false" customHeight="false" outlineLevel="0" collapsed="false">
      <c r="A64" s="7" t="s">
        <v>12</v>
      </c>
      <c r="B64" s="8" t="str">
        <f aca="false">TEXT(Estimates!Z7,"0.000")&amp;IF(Estimates!AC7="","",IF(Estimates!AC7&lt;0.01,"***",IF(Estimates!AC7&lt;0.05,"**",IF(Estimates!AC7&lt;0.1,"*",""))))</f>
        <v>-0.010</v>
      </c>
      <c r="C64" s="8" t="str">
        <f aca="false">TEXT(Estimates!AD7,"0.000")&amp;IF(Estimates!AG7="","",IF(Estimates!AG7&lt;0.01,"***",IF(Estimates!AG7&lt;0.05,"**",IF(Estimates!AG7&lt;0.1,"*",""))))</f>
        <v>-0.006</v>
      </c>
      <c r="D64" s="8" t="str">
        <f aca="false">TEXT(Estimates!AH7,"0.000")&amp;IF(Estimates!AK7="","",IF(Estimates!AK7&lt;0.01,"***",IF(Estimates!AK7&lt;0.05,"**",IF(Estimates!AK7&lt;0.1,"*",""))))</f>
        <v>-0.016</v>
      </c>
      <c r="E64" s="8" t="str">
        <f aca="false">TEXT(Estimates!AL7,"0.000")&amp;IF(Estimates!AO7="","",IF(Estimates!AO7&lt;0.01,"***",IF(Estimates!AO7&lt;0.05,"**",IF(Estimates!AO7&lt;0.1,"*",""))))</f>
        <v>-0.010</v>
      </c>
      <c r="F64" s="8" t="str">
        <f aca="false">TEXT(Estimates!AP7,"0.000")&amp;IF(Estimates!AS7="","",IF(Estimates!AS7&lt;0.01,"***",IF(Estimates!AS7&lt;0.05,"**",IF(Estimates!AS7&lt;0.1,"*",""))))</f>
        <v>-0.022</v>
      </c>
      <c r="G64" s="8" t="str">
        <f aca="false">TEXT(Estimates!AT7,"0.000")&amp;IF(Estimates!AW7="","",IF(Estimates!AW7&lt;0.01,"***",IF(Estimates!AW7&lt;0.05,"**",IF(Estimates!AW7&lt;0.1,"*",""))))</f>
        <v>-0.045</v>
      </c>
    </row>
    <row r="65" customFormat="false" ht="15" hidden="false" customHeight="false" outlineLevel="0" collapsed="false">
      <c r="B65" s="8" t="str">
        <f aca="false">IF(Estimates!AB7="","(n/a)","("&amp;TEXT(Estimates!AB7,"0.00")&amp;")")</f>
        <v>(-0.98)</v>
      </c>
      <c r="C65" s="8" t="str">
        <f aca="false">IF(Estimates!AF7="","(n/a)","("&amp;TEXT(Estimates!AF7,"0.00")&amp;")")</f>
        <v>(-0.55)</v>
      </c>
      <c r="D65" s="8" t="str">
        <f aca="false">IF(Estimates!AJ7="","(n/a)","("&amp;TEXT(Estimates!AJ7,"0.00")&amp;")")</f>
        <v>(-0.49)</v>
      </c>
      <c r="E65" s="8" t="str">
        <f aca="false">IF(Estimates!AN7="","(n/a)","("&amp;TEXT(Estimates!AN7,"0.00")&amp;")")</f>
        <v>(-0.35)</v>
      </c>
      <c r="F65" s="8" t="str">
        <f aca="false">IF(Estimates!AR7="","(n/a)","("&amp;TEXT(Estimates!AR7,"0.00")&amp;")")</f>
        <v>(-0.62)</v>
      </c>
      <c r="G65" s="8" t="str">
        <f aca="false">IF(Estimates!AV7="","(n/a)","("&amp;TEXT(Estimates!AV7,"0.00")&amp;")")</f>
        <v>(-1.26)</v>
      </c>
    </row>
    <row r="66" customFormat="false" ht="15" hidden="false" customHeight="false" outlineLevel="0" collapsed="false">
      <c r="A66" s="7" t="s">
        <v>13</v>
      </c>
      <c r="B66" s="8" t="str">
        <f aca="false">TEXT(Estimates!Z8,"0.000")&amp;IF(Estimates!AC8="","",IF(Estimates!AC8&lt;0.01,"***",IF(Estimates!AC8&lt;0.05,"**",IF(Estimates!AC8&lt;0.1,"*",""))))</f>
        <v>-0.300</v>
      </c>
      <c r="C66" s="8" t="str">
        <f aca="false">TEXT(Estimates!AD8,"0.000")&amp;IF(Estimates!AG8="","",IF(Estimates!AG8&lt;0.01,"***",IF(Estimates!AG8&lt;0.05,"**",IF(Estimates!AG8&lt;0.1,"*",""))))</f>
        <v>-0.182</v>
      </c>
      <c r="D66" s="8" t="str">
        <f aca="false">TEXT(Estimates!AH8,"0.000")&amp;IF(Estimates!AK8="","",IF(Estimates!AK8&lt;0.01,"***",IF(Estimates!AK8&lt;0.05,"**",IF(Estimates!AK8&lt;0.1,"*",""))))</f>
        <v>-0.527</v>
      </c>
      <c r="E66" s="8" t="str">
        <f aca="false">TEXT(Estimates!AL8,"0.000")&amp;IF(Estimates!AO8="","",IF(Estimates!AO8&lt;0.01,"***",IF(Estimates!AO8&lt;0.05,"**",IF(Estimates!AO8&lt;0.1,"*",""))))</f>
        <v>-0.561</v>
      </c>
      <c r="F66" s="8" t="str">
        <f aca="false">TEXT(Estimates!AP8,"0.000")&amp;IF(Estimates!AS8="","",IF(Estimates!AS8&lt;0.01,"***",IF(Estimates!AS8&lt;0.05,"**",IF(Estimates!AS8&lt;0.1,"*",""))))</f>
        <v>-0.740</v>
      </c>
      <c r="G66" s="8" t="str">
        <f aca="false">TEXT(Estimates!AT8,"0.000")&amp;IF(Estimates!AW8="","",IF(Estimates!AW8&lt;0.01,"***",IF(Estimates!AW8&lt;0.05,"**",IF(Estimates!AW8&lt;0.1,"*",""))))</f>
        <v>-1.190*</v>
      </c>
    </row>
    <row r="67" customFormat="false" ht="15" hidden="false" customHeight="false" outlineLevel="0" collapsed="false">
      <c r="B67" s="8" t="str">
        <f aca="false">IF(Estimates!AB8="","(n/a)","("&amp;TEXT(Estimates!AB8,"0.00")&amp;")")</f>
        <v>(-1.32)</v>
      </c>
      <c r="C67" s="8" t="str">
        <f aca="false">IF(Estimates!AF8="","(n/a)","("&amp;TEXT(Estimates!AF8,"0.00")&amp;")")</f>
        <v>(-0.90)</v>
      </c>
      <c r="D67" s="8" t="str">
        <f aca="false">IF(Estimates!AJ8="","(n/a)","("&amp;TEXT(Estimates!AJ8,"0.00")&amp;")")</f>
        <v>(-1.09)</v>
      </c>
      <c r="E67" s="8" t="str">
        <f aca="false">IF(Estimates!AN8="","(n/a)","("&amp;TEXT(Estimates!AN8,"0.00")&amp;")")</f>
        <v>(-1.02)</v>
      </c>
      <c r="F67" s="8" t="str">
        <f aca="false">IF(Estimates!AR8="","(n/a)","("&amp;TEXT(Estimates!AR8,"0.00")&amp;")")</f>
        <v>(-1.51)</v>
      </c>
      <c r="G67" s="8" t="str">
        <f aca="false">IF(Estimates!AV8="","(n/a)","("&amp;TEXT(Estimates!AV8,"0.00")&amp;")")</f>
        <v>(-1.84)</v>
      </c>
    </row>
    <row r="68" customFormat="false" ht="15" hidden="false" customHeight="false" outlineLevel="0" collapsed="false">
      <c r="A68" s="7" t="s">
        <v>14</v>
      </c>
      <c r="B68" s="8" t="str">
        <f aca="false">TEXT(Estimates!Z9,"0.000")&amp;IF(Estimates!AC9="","",IF(Estimates!AC9&lt;0.01,"***",IF(Estimates!AC9&lt;0.05,"**",IF(Estimates!AC9&lt;0.1,"*",""))))</f>
        <v>-0.294</v>
      </c>
      <c r="C68" s="8" t="str">
        <f aca="false">TEXT(Estimates!AD9,"0.000")&amp;IF(Estimates!AG9="","",IF(Estimates!AG9&lt;0.01,"***",IF(Estimates!AG9&lt;0.05,"**",IF(Estimates!AG9&lt;0.1,"*",""))))</f>
        <v>-0.170</v>
      </c>
      <c r="D68" s="8" t="str">
        <f aca="false">TEXT(Estimates!AH9,"0.000")&amp;IF(Estimates!AK9="","",IF(Estimates!AK9&lt;0.01,"***",IF(Estimates!AK9&lt;0.05,"**",IF(Estimates!AK9&lt;0.1,"*",""))))</f>
        <v>-0.501</v>
      </c>
      <c r="E68" s="8" t="str">
        <f aca="false">TEXT(Estimates!AL9,"0.000")&amp;IF(Estimates!AO9="","",IF(Estimates!AO9&lt;0.01,"***",IF(Estimates!AO9&lt;0.05,"**",IF(Estimates!AO9&lt;0.1,"*",""))))</f>
        <v>-0.511</v>
      </c>
      <c r="F68" s="8" t="str">
        <f aca="false">TEXT(Estimates!AP9,"0.000")&amp;IF(Estimates!AS9="","",IF(Estimates!AS9&lt;0.01,"***",IF(Estimates!AS9&lt;0.05,"**",IF(Estimates!AS9&lt;0.1,"*",""))))</f>
        <v>-0.687</v>
      </c>
      <c r="G68" s="8" t="str">
        <f aca="false">TEXT(Estimates!AT9,"0.000")&amp;IF(Estimates!AW9="","",IF(Estimates!AW9&lt;0.01,"***",IF(Estimates!AW9&lt;0.05,"**",IF(Estimates!AW9&lt;0.1,"*",""))))</f>
        <v>-1.173*</v>
      </c>
    </row>
    <row r="69" customFormat="false" ht="15" hidden="false" customHeight="false" outlineLevel="0" collapsed="false">
      <c r="B69" s="8" t="str">
        <f aca="false">IF(Estimates!AB9="","(n/a)","("&amp;TEXT(Estimates!AB9,"0.00")&amp;")")</f>
        <v>(-1.29)</v>
      </c>
      <c r="C69" s="8" t="str">
        <f aca="false">IF(Estimates!AF9="","(n/a)","("&amp;TEXT(Estimates!AF9,"0.00")&amp;")")</f>
        <v>(-0.91)</v>
      </c>
      <c r="D69" s="8" t="str">
        <f aca="false">IF(Estimates!AJ9="","(n/a)","("&amp;TEXT(Estimates!AJ9,"0.00")&amp;")")</f>
        <v>(-1.12)</v>
      </c>
      <c r="E69" s="8" t="str">
        <f aca="false">IF(Estimates!AN9="","(n/a)","("&amp;TEXT(Estimates!AN9,"0.00")&amp;")")</f>
        <v>(-0.97)</v>
      </c>
      <c r="F69" s="8" t="str">
        <f aca="false">IF(Estimates!AR9="","(n/a)","("&amp;TEXT(Estimates!AR9,"0.00")&amp;")")</f>
        <v>(-1.45)</v>
      </c>
      <c r="G69" s="8" t="str">
        <f aca="false">IF(Estimates!AV9="","(n/a)","("&amp;TEXT(Estimates!AV9,"0.00")&amp;")")</f>
        <v>(-1.83)</v>
      </c>
    </row>
    <row r="70" customFormat="false" ht="15" hidden="false" customHeight="false" outlineLevel="0" collapsed="false">
      <c r="A70" s="7" t="s">
        <v>15</v>
      </c>
      <c r="B70" s="8" t="str">
        <f aca="false">TEXT(Estimates!Z10,"0.000")&amp;IF(Estimates!AC10="","",IF(Estimates!AC10&lt;0.01,"***",IF(Estimates!AC10&lt;0.05,"**",IF(Estimates!AC10&lt;0.1,"*",""))))</f>
        <v>-0.338</v>
      </c>
      <c r="C70" s="8" t="str">
        <f aca="false">TEXT(Estimates!AD10,"0.000")&amp;IF(Estimates!AG10="","",IF(Estimates!AG10&lt;0.01,"***",IF(Estimates!AG10&lt;0.05,"**",IF(Estimates!AG10&lt;0.1,"*",""))))</f>
        <v>-0.204</v>
      </c>
      <c r="D70" s="8" t="str">
        <f aca="false">TEXT(Estimates!AH10,"0.000")&amp;IF(Estimates!AK10="","",IF(Estimates!AK10&lt;0.01,"***",IF(Estimates!AK10&lt;0.05,"**",IF(Estimates!AK10&lt;0.1,"*",""))))</f>
        <v>-0.513</v>
      </c>
      <c r="E70" s="8" t="str">
        <f aca="false">TEXT(Estimates!AL10,"0.000")&amp;IF(Estimates!AO10="","",IF(Estimates!AO10&lt;0.01,"***",IF(Estimates!AO10&lt;0.05,"**",IF(Estimates!AO10&lt;0.1,"*",""))))</f>
        <v>-0.471</v>
      </c>
      <c r="F70" s="8" t="str">
        <f aca="false">TEXT(Estimates!AP10,"0.000")&amp;IF(Estimates!AS10="","",IF(Estimates!AS10&lt;0.01,"***",IF(Estimates!AS10&lt;0.05,"**",IF(Estimates!AS10&lt;0.1,"*",""))))</f>
        <v>-0.646</v>
      </c>
      <c r="G70" s="8" t="str">
        <f aca="false">TEXT(Estimates!AT10,"0.000")&amp;IF(Estimates!AW10="","",IF(Estimates!AW10&lt;0.01,"***",IF(Estimates!AW10&lt;0.05,"**",IF(Estimates!AW10&lt;0.1,"*",""))))</f>
        <v>-1.419*</v>
      </c>
    </row>
    <row r="71" customFormat="false" ht="15" hidden="false" customHeight="false" outlineLevel="0" collapsed="false">
      <c r="B71" s="8" t="str">
        <f aca="false">IF(Estimates!AB10="","(n/a)","("&amp;TEXT(Estimates!AB10,"0.00")&amp;")")</f>
        <v>(-1.44)</v>
      </c>
      <c r="C71" s="8" t="str">
        <f aca="false">IF(Estimates!AF10="","(n/a)","("&amp;TEXT(Estimates!AF10,"0.00")&amp;")")</f>
        <v>(-1.09)</v>
      </c>
      <c r="D71" s="8" t="str">
        <f aca="false">IF(Estimates!AJ10="","(n/a)","("&amp;TEXT(Estimates!AJ10,"0.00")&amp;")")</f>
        <v>(-1.01)</v>
      </c>
      <c r="E71" s="8" t="str">
        <f aca="false">IF(Estimates!AN10="","(n/a)","("&amp;TEXT(Estimates!AN10,"0.00")&amp;")")</f>
        <v>(-0.94)</v>
      </c>
      <c r="F71" s="8" t="str">
        <f aca="false">IF(Estimates!AR10="","(n/a)","("&amp;TEXT(Estimates!AR10,"0.00")&amp;")")</f>
        <v>(-1.12)</v>
      </c>
      <c r="G71" s="8" t="str">
        <f aca="false">IF(Estimates!AV10="","(n/a)","("&amp;TEXT(Estimates!AV10,"0.00")&amp;")")</f>
        <v>(-1.91)</v>
      </c>
    </row>
    <row r="72" customFormat="false" ht="15" hidden="false" customHeight="false" outlineLevel="0" collapsed="false">
      <c r="A72" s="7" t="s">
        <v>16</v>
      </c>
      <c r="B72" s="8" t="str">
        <f aca="false">TEXT(Estimates!Z11,"0.000")&amp;IF(Estimates!AC11="","",IF(Estimates!AC11&lt;0.01,"***",IF(Estimates!AC11&lt;0.05,"**",IF(Estimates!AC11&lt;0.1,"*",""))))</f>
        <v>-0.348</v>
      </c>
      <c r="C72" s="8" t="str">
        <f aca="false">TEXT(Estimates!AD11,"0.000")&amp;IF(Estimates!AG11="","",IF(Estimates!AG11&lt;0.01,"***",IF(Estimates!AG11&lt;0.05,"**",IF(Estimates!AG11&lt;0.1,"*",""))))</f>
        <v>-0.188</v>
      </c>
      <c r="D72" s="8" t="str">
        <f aca="false">TEXT(Estimates!AH11,"0.000")&amp;IF(Estimates!AK11="","",IF(Estimates!AK11&lt;0.01,"***",IF(Estimates!AK11&lt;0.05,"**",IF(Estimates!AK11&lt;0.1,"*",""))))</f>
        <v>-0.544</v>
      </c>
      <c r="E72" s="8" t="str">
        <f aca="false">TEXT(Estimates!AL11,"0.000")&amp;IF(Estimates!AO11="","",IF(Estimates!AO11&lt;0.01,"***",IF(Estimates!AO11&lt;0.05,"**",IF(Estimates!AO11&lt;0.1,"*",""))))</f>
        <v>-0.486</v>
      </c>
      <c r="F72" s="8" t="str">
        <f aca="false">TEXT(Estimates!AP11,"0.000")&amp;IF(Estimates!AS11="","",IF(Estimates!AS11&lt;0.01,"***",IF(Estimates!AS11&lt;0.05,"**",IF(Estimates!AS11&lt;0.1,"*",""))))</f>
        <v>-0.735</v>
      </c>
      <c r="G72" s="8" t="str">
        <f aca="false">TEXT(Estimates!AT11,"0.000")&amp;IF(Estimates!AW11="","",IF(Estimates!AW11&lt;0.01,"***",IF(Estimates!AW11&lt;0.05,"**",IF(Estimates!AW11&lt;0.1,"*",""))))</f>
        <v>-1.037*</v>
      </c>
    </row>
    <row r="73" customFormat="false" ht="15" hidden="false" customHeight="false" outlineLevel="0" collapsed="false">
      <c r="B73" s="8" t="str">
        <f aca="false">IF(Estimates!AB11="","(n/a)","("&amp;TEXT(Estimates!AB11,"0.00")&amp;")")</f>
        <v>(-1.45)</v>
      </c>
      <c r="C73" s="8" t="str">
        <f aca="false">IF(Estimates!AF11="","(n/a)","("&amp;TEXT(Estimates!AF11,"0.00")&amp;")")</f>
        <v>(-0.95)</v>
      </c>
      <c r="D73" s="8" t="str">
        <f aca="false">IF(Estimates!AJ11="","(n/a)","("&amp;TEXT(Estimates!AJ11,"0.00")&amp;")")</f>
        <v>(-1.22)</v>
      </c>
      <c r="E73" s="8" t="str">
        <f aca="false">IF(Estimates!AN11="","(n/a)","("&amp;TEXT(Estimates!AN11,"0.00")&amp;")")</f>
        <v>(-0.94)</v>
      </c>
      <c r="F73" s="8" t="str">
        <f aca="false">IF(Estimates!AR11="","(n/a)","("&amp;TEXT(Estimates!AR11,"0.00")&amp;")")</f>
        <v>(-1.66)</v>
      </c>
      <c r="G73" s="8" t="str">
        <f aca="false">IF(Estimates!AV11="","(n/a)","("&amp;TEXT(Estimates!AV11,"0.00")&amp;")")</f>
        <v>(-1.88)</v>
      </c>
    </row>
    <row r="74" customFormat="false" ht="15" hidden="false" customHeight="false" outlineLevel="0" collapsed="false">
      <c r="A74" s="7" t="s">
        <v>17</v>
      </c>
      <c r="B74" s="8" t="str">
        <f aca="false">TEXT(Estimates!Z12,"0.000")&amp;IF(Estimates!AC12="","",IF(Estimates!AC12&lt;0.01,"***",IF(Estimates!AC12&lt;0.05,"**",IF(Estimates!AC12&lt;0.1,"*",""))))</f>
        <v>-0.253</v>
      </c>
      <c r="C74" s="8" t="str">
        <f aca="false">TEXT(Estimates!AD12,"0.000")&amp;IF(Estimates!AG12="","",IF(Estimates!AG12&lt;0.01,"***",IF(Estimates!AG12&lt;0.05,"**",IF(Estimates!AG12&lt;0.1,"*",""))))</f>
        <v>-0.154</v>
      </c>
      <c r="D74" s="8" t="str">
        <f aca="false">TEXT(Estimates!AH12,"0.000")&amp;IF(Estimates!AK12="","",IF(Estimates!AK12&lt;0.01,"***",IF(Estimates!AK12&lt;0.05,"**",IF(Estimates!AK12&lt;0.1,"*",""))))</f>
        <v>-0.491</v>
      </c>
      <c r="E74" s="8" t="str">
        <f aca="false">TEXT(Estimates!AL12,"0.000")&amp;IF(Estimates!AO12="","",IF(Estimates!AO12&lt;0.01,"***",IF(Estimates!AO12&lt;0.05,"**",IF(Estimates!AO12&lt;0.1,"*",""))))</f>
        <v>-0.560</v>
      </c>
      <c r="F74" s="8" t="str">
        <f aca="false">TEXT(Estimates!AP12,"0.000")&amp;IF(Estimates!AS12="","",IF(Estimates!AS12&lt;0.01,"***",IF(Estimates!AS12&lt;0.05,"**",IF(Estimates!AS12&lt;0.1,"*",""))))</f>
        <v>-0.694</v>
      </c>
      <c r="G74" s="8" t="str">
        <f aca="false">TEXT(Estimates!AT12,"0.000")&amp;IF(Estimates!AW12="","",IF(Estimates!AW12&lt;0.01,"***",IF(Estimates!AW12&lt;0.05,"**",IF(Estimates!AW12&lt;0.1,"*",""))))</f>
        <v>-1.243*</v>
      </c>
    </row>
    <row r="75" customFormat="false" ht="15" hidden="false" customHeight="false" outlineLevel="0" collapsed="false">
      <c r="B75" s="8" t="str">
        <f aca="false">IF(Estimates!AB12="","(n/a)","("&amp;TEXT(Estimates!AB12,"0.00")&amp;")")</f>
        <v>(-1.11)</v>
      </c>
      <c r="C75" s="8" t="str">
        <f aca="false">IF(Estimates!AF12="","(n/a)","("&amp;TEXT(Estimates!AF12,"0.00")&amp;")")</f>
        <v>(-0.82)</v>
      </c>
      <c r="D75" s="8" t="str">
        <f aca="false">IF(Estimates!AJ12="","(n/a)","("&amp;TEXT(Estimates!AJ12,"0.00")&amp;")")</f>
        <v>(-1.08)</v>
      </c>
      <c r="E75" s="8" t="str">
        <f aca="false">IF(Estimates!AN12="","(n/a)","("&amp;TEXT(Estimates!AN12,"0.00")&amp;")")</f>
        <v>(-1.08)</v>
      </c>
      <c r="F75" s="8" t="str">
        <f aca="false">IF(Estimates!AR12="","(n/a)","("&amp;TEXT(Estimates!AR12,"0.00")&amp;")")</f>
        <v>(-1.45)</v>
      </c>
      <c r="G75" s="8" t="str">
        <f aca="false">IF(Estimates!AV12="","(n/a)","("&amp;TEXT(Estimates!AV12,"0.00")&amp;")")</f>
        <v>(-1.94)</v>
      </c>
    </row>
    <row r="76" customFormat="false" ht="15" hidden="false" customHeight="false" outlineLevel="0" collapsed="false">
      <c r="A76" s="7" t="s">
        <v>18</v>
      </c>
      <c r="B76" s="8" t="str">
        <f aca="false">TEXT(Estimates!Z13,"0.000")&amp;IF(Estimates!AC13="","",IF(Estimates!AC13&lt;0.01,"***",IF(Estimates!AC13&lt;0.05,"**",IF(Estimates!AC13&lt;0.1,"*",""))))</f>
        <v>-0.314</v>
      </c>
      <c r="C76" s="8" t="str">
        <f aca="false">TEXT(Estimates!AD13,"0.000")&amp;IF(Estimates!AG13="","",IF(Estimates!AG13&lt;0.01,"***",IF(Estimates!AG13&lt;0.05,"**",IF(Estimates!AG13&lt;0.1,"*",""))))</f>
        <v>-0.166</v>
      </c>
      <c r="D76" s="8" t="str">
        <f aca="false">TEXT(Estimates!AH13,"0.000")&amp;IF(Estimates!AK13="","",IF(Estimates!AK13&lt;0.01,"***",IF(Estimates!AK13&lt;0.05,"**",IF(Estimates!AK13&lt;0.1,"*",""))))</f>
        <v>-0.263</v>
      </c>
      <c r="E76" s="8" t="str">
        <f aca="false">TEXT(Estimates!AL13,"0.000")&amp;IF(Estimates!AO13="","",IF(Estimates!AO13&lt;0.01,"***",IF(Estimates!AO13&lt;0.05,"**",IF(Estimates!AO13&lt;0.1,"*",""))))</f>
        <v>-0.013</v>
      </c>
      <c r="F76" s="8" t="str">
        <f aca="false">TEXT(Estimates!AP13,"0.000")&amp;IF(Estimates!AS13="","",IF(Estimates!AS13&lt;0.01,"***",IF(Estimates!AS13&lt;0.05,"**",IF(Estimates!AS13&lt;0.1,"*",""))))</f>
        <v>-0.222</v>
      </c>
      <c r="G76" s="8" t="str">
        <f aca="false">TEXT(Estimates!AT13,"0.000")&amp;IF(Estimates!AW13="","",IF(Estimates!AW13&lt;0.01,"***",IF(Estimates!AW13&lt;0.05,"**",IF(Estimates!AW13&lt;0.1,"*",""))))</f>
        <v>-0.618</v>
      </c>
    </row>
    <row r="77" customFormat="false" ht="15" hidden="false" customHeight="false" outlineLevel="0" collapsed="false">
      <c r="B77" s="8" t="str">
        <f aca="false">IF(Estimates!AB13="","(n/a)","("&amp;TEXT(Estimates!AB13,"0.00")&amp;")")</f>
        <v>(-1.35)</v>
      </c>
      <c r="C77" s="8" t="str">
        <f aca="false">IF(Estimates!AF13="","(n/a)","("&amp;TEXT(Estimates!AF13,"0.00")&amp;")")</f>
        <v>(-0.82)</v>
      </c>
      <c r="D77" s="8" t="str">
        <f aca="false">IF(Estimates!AJ13="","(n/a)","("&amp;TEXT(Estimates!AJ13,"0.00")&amp;")")</f>
        <v>(-0.49)</v>
      </c>
      <c r="E77" s="8" t="str">
        <f aca="false">IF(Estimates!AN13="","(n/a)","("&amp;TEXT(Estimates!AN13,"0.00")&amp;")")</f>
        <v>(-0.01)</v>
      </c>
      <c r="F77" s="8" t="str">
        <f aca="false">IF(Estimates!AR13="","(n/a)","("&amp;TEXT(Estimates!AR13,"0.00")&amp;")")</f>
        <v>(-0.31)</v>
      </c>
      <c r="G77" s="8" t="str">
        <f aca="false">IF(Estimates!AV13="","(n/a)","("&amp;TEXT(Estimates!AV13,"0.00")&amp;")")</f>
        <v>(-0.60)</v>
      </c>
    </row>
    <row r="78" customFormat="false" ht="15" hidden="false" customHeight="false" outlineLevel="0" collapsed="false">
      <c r="A78" s="7" t="s">
        <v>19</v>
      </c>
      <c r="B78" s="8" t="str">
        <f aca="false">TEXT(Estimates!Z14,"0.000")&amp;IF(Estimates!AC14="","",IF(Estimates!AC14&lt;0.01,"***",IF(Estimates!AC14&lt;0.05,"**",IF(Estimates!AC14&lt;0.1,"*",""))))</f>
        <v>-0.482*</v>
      </c>
      <c r="C78" s="8" t="str">
        <f aca="false">TEXT(Estimates!AD14,"0.000")&amp;IF(Estimates!AG14="","",IF(Estimates!AG14&lt;0.01,"***",IF(Estimates!AG14&lt;0.05,"**",IF(Estimates!AG14&lt;0.1,"*",""))))</f>
        <v>-0.238</v>
      </c>
      <c r="D78" s="8" t="str">
        <f aca="false">TEXT(Estimates!AH14,"0.000")&amp;IF(Estimates!AK14="","",IF(Estimates!AK14&lt;0.01,"***",IF(Estimates!AK14&lt;0.05,"**",IF(Estimates!AK14&lt;0.1,"*",""))))</f>
        <v>-0.468</v>
      </c>
      <c r="E78" s="8" t="str">
        <f aca="false">TEXT(Estimates!AL14,"0.000")&amp;IF(Estimates!AO14="","",IF(Estimates!AO14&lt;0.01,"***",IF(Estimates!AO14&lt;0.05,"**",IF(Estimates!AO14&lt;0.1,"*",""))))</f>
        <v>-0.440</v>
      </c>
      <c r="F78" s="8" t="str">
        <f aca="false">TEXT(Estimates!AP14,"0.000")&amp;IF(Estimates!AS14="","",IF(Estimates!AS14&lt;0.01,"***",IF(Estimates!AS14&lt;0.05,"**",IF(Estimates!AS14&lt;0.1,"*",""))))</f>
        <v>-0.586</v>
      </c>
      <c r="G78" s="8" t="str">
        <f aca="false">TEXT(Estimates!AT14,"0.000")&amp;IF(Estimates!AW14="","",IF(Estimates!AW14&lt;0.01,"***",IF(Estimates!AW14&lt;0.05,"**",IF(Estimates!AW14&lt;0.1,"*",""))))</f>
        <v>-0.909</v>
      </c>
    </row>
    <row r="79" customFormat="false" ht="15" hidden="false" customHeight="false" outlineLevel="0" collapsed="false">
      <c r="B79" s="8" t="str">
        <f aca="false">IF(Estimates!AB14="","(n/a)","("&amp;TEXT(Estimates!AB14,"0.00")&amp;")")</f>
        <v>(-1.74)</v>
      </c>
      <c r="C79" s="8" t="str">
        <f aca="false">IF(Estimates!AF14="","(n/a)","("&amp;TEXT(Estimates!AF14,"0.00")&amp;")")</f>
        <v>(-1.07)</v>
      </c>
      <c r="D79" s="8" t="str">
        <f aca="false">IF(Estimates!AJ14="","(n/a)","("&amp;TEXT(Estimates!AJ14,"0.00")&amp;")")</f>
        <v>(-0.93)</v>
      </c>
      <c r="E79" s="8" t="str">
        <f aca="false">IF(Estimates!AN14="","(n/a)","("&amp;TEXT(Estimates!AN14,"0.00")&amp;")")</f>
        <v>(-0.80)</v>
      </c>
      <c r="F79" s="8" t="str">
        <f aca="false">IF(Estimates!AR14="","(n/a)","("&amp;TEXT(Estimates!AR14,"0.00")&amp;")")</f>
        <v>(-1.16)</v>
      </c>
      <c r="G79" s="8" t="str">
        <f aca="false">IF(Estimates!AV14="","(n/a)","("&amp;TEXT(Estimates!AV14,"0.00")&amp;")")</f>
        <v>(-1.44)</v>
      </c>
    </row>
    <row r="80" customFormat="false" ht="15" hidden="false" customHeight="false" outlineLevel="0" collapsed="false">
      <c r="A80" s="7" t="s">
        <v>20</v>
      </c>
      <c r="B80" s="8" t="str">
        <f aca="false">TEXT(Estimates!Z15,"0.000")&amp;IF(Estimates!AC15="","",IF(Estimates!AC15&lt;0.01,"***",IF(Estimates!AC15&lt;0.05,"**",IF(Estimates!AC15&lt;0.1,"*",""))))</f>
        <v>-0.326</v>
      </c>
      <c r="C80" s="8" t="str">
        <f aca="false">TEXT(Estimates!AD15,"0.000")&amp;IF(Estimates!AG15="","",IF(Estimates!AG15&lt;0.01,"***",IF(Estimates!AG15&lt;0.05,"**",IF(Estimates!AG15&lt;0.1,"*",""))))</f>
        <v>-0.191</v>
      </c>
      <c r="D80" s="8" t="str">
        <f aca="false">TEXT(Estimates!AH15,"0.000")&amp;IF(Estimates!AK15="","",IF(Estimates!AK15&lt;0.01,"***",IF(Estimates!AK15&lt;0.05,"**",IF(Estimates!AK15&lt;0.1,"*",""))))</f>
        <v>-0.447</v>
      </c>
      <c r="E80" s="8" t="str">
        <f aca="false">TEXT(Estimates!AL15,"0.000")&amp;IF(Estimates!AO15="","",IF(Estimates!AO15&lt;0.01,"***",IF(Estimates!AO15&lt;0.05,"**",IF(Estimates!AO15&lt;0.1,"*",""))))</f>
        <v>-0.441</v>
      </c>
      <c r="F80" s="8" t="str">
        <f aca="false">TEXT(Estimates!AP15,"0.000")&amp;IF(Estimates!AS15="","",IF(Estimates!AS15&lt;0.01,"***",IF(Estimates!AS15&lt;0.05,"**",IF(Estimates!AS15&lt;0.1,"*",""))))</f>
        <v>-0.588</v>
      </c>
      <c r="G80" s="8" t="str">
        <f aca="false">TEXT(Estimates!AT15,"0.000")&amp;IF(Estimates!AW15="","",IF(Estimates!AW15&lt;0.01,"***",IF(Estimates!AW15&lt;0.05,"**",IF(Estimates!AW15&lt;0.1,"*",""))))</f>
        <v>-0.999</v>
      </c>
    </row>
    <row r="81" customFormat="false" ht="15" hidden="false" customHeight="false" outlineLevel="0" collapsed="false">
      <c r="B81" s="8" t="str">
        <f aca="false">IF(Estimates!AB15="","(n/a)","("&amp;TEXT(Estimates!AB15,"0.00")&amp;")")</f>
        <v>(-1.46)</v>
      </c>
      <c r="C81" s="8" t="str">
        <f aca="false">IF(Estimates!AF15="","(n/a)","("&amp;TEXT(Estimates!AF15,"0.00")&amp;")")</f>
        <v>(-0.94)</v>
      </c>
      <c r="D81" s="8" t="str">
        <f aca="false">IF(Estimates!AJ15="","(n/a)","("&amp;TEXT(Estimates!AJ15,"0.00")&amp;")")</f>
        <v>(-0.94)</v>
      </c>
      <c r="E81" s="8" t="str">
        <f aca="false">IF(Estimates!AN15="","(n/a)","("&amp;TEXT(Estimates!AN15,"0.00")&amp;")")</f>
        <v>(-0.82)</v>
      </c>
      <c r="F81" s="8" t="str">
        <f aca="false">IF(Estimates!AR15="","(n/a)","("&amp;TEXT(Estimates!AR15,"0.00")&amp;")")</f>
        <v>(-1.24)</v>
      </c>
      <c r="G81" s="8" t="str">
        <f aca="false">IF(Estimates!AV15="","(n/a)","("&amp;TEXT(Estimates!AV15,"0.00")&amp;")")</f>
        <v>(-1.59)</v>
      </c>
    </row>
    <row r="82" customFormat="false" ht="15" hidden="false" customHeight="false" outlineLevel="0" collapsed="false">
      <c r="A82" s="7" t="s">
        <v>21</v>
      </c>
      <c r="B82" s="8" t="str">
        <f aca="false">TEXT(Estimates!Z16,"0.000")&amp;IF(Estimates!AC16="","",IF(Estimates!AC16&lt;0.01,"***",IF(Estimates!AC16&lt;0.05,"**",IF(Estimates!AC16&lt;0.1,"*",""))))</f>
        <v>-0.185</v>
      </c>
      <c r="C82" s="8" t="str">
        <f aca="false">TEXT(Estimates!AD16,"0.000")&amp;IF(Estimates!AG16="","",IF(Estimates!AG16&lt;0.01,"***",IF(Estimates!AG16&lt;0.05,"**",IF(Estimates!AG16&lt;0.1,"*",""))))</f>
        <v>-0.291</v>
      </c>
      <c r="F82" s="8" t="str">
        <f aca="false">TEXT(Estimates!AP16,"0.000")&amp;IF(Estimates!AS16="","",IF(Estimates!AS16&lt;0.01,"***",IF(Estimates!AS16&lt;0.05,"**",IF(Estimates!AS16&lt;0.1,"*",""))))</f>
        <v>-2.013</v>
      </c>
    </row>
    <row r="83" customFormat="false" ht="15" hidden="false" customHeight="false" outlineLevel="0" collapsed="false">
      <c r="B83" s="8" t="str">
        <f aca="false">IF(Estimates!AB16="","(n/a)","("&amp;TEXT(Estimates!AB16,"0.00")&amp;")")</f>
        <v>(-0.43)</v>
      </c>
      <c r="C83" s="8" t="str">
        <f aca="false">IF(Estimates!AF16="","(n/a)","("&amp;TEXT(Estimates!AF16,"0.00")&amp;")")</f>
        <v>(-0.98)</v>
      </c>
      <c r="F83" s="8" t="str">
        <f aca="false">IF(Estimates!AR16="","(n/a)","("&amp;TEXT(Estimates!AR16,"0.00")&amp;")")</f>
        <v>(0.00)</v>
      </c>
    </row>
    <row r="84" customFormat="false" ht="15" hidden="false" customHeight="false" outlineLevel="0" collapsed="false">
      <c r="A84" s="7" t="s">
        <v>22</v>
      </c>
      <c r="C84" s="8" t="str">
        <f aca="false">TEXT(Estimates!AD17,"0.000")&amp;IF(Estimates!AG17="","",IF(Estimates!AG17&lt;0.01,"***",IF(Estimates!AG17&lt;0.05,"**",IF(Estimates!AG17&lt;0.1,"*",""))))</f>
        <v>0.222</v>
      </c>
      <c r="D84" s="8" t="str">
        <f aca="false">TEXT(Estimates!AH17,"0.000")&amp;IF(Estimates!AK17="","",IF(Estimates!AK17&lt;0.01,"***",IF(Estimates!AK17&lt;0.05,"**",IF(Estimates!AK17&lt;0.1,"*",""))))</f>
        <v>1.532</v>
      </c>
      <c r="E84" s="8" t="str">
        <f aca="false">TEXT(Estimates!AL17,"0.000")&amp;IF(Estimates!AO17="","",IF(Estimates!AO17&lt;0.01,"***",IF(Estimates!AO17&lt;0.05,"**",IF(Estimates!AO17&lt;0.1,"*",""))))</f>
        <v>4.118***</v>
      </c>
    </row>
    <row r="85" customFormat="false" ht="15" hidden="false" customHeight="false" outlineLevel="0" collapsed="false">
      <c r="C85" s="8" t="str">
        <f aca="false">IF(Estimates!AF17="","(n/a)","("&amp;TEXT(Estimates!AF17,"0.00")&amp;")")</f>
        <v>(0.59)</v>
      </c>
      <c r="D85" s="8" t="str">
        <f aca="false">IF(Estimates!AJ17="","(n/a)","("&amp;TEXT(Estimates!AJ17,"0.00")&amp;")")</f>
        <v>(1.44)</v>
      </c>
      <c r="E85" s="8" t="str">
        <f aca="false">IF(Estimates!AN17="","(n/a)","("&amp;TEXT(Estimates!AN17,"0.00")&amp;")")</f>
        <v>(3.07)</v>
      </c>
    </row>
    <row r="86" customFormat="false" ht="15" hidden="false" customHeight="false" outlineLevel="0" collapsed="false">
      <c r="A86" s="7" t="s">
        <v>23</v>
      </c>
      <c r="C86" s="8" t="str">
        <f aca="false">TEXT(Estimates!AD18,"0.000")&amp;IF(Estimates!AG18="","",IF(Estimates!AG18&lt;0.01,"***",IF(Estimates!AG18&lt;0.05,"**",IF(Estimates!AG18&lt;0.1,"*",""))))</f>
        <v>-0.114</v>
      </c>
      <c r="D86" s="8" t="str">
        <f aca="false">TEXT(Estimates!AH18,"0.000")&amp;IF(Estimates!AK18="","",IF(Estimates!AK18&lt;0.01,"***",IF(Estimates!AK18&lt;0.05,"**",IF(Estimates!AK18&lt;0.1,"*",""))))</f>
        <v>-0.252</v>
      </c>
      <c r="E86" s="8" t="str">
        <f aca="false">TEXT(Estimates!AL18,"0.000")&amp;IF(Estimates!AO18="","",IF(Estimates!AO18&lt;0.01,"***",IF(Estimates!AO18&lt;0.05,"**",IF(Estimates!AO18&lt;0.1,"*",""))))</f>
        <v>-0.817**</v>
      </c>
    </row>
    <row r="87" customFormat="false" ht="15" hidden="false" customHeight="false" outlineLevel="0" collapsed="false">
      <c r="C87" s="8" t="str">
        <f aca="false">IF(Estimates!AF18="","(n/a)","("&amp;TEXT(Estimates!AF18,"0.00")&amp;")")</f>
        <v>(-0.48)</v>
      </c>
      <c r="D87" s="8" t="str">
        <f aca="false">IF(Estimates!AJ18="","(n/a)","("&amp;TEXT(Estimates!AJ18,"0.00")&amp;")")</f>
        <v>(-0.96)</v>
      </c>
      <c r="E87" s="8" t="str">
        <f aca="false">IF(Estimates!AN18="","(n/a)","("&amp;TEXT(Estimates!AN18,"0.00")&amp;")")</f>
        <v>(-2.23)</v>
      </c>
    </row>
    <row r="88" customFormat="false" ht="15" hidden="false" customHeight="false" outlineLevel="0" collapsed="false">
      <c r="A88" s="7" t="s">
        <v>24</v>
      </c>
      <c r="C88" s="8" t="str">
        <f aca="false">TEXT(Estimates!AD19,"0.000")&amp;IF(Estimates!AG19="","",IF(Estimates!AG19&lt;0.01,"***",IF(Estimates!AG19&lt;0.05,"**",IF(Estimates!AG19&lt;0.1,"*",""))))</f>
        <v>0.035</v>
      </c>
      <c r="D88" s="8" t="str">
        <f aca="false">TEXT(Estimates!AH19,"0.000")&amp;IF(Estimates!AK19="","",IF(Estimates!AK19&lt;0.01,"***",IF(Estimates!AK19&lt;0.05,"**",IF(Estimates!AK19&lt;0.1,"*",""))))</f>
        <v>-0.426</v>
      </c>
      <c r="E88" s="8" t="str">
        <f aca="false">TEXT(Estimates!AL19,"0.000")&amp;IF(Estimates!AO19="","",IF(Estimates!AO19&lt;0.01,"***",IF(Estimates!AO19&lt;0.05,"**",IF(Estimates!AO19&lt;0.1,"*",""))))</f>
        <v>-1.381*</v>
      </c>
    </row>
    <row r="89" customFormat="false" ht="15" hidden="false" customHeight="false" outlineLevel="0" collapsed="false">
      <c r="C89" s="8" t="str">
        <f aca="false">IF(Estimates!AF19="","(n/a)","("&amp;TEXT(Estimates!AF19,"0.00")&amp;")")</f>
        <v>(0.07)</v>
      </c>
      <c r="D89" s="8" t="str">
        <f aca="false">IF(Estimates!AJ19="","(n/a)","("&amp;TEXT(Estimates!AJ19,"0.00")&amp;")")</f>
        <v>(-0.68)</v>
      </c>
      <c r="E89" s="8" t="str">
        <f aca="false">IF(Estimates!AN19="","(n/a)","("&amp;TEXT(Estimates!AN19,"0.00")&amp;")")</f>
        <v>(-1.80)</v>
      </c>
    </row>
    <row r="90" customFormat="false" ht="15" hidden="false" customHeight="false" outlineLevel="0" collapsed="false">
      <c r="A90" s="7" t="s">
        <v>25</v>
      </c>
      <c r="C90" s="8" t="str">
        <f aca="false">TEXT(Estimates!AD20,"0.000")&amp;IF(Estimates!AG20="","",IF(Estimates!AG20&lt;0.01,"***",IF(Estimates!AG20&lt;0.05,"**",IF(Estimates!AG20&lt;0.1,"*",""))))</f>
        <v>-0.466</v>
      </c>
      <c r="D90" s="8" t="str">
        <f aca="false">TEXT(Estimates!AH20,"0.000")&amp;IF(Estimates!AK20="","",IF(Estimates!AK20&lt;0.01,"***",IF(Estimates!AK20&lt;0.05,"**",IF(Estimates!AK20&lt;0.1,"*",""))))</f>
        <v>-0.105</v>
      </c>
      <c r="E90" s="8" t="str">
        <f aca="false">TEXT(Estimates!AL20,"0.000")&amp;IF(Estimates!AO20="","",IF(Estimates!AO20&lt;0.01,"***",IF(Estimates!AO20&lt;0.05,"**",IF(Estimates!AO20&lt;0.1,"*",""))))</f>
        <v>-0.005</v>
      </c>
    </row>
    <row r="91" customFormat="false" ht="15" hidden="false" customHeight="false" outlineLevel="0" collapsed="false">
      <c r="C91" s="8" t="str">
        <f aca="false">IF(Estimates!AF20="","(n/a)","("&amp;TEXT(Estimates!AF20,"0.00")&amp;")")</f>
        <v>(-1.72)</v>
      </c>
      <c r="D91" s="8" t="str">
        <f aca="false">IF(Estimates!AJ20="","(n/a)","("&amp;TEXT(Estimates!AJ20,"0.00")&amp;")")</f>
        <v>(-0.22)</v>
      </c>
      <c r="E91" s="8" t="str">
        <f aca="false">IF(Estimates!AN20="","(n/a)","("&amp;TEXT(Estimates!AN20,"0.00")&amp;")")</f>
        <v>(-0.01)</v>
      </c>
    </row>
    <row r="92" customFormat="false" ht="15" hidden="false" customHeight="false" outlineLevel="0" collapsed="false">
      <c r="A92" s="7" t="s">
        <v>26</v>
      </c>
      <c r="C92" s="8" t="str">
        <f aca="false">TEXT(Estimates!AD21,"0.000")&amp;IF(Estimates!AG21="","",IF(Estimates!AG21&lt;0.01,"***",IF(Estimates!AG21&lt;0.05,"**",IF(Estimates!AG21&lt;0.1,"*",""))))</f>
        <v>0.242</v>
      </c>
    </row>
    <row r="93" customFormat="false" ht="15" hidden="false" customHeight="false" outlineLevel="0" collapsed="false">
      <c r="C93" s="8" t="str">
        <f aca="false">IF(Estimates!AF21="","(n/a)","("&amp;TEXT(Estimates!AF21,"0.00")&amp;")")</f>
        <v>(0.92)</v>
      </c>
    </row>
    <row r="94" customFormat="false" ht="15" hidden="false" customHeight="false" outlineLevel="0" collapsed="false">
      <c r="A94" s="7" t="s">
        <v>27</v>
      </c>
      <c r="C94" s="8" t="str">
        <f aca="false">TEXT(Estimates!AD22,"0.000")&amp;IF(Estimates!AG22="","",IF(Estimates!AG22&lt;0.01,"***",IF(Estimates!AG22&lt;0.05,"**",IF(Estimates!AG22&lt;0.1,"*",""))))</f>
        <v>-0.236</v>
      </c>
      <c r="D94" s="8" t="str">
        <f aca="false">TEXT(Estimates!AH22,"0.000")&amp;IF(Estimates!AK22="","",IF(Estimates!AK22&lt;0.01,"***",IF(Estimates!AK22&lt;0.05,"**",IF(Estimates!AK22&lt;0.1,"*",""))))</f>
        <v>-3.493</v>
      </c>
      <c r="E94" s="8" t="str">
        <f aca="false">TEXT(Estimates!AL22,"0.000")&amp;IF(Estimates!AO22="","",IF(Estimates!AO22&lt;0.01,"***",IF(Estimates!AO22&lt;0.05,"**",IF(Estimates!AO22&lt;0.1,"*",""))))</f>
        <v>-4.547*</v>
      </c>
    </row>
    <row r="95" customFormat="false" ht="15" hidden="false" customHeight="false" outlineLevel="0" collapsed="false">
      <c r="C95" s="8" t="str">
        <f aca="false">IF(Estimates!AF22="","(n/a)","("&amp;TEXT(Estimates!AF22,"0.00")&amp;")")</f>
        <v>(-0.42)</v>
      </c>
      <c r="D95" s="8" t="str">
        <f aca="false">IF(Estimates!AJ22="","(n/a)","("&amp;TEXT(Estimates!AJ22,"0.00")&amp;")")</f>
        <v>(-0.84)</v>
      </c>
      <c r="E95" s="8" t="str">
        <f aca="false">IF(Estimates!AN22="","(n/a)","("&amp;TEXT(Estimates!AN22,"0.00")&amp;")")</f>
        <v>(-1.83)</v>
      </c>
    </row>
    <row r="97" customFormat="false" ht="15" hidden="false" customHeight="false" outlineLevel="0" collapsed="false">
      <c r="A97" s="7" t="s">
        <v>28</v>
      </c>
      <c r="B97" s="9" t="n">
        <f aca="false">Estimates!Z24</f>
        <v>277</v>
      </c>
      <c r="C97" s="9" t="n">
        <f aca="false">Estimates!AD24</f>
        <v>255</v>
      </c>
      <c r="D97" s="9" t="n">
        <f aca="false">Estimates!AH24</f>
        <v>251</v>
      </c>
      <c r="E97" s="9" t="n">
        <f aca="false">Estimates!AL24</f>
        <v>251</v>
      </c>
      <c r="F97" s="9" t="n">
        <f aca="false">Estimates!AP24</f>
        <v>261</v>
      </c>
      <c r="G97" s="9" t="n">
        <f aca="false">Estimates!AT24</f>
        <v>177</v>
      </c>
    </row>
    <row r="98" customFormat="false" ht="15" hidden="false" customHeight="false" outlineLevel="0" collapsed="false">
      <c r="A98" s="7" t="s">
        <v>29</v>
      </c>
      <c r="B98" s="10" t="n">
        <f aca="false">Estimates!Z27</f>
        <v>0.206147244146489</v>
      </c>
      <c r="C98" s="10" t="n">
        <f aca="false">Estimates!AD27</f>
        <v>0.136536723657642</v>
      </c>
      <c r="D98" s="10" t="n">
        <f aca="false">Estimates!AH27</f>
        <v>-0.00909827166984867</v>
      </c>
      <c r="E98" s="10" t="n">
        <f aca="false">Estimates!AL27</f>
        <v>0.171019602180883</v>
      </c>
      <c r="F98" s="10" t="n">
        <f aca="false">Estimates!AP27</f>
        <v>0.535997860985176</v>
      </c>
      <c r="G98" s="10" t="n">
        <f aca="false">Estimates!AT27</f>
        <v>0.513809750635405</v>
      </c>
    </row>
    <row r="99" customFormat="false" ht="15" hidden="false" customHeight="false" outlineLevel="0" collapsed="false">
      <c r="A99" s="7" t="s">
        <v>45</v>
      </c>
      <c r="B99" s="14" t="n">
        <f aca="false">Estimates!Z28</f>
        <v>42</v>
      </c>
      <c r="C99" s="14" t="n">
        <f aca="false">Estimates!AD28</f>
        <v>40</v>
      </c>
      <c r="D99" s="14" t="n">
        <f aca="false">Estimates!AH28</f>
        <v>40</v>
      </c>
      <c r="E99" s="14" t="n">
        <f aca="false">Estimates!AL28</f>
        <v>40</v>
      </c>
      <c r="F99" s="14" t="n">
        <f aca="false">Estimates!AP28</f>
        <v>42</v>
      </c>
      <c r="G99" s="14" t="n">
        <f aca="false">Estimates!AT28</f>
        <v>23</v>
      </c>
    </row>
    <row r="100" customFormat="false" ht="15" hidden="false" customHeight="false" outlineLevel="0" collapsed="false">
      <c r="A100" s="7" t="s">
        <v>30</v>
      </c>
      <c r="B100" s="11" t="s">
        <v>31</v>
      </c>
      <c r="C100" s="11" t="s">
        <v>31</v>
      </c>
      <c r="D100" s="11" t="s">
        <v>32</v>
      </c>
      <c r="E100" s="11" t="s">
        <v>32</v>
      </c>
      <c r="F100" s="11" t="s">
        <v>31</v>
      </c>
      <c r="G100" s="11" t="s">
        <v>31</v>
      </c>
    </row>
    <row r="101" customFormat="false" ht="15" hidden="false" customHeight="false" outlineLevel="0" collapsed="false">
      <c r="A101" s="7" t="s">
        <v>33</v>
      </c>
      <c r="B101" s="11" t="s">
        <v>32</v>
      </c>
      <c r="C101" s="11" t="s">
        <v>32</v>
      </c>
      <c r="D101" s="11" t="s">
        <v>31</v>
      </c>
      <c r="E101" s="11" t="s">
        <v>32</v>
      </c>
      <c r="F101" s="11" t="s">
        <v>32</v>
      </c>
      <c r="G101" s="11" t="s">
        <v>32</v>
      </c>
    </row>
    <row r="102" customFormat="false" ht="15" hidden="false" customHeight="false" outlineLevel="0" collapsed="false">
      <c r="A102" s="7" t="s">
        <v>46</v>
      </c>
      <c r="B102" s="11" t="s">
        <v>31</v>
      </c>
      <c r="C102" s="11" t="s">
        <v>31</v>
      </c>
      <c r="D102" s="11" t="s">
        <v>31</v>
      </c>
      <c r="E102" s="11" t="s">
        <v>31</v>
      </c>
      <c r="F102" s="11" t="s">
        <v>32</v>
      </c>
      <c r="G102" s="11" t="s">
        <v>32</v>
      </c>
    </row>
    <row r="103" customFormat="false" ht="15" hidden="false" customHeight="false" outlineLevel="0" collapsed="false">
      <c r="A103" s="12" t="s">
        <v>47</v>
      </c>
      <c r="B103" s="6"/>
      <c r="C103" s="6"/>
      <c r="D103" s="6"/>
      <c r="E103" s="6"/>
      <c r="F103" s="6"/>
      <c r="G103" s="6" t="s">
        <v>48</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4"/>
  </cols>
  <sheetData>
    <row r="1" customFormat="false" ht="15" hidden="false" customHeight="false" outlineLevel="0" collapsed="false">
      <c r="A1" s="1" t="s">
        <v>37</v>
      </c>
    </row>
    <row r="2" customFormat="false" ht="135" hidden="false" customHeight="true" outlineLevel="0" collapsed="false">
      <c r="A2" s="2" t="s">
        <v>49</v>
      </c>
      <c r="B2" s="2"/>
      <c r="C2" s="2"/>
      <c r="D2" s="2"/>
      <c r="E2" s="2"/>
      <c r="F2" s="2"/>
      <c r="G2" s="2"/>
    </row>
    <row r="4" customFormat="false" ht="15" hidden="false" customHeight="false" outlineLevel="0" collapsed="false">
      <c r="A4" s="3"/>
      <c r="B4" s="4" t="s">
        <v>3</v>
      </c>
      <c r="C4" s="4" t="s">
        <v>4</v>
      </c>
      <c r="D4" s="4" t="s">
        <v>5</v>
      </c>
      <c r="E4" s="4" t="s">
        <v>6</v>
      </c>
      <c r="F4" s="4" t="s">
        <v>42</v>
      </c>
      <c r="G4" s="4" t="s">
        <v>43</v>
      </c>
    </row>
    <row r="5" customFormat="false" ht="15" hidden="false" customHeight="false" outlineLevel="0" collapsed="false">
      <c r="A5" s="5"/>
      <c r="B5" s="6" t="s">
        <v>39</v>
      </c>
      <c r="C5" s="6" t="s">
        <v>39</v>
      </c>
      <c r="D5" s="6" t="s">
        <v>39</v>
      </c>
      <c r="E5" s="6" t="s">
        <v>39</v>
      </c>
      <c r="F5" s="6" t="s">
        <v>39</v>
      </c>
      <c r="G5" s="6" t="s">
        <v>39</v>
      </c>
    </row>
    <row r="6" customFormat="false" ht="15" hidden="false" customHeight="false" outlineLevel="0" collapsed="false">
      <c r="A6" s="7" t="s">
        <v>44</v>
      </c>
      <c r="B6" s="8" t="str">
        <f aca="false">TEXT(Estimates!AX4,"0.000")&amp;IF(Estimates!BA4="","",IF(Estimates!BA4&lt;0.01,"***",IF(Estimates!BA4&lt;0.05,"**",IF(Estimates!BA4&lt;0.1,"*",""))))</f>
        <v>-0.059</v>
      </c>
      <c r="C6" s="8" t="str">
        <f aca="false">TEXT(Estimates!BB4,"0.000")&amp;IF(Estimates!BE4="","",IF(Estimates!BE4&lt;0.01,"***",IF(Estimates!BE4&lt;0.05,"**",IF(Estimates!BE4&lt;0.1,"*",""))))</f>
        <v>-0.077</v>
      </c>
      <c r="D6" s="8" t="str">
        <f aca="false">TEXT(Estimates!BF4,"0.000")&amp;IF(Estimates!BI4="","",IF(Estimates!BI4&lt;0.01,"***",IF(Estimates!BI4&lt;0.05,"**",IF(Estimates!BI4&lt;0.1,"*",""))))</f>
        <v>-0.018</v>
      </c>
      <c r="E6" s="8" t="str">
        <f aca="false">TEXT(Estimates!BJ4,"0.000")&amp;IF(Estimates!BM4="","",IF(Estimates!BM4&lt;0.01,"***",IF(Estimates!BM4&lt;0.05,"**",IF(Estimates!BM4&lt;0.1,"*",""))))</f>
        <v>-0.053</v>
      </c>
      <c r="F6" s="8" t="str">
        <f aca="false">TEXT(Estimates!BN4,"0.000")&amp;IF(Estimates!BQ4="","",IF(Estimates!BQ4&lt;0.01,"***",IF(Estimates!BQ4&lt;0.05,"**",IF(Estimates!BQ4&lt;0.1,"*",""))))</f>
        <v>-0.060</v>
      </c>
      <c r="G6" s="8" t="str">
        <f aca="false">TEXT(Estimates!BR4,"0.000")&amp;IF(Estimates!BU4="","",IF(Estimates!BU4&lt;0.01,"***",IF(Estimates!BU4&lt;0.05,"**",IF(Estimates!BU4&lt;0.1,"*",""))))</f>
        <v>-0.027</v>
      </c>
    </row>
    <row r="7" customFormat="false" ht="15" hidden="false" customHeight="false" outlineLevel="0" collapsed="false">
      <c r="B7" s="8" t="str">
        <f aca="false">IF(Estimates!AZ4="","(n/a)","("&amp;TEXT(Estimates!AZ4,"0.00")&amp;")")</f>
        <v>(-1.70)</v>
      </c>
      <c r="C7" s="8" t="str">
        <f aca="false">IF(Estimates!BD4="","(n/a)","("&amp;TEXT(Estimates!BD4,"0.00")&amp;")")</f>
        <v>(-1.37)</v>
      </c>
      <c r="D7" s="8" t="str">
        <f aca="false">IF(Estimates!BH4="","(n/a)","("&amp;TEXT(Estimates!BH4,"0.00")&amp;")")</f>
        <v>(-0.39)</v>
      </c>
      <c r="E7" s="8" t="str">
        <f aca="false">IF(Estimates!BL4="","(n/a)","("&amp;TEXT(Estimates!BL4,"0.00")&amp;")")</f>
        <v>(-1.29)</v>
      </c>
      <c r="F7" s="8" t="str">
        <f aca="false">IF(Estimates!BP4="","(n/a)","("&amp;TEXT(Estimates!BP4,"0.00")&amp;")")</f>
        <v>(-1.09)</v>
      </c>
      <c r="G7" s="8" t="str">
        <f aca="false">IF(Estimates!BT4="","(n/a)","("&amp;TEXT(Estimates!BT4,"0.00")&amp;")")</f>
        <v>(-0.42)</v>
      </c>
    </row>
    <row r="8" customFormat="false" ht="15" hidden="false" customHeight="false" outlineLevel="0" collapsed="false">
      <c r="A8" s="7" t="s">
        <v>10</v>
      </c>
      <c r="B8" s="8" t="str">
        <f aca="false">TEXT(Estimates!AX5,"0.000")&amp;IF(Estimates!BA5="","",IF(Estimates!BA5&lt;0.01,"***",IF(Estimates!BA5&lt;0.05,"**",IF(Estimates!BA5&lt;0.1,"*",""))))</f>
        <v>0.000</v>
      </c>
      <c r="C8" s="8" t="str">
        <f aca="false">TEXT(Estimates!BB5,"0.000")&amp;IF(Estimates!BE5="","",IF(Estimates!BE5&lt;0.01,"***",IF(Estimates!BE5&lt;0.05,"**",IF(Estimates!BE5&lt;0.1,"*",""))))</f>
        <v>0.001</v>
      </c>
      <c r="D8" s="8" t="str">
        <f aca="false">TEXT(Estimates!BF5,"0.000")&amp;IF(Estimates!BI5="","",IF(Estimates!BI5&lt;0.01,"***",IF(Estimates!BI5&lt;0.05,"**",IF(Estimates!BI5&lt;0.1,"*",""))))</f>
        <v>-0.002</v>
      </c>
      <c r="E8" s="8" t="str">
        <f aca="false">TEXT(Estimates!BJ5,"0.000")&amp;IF(Estimates!BM5="","",IF(Estimates!BM5&lt;0.01,"***",IF(Estimates!BM5&lt;0.05,"**",IF(Estimates!BM5&lt;0.1,"*",""))))</f>
        <v>0.000</v>
      </c>
      <c r="F8" s="8" t="str">
        <f aca="false">TEXT(Estimates!BN5,"0.000")&amp;IF(Estimates!BQ5="","",IF(Estimates!BQ5&lt;0.01,"***",IF(Estimates!BQ5&lt;0.05,"**",IF(Estimates!BQ5&lt;0.1,"*",""))))</f>
        <v>-0.001</v>
      </c>
      <c r="G8" s="8" t="str">
        <f aca="false">TEXT(Estimates!BR5,"0.000")&amp;IF(Estimates!BU5="","",IF(Estimates!BU5&lt;0.01,"***",IF(Estimates!BU5&lt;0.05,"**",IF(Estimates!BU5&lt;0.1,"*",""))))</f>
        <v>0.000</v>
      </c>
    </row>
    <row r="9" customFormat="false" ht="15" hidden="false" customHeight="false" outlineLevel="0" collapsed="false">
      <c r="B9" s="8" t="str">
        <f aca="false">IF(Estimates!AZ5="","(n/a)","("&amp;TEXT(Estimates!AZ5,"0.00")&amp;")")</f>
        <v>(0.12)</v>
      </c>
      <c r="C9" s="8" t="str">
        <f aca="false">IF(Estimates!BD5="","(n/a)","("&amp;TEXT(Estimates!BD5,"0.00")&amp;")")</f>
        <v>(0.48)</v>
      </c>
      <c r="D9" s="8" t="str">
        <f aca="false">IF(Estimates!BH5="","(n/a)","("&amp;TEXT(Estimates!BH5,"0.00")&amp;")")</f>
        <v>(-0.73)</v>
      </c>
      <c r="E9" s="8" t="str">
        <f aca="false">IF(Estimates!BL5="","(n/a)","("&amp;TEXT(Estimates!BL5,"0.00")&amp;")")</f>
        <v>(-0.21)</v>
      </c>
      <c r="F9" s="8" t="str">
        <f aca="false">IF(Estimates!BP5="","(n/a)","("&amp;TEXT(Estimates!BP5,"0.00")&amp;")")</f>
        <v>(-0.67)</v>
      </c>
      <c r="G9" s="8" t="str">
        <f aca="false">IF(Estimates!BT5="","(n/a)","("&amp;TEXT(Estimates!BT5,"0.00")&amp;")")</f>
        <v>(0.18)</v>
      </c>
    </row>
    <row r="10" customFormat="false" ht="15" hidden="false" customHeight="false" outlineLevel="0" collapsed="false">
      <c r="A10" s="7" t="s">
        <v>11</v>
      </c>
      <c r="B10" s="8" t="str">
        <f aca="false">TEXT(Estimates!AX6,"0.000")&amp;IF(Estimates!BA6="","",IF(Estimates!BA6&lt;0.01,"***",IF(Estimates!BA6&lt;0.05,"**",IF(Estimates!BA6&lt;0.1,"*",""))))</f>
        <v>-0.038*</v>
      </c>
      <c r="C10" s="8" t="str">
        <f aca="false">TEXT(Estimates!BB6,"0.000")&amp;IF(Estimates!BE6="","",IF(Estimates!BE6&lt;0.01,"***",IF(Estimates!BE6&lt;0.05,"**",IF(Estimates!BE6&lt;0.1,"*",""))))</f>
        <v>-0.046**</v>
      </c>
      <c r="D10" s="8" t="str">
        <f aca="false">TEXT(Estimates!BF6,"0.000")&amp;IF(Estimates!BI6="","",IF(Estimates!BI6&lt;0.01,"***",IF(Estimates!BI6&lt;0.05,"**",IF(Estimates!BI6&lt;0.1,"*",""))))</f>
        <v>-0.043</v>
      </c>
      <c r="E10" s="8" t="str">
        <f aca="false">TEXT(Estimates!BJ6,"0.000")&amp;IF(Estimates!BM6="","",IF(Estimates!BM6&lt;0.01,"***",IF(Estimates!BM6&lt;0.05,"**",IF(Estimates!BM6&lt;0.1,"*",""))))</f>
        <v>-0.284**</v>
      </c>
      <c r="F10" s="8" t="str">
        <f aca="false">TEXT(Estimates!BN6,"0.000")&amp;IF(Estimates!BQ6="","",IF(Estimates!BQ6&lt;0.01,"***",IF(Estimates!BQ6&lt;0.05,"**",IF(Estimates!BQ6&lt;0.1,"*",""))))</f>
        <v>-0.169</v>
      </c>
      <c r="G10" s="8" t="str">
        <f aca="false">TEXT(Estimates!BR6,"0.000")&amp;IF(Estimates!BU6="","",IF(Estimates!BU6&lt;0.01,"***",IF(Estimates!BU6&lt;0.05,"**",IF(Estimates!BU6&lt;0.1,"*",""))))</f>
        <v>-0.077</v>
      </c>
    </row>
    <row r="11" customFormat="false" ht="15" hidden="false" customHeight="false" outlineLevel="0" collapsed="false">
      <c r="B11" s="8" t="str">
        <f aca="false">IF(Estimates!AZ6="","(n/a)","("&amp;TEXT(Estimates!AZ6,"0.00")&amp;")")</f>
        <v>(-1.98)</v>
      </c>
      <c r="C11" s="8" t="str">
        <f aca="false">IF(Estimates!BD6="","(n/a)","("&amp;TEXT(Estimates!BD6,"0.00")&amp;")")</f>
        <v>(-2.26)</v>
      </c>
      <c r="D11" s="8" t="str">
        <f aca="false">IF(Estimates!BH6="","(n/a)","("&amp;TEXT(Estimates!BH6,"0.00")&amp;")")</f>
        <v>(-0.40)</v>
      </c>
      <c r="E11" s="8" t="str">
        <f aca="false">IF(Estimates!BL6="","(n/a)","("&amp;TEXT(Estimates!BL6,"0.00")&amp;")")</f>
        <v>(-2.11)</v>
      </c>
      <c r="F11" s="8" t="str">
        <f aca="false">IF(Estimates!BP6="","(n/a)","("&amp;TEXT(Estimates!BP6,"0.00")&amp;")")</f>
        <v>(-0.86)</v>
      </c>
      <c r="G11" s="8" t="str">
        <f aca="false">IF(Estimates!BT6="","(n/a)","("&amp;TEXT(Estimates!BT6,"0.00")&amp;")")</f>
        <v>(-0.40)</v>
      </c>
    </row>
    <row r="12" customFormat="false" ht="15" hidden="false" customHeight="false" outlineLevel="0" collapsed="false">
      <c r="A12" s="7" t="s">
        <v>12</v>
      </c>
      <c r="B12" s="8" t="str">
        <f aca="false">TEXT(Estimates!AX7,"0.000")&amp;IF(Estimates!BA7="","",IF(Estimates!BA7&lt;0.01,"***",IF(Estimates!BA7&lt;0.05,"**",IF(Estimates!BA7&lt;0.1,"*",""))))</f>
        <v>-0.002***</v>
      </c>
      <c r="C12" s="8" t="str">
        <f aca="false">TEXT(Estimates!BB7,"0.000")&amp;IF(Estimates!BE7="","",IF(Estimates!BE7&lt;0.01,"***",IF(Estimates!BE7&lt;0.05,"**",IF(Estimates!BE7&lt;0.1,"*",""))))</f>
        <v>-0.002***</v>
      </c>
      <c r="D12" s="8" t="str">
        <f aca="false">TEXT(Estimates!BF7,"0.000")&amp;IF(Estimates!BI7="","",IF(Estimates!BI7&lt;0.01,"***",IF(Estimates!BI7&lt;0.05,"**",IF(Estimates!BI7&lt;0.1,"*",""))))</f>
        <v>-0.006</v>
      </c>
      <c r="E12" s="8" t="str">
        <f aca="false">TEXT(Estimates!BJ7,"0.000")&amp;IF(Estimates!BM7="","",IF(Estimates!BM7&lt;0.01,"***",IF(Estimates!BM7&lt;0.05,"**",IF(Estimates!BM7&lt;0.1,"*",""))))</f>
        <v>-0.001</v>
      </c>
      <c r="F12" s="8" t="str">
        <f aca="false">TEXT(Estimates!BN7,"0.000")&amp;IF(Estimates!BQ7="","",IF(Estimates!BQ7&lt;0.01,"***",IF(Estimates!BQ7&lt;0.05,"**",IF(Estimates!BQ7&lt;0.1,"*",""))))</f>
        <v>-0.001</v>
      </c>
      <c r="G12" s="8" t="str">
        <f aca="false">TEXT(Estimates!BR7,"0.000")&amp;IF(Estimates!BU7="","",IF(Estimates!BU7&lt;0.01,"***",IF(Estimates!BU7&lt;0.05,"**",IF(Estimates!BU7&lt;0.1,"*",""))))</f>
        <v>-0.001</v>
      </c>
    </row>
    <row r="13" customFormat="false" ht="15" hidden="false" customHeight="false" outlineLevel="0" collapsed="false">
      <c r="B13" s="8" t="str">
        <f aca="false">IF(Estimates!AZ7="","(n/a)","("&amp;TEXT(Estimates!AZ7,"0.00")&amp;")")</f>
        <v>(-3.01)</v>
      </c>
      <c r="C13" s="8" t="str">
        <f aca="false">IF(Estimates!BD7="","(n/a)","("&amp;TEXT(Estimates!BD7,"0.00")&amp;")")</f>
        <v>(-3.00)</v>
      </c>
      <c r="D13" s="8" t="str">
        <f aca="false">IF(Estimates!BH7="","(n/a)","("&amp;TEXT(Estimates!BH7,"0.00")&amp;")")</f>
        <v>(-1.64)</v>
      </c>
      <c r="E13" s="8" t="str">
        <f aca="false">IF(Estimates!BL7="","(n/a)","("&amp;TEXT(Estimates!BL7,"0.00")&amp;")")</f>
        <v>(-0.43)</v>
      </c>
      <c r="F13" s="8" t="str">
        <f aca="false">IF(Estimates!BP7="","(n/a)","("&amp;TEXT(Estimates!BP7,"0.00")&amp;")")</f>
        <v>(-0.33)</v>
      </c>
      <c r="G13" s="8" t="str">
        <f aca="false">IF(Estimates!BT7="","(n/a)","("&amp;TEXT(Estimates!BT7,"0.00")&amp;")")</f>
        <v>(-0.69)</v>
      </c>
    </row>
    <row r="14" customFormat="false" ht="15" hidden="false" customHeight="false" outlineLevel="0" collapsed="false">
      <c r="A14" s="7" t="s">
        <v>13</v>
      </c>
      <c r="B14" s="8" t="str">
        <f aca="false">TEXT(Estimates!AX8,"0.000")&amp;IF(Estimates!BA8="","",IF(Estimates!BA8&lt;0.01,"***",IF(Estimates!BA8&lt;0.05,"**",IF(Estimates!BA8&lt;0.1,"*",""))))</f>
        <v>-0.085</v>
      </c>
      <c r="C14" s="8" t="str">
        <f aca="false">TEXT(Estimates!BB8,"0.000")&amp;IF(Estimates!BE8="","",IF(Estimates!BE8&lt;0.01,"***",IF(Estimates!BE8&lt;0.05,"**",IF(Estimates!BE8&lt;0.1,"*",""))))</f>
        <v>-0.038</v>
      </c>
      <c r="D14" s="8" t="str">
        <f aca="false">TEXT(Estimates!BF8,"0.000")&amp;IF(Estimates!BI8="","",IF(Estimates!BI8&lt;0.01,"***",IF(Estimates!BI8&lt;0.05,"**",IF(Estimates!BI8&lt;0.1,"*",""))))</f>
        <v>-0.082</v>
      </c>
      <c r="E14" s="8" t="str">
        <f aca="false">TEXT(Estimates!BJ8,"0.000")&amp;IF(Estimates!BM8="","",IF(Estimates!BM8&lt;0.01,"***",IF(Estimates!BM8&lt;0.05,"**",IF(Estimates!BM8&lt;0.1,"*",""))))</f>
        <v>-0.056*</v>
      </c>
      <c r="F14" s="8" t="str">
        <f aca="false">TEXT(Estimates!BN8,"0.000")&amp;IF(Estimates!BQ8="","",IF(Estimates!BQ8&lt;0.01,"***",IF(Estimates!BQ8&lt;0.05,"**",IF(Estimates!BQ8&lt;0.1,"*",""))))</f>
        <v>-0.055</v>
      </c>
      <c r="G14" s="8" t="str">
        <f aca="false">TEXT(Estimates!BR8,"0.000")&amp;IF(Estimates!BU8="","",IF(Estimates!BU8&lt;0.01,"***",IF(Estimates!BU8&lt;0.05,"**",IF(Estimates!BU8&lt;0.1,"*",""))))</f>
        <v>0.006</v>
      </c>
    </row>
    <row r="15" customFormat="false" ht="15" hidden="false" customHeight="false" outlineLevel="0" collapsed="false">
      <c r="B15" s="8" t="str">
        <f aca="false">IF(Estimates!AZ8="","(n/a)","("&amp;TEXT(Estimates!AZ8,"0.00")&amp;")")</f>
        <v>(-1.18)</v>
      </c>
      <c r="C15" s="8" t="str">
        <f aca="false">IF(Estimates!BD8="","(n/a)","("&amp;TEXT(Estimates!BD8,"0.00")&amp;")")</f>
        <v>(-0.62)</v>
      </c>
      <c r="D15" s="8" t="str">
        <f aca="false">IF(Estimates!BH8="","(n/a)","("&amp;TEXT(Estimates!BH8,"0.00")&amp;")")</f>
        <v>(-1.36)</v>
      </c>
      <c r="E15" s="8" t="str">
        <f aca="false">IF(Estimates!BL8="","(n/a)","("&amp;TEXT(Estimates!BL8,"0.00")&amp;")")</f>
        <v>(-1.99)</v>
      </c>
      <c r="F15" s="8" t="str">
        <f aca="false">IF(Estimates!BP8="","(n/a)","("&amp;TEXT(Estimates!BP8,"0.00")&amp;")")</f>
        <v>(-1.22)</v>
      </c>
      <c r="G15" s="8" t="str">
        <f aca="false">IF(Estimates!BT8="","(n/a)","("&amp;TEXT(Estimates!BT8,"0.00")&amp;")")</f>
        <v>(0.09)</v>
      </c>
    </row>
    <row r="16" customFormat="false" ht="15" hidden="false" customHeight="false" outlineLevel="0" collapsed="false">
      <c r="A16" s="7" t="s">
        <v>14</v>
      </c>
      <c r="B16" s="8" t="str">
        <f aca="false">TEXT(Estimates!AX9,"0.000")&amp;IF(Estimates!BA9="","",IF(Estimates!BA9&lt;0.01,"***",IF(Estimates!BA9&lt;0.05,"**",IF(Estimates!BA9&lt;0.1,"*",""))))</f>
        <v>-0.094</v>
      </c>
      <c r="C16" s="8" t="str">
        <f aca="false">TEXT(Estimates!BB9,"0.000")&amp;IF(Estimates!BE9="","",IF(Estimates!BE9&lt;0.01,"***",IF(Estimates!BE9&lt;0.05,"**",IF(Estimates!BE9&lt;0.1,"*",""))))</f>
        <v>-0.048</v>
      </c>
      <c r="D16" s="8" t="str">
        <f aca="false">TEXT(Estimates!BF9,"0.000")&amp;IF(Estimates!BI9="","",IF(Estimates!BI9&lt;0.01,"***",IF(Estimates!BI9&lt;0.05,"**",IF(Estimates!BI9&lt;0.1,"*",""))))</f>
        <v>-0.092</v>
      </c>
      <c r="E16" s="8" t="str">
        <f aca="false">TEXT(Estimates!BJ9,"0.000")&amp;IF(Estimates!BM9="","",IF(Estimates!BM9&lt;0.01,"***",IF(Estimates!BM9&lt;0.05,"**",IF(Estimates!BM9&lt;0.1,"*",""))))</f>
        <v>-0.064**</v>
      </c>
      <c r="F16" s="8" t="str">
        <f aca="false">TEXT(Estimates!BN9,"0.000")&amp;IF(Estimates!BQ9="","",IF(Estimates!BQ9&lt;0.01,"***",IF(Estimates!BQ9&lt;0.05,"**",IF(Estimates!BQ9&lt;0.1,"*",""))))</f>
        <v>-0.065</v>
      </c>
      <c r="G16" s="8" t="str">
        <f aca="false">TEXT(Estimates!BR9,"0.000")&amp;IF(Estimates!BU9="","",IF(Estimates!BU9&lt;0.01,"***",IF(Estimates!BU9&lt;0.05,"**",IF(Estimates!BU9&lt;0.1,"*",""))))</f>
        <v>-0.001</v>
      </c>
    </row>
    <row r="17" customFormat="false" ht="15" hidden="false" customHeight="false" outlineLevel="0" collapsed="false">
      <c r="B17" s="8" t="str">
        <f aca="false">IF(Estimates!AZ9="","(n/a)","("&amp;TEXT(Estimates!AZ9,"0.00")&amp;")")</f>
        <v>(-1.29)</v>
      </c>
      <c r="C17" s="8" t="str">
        <f aca="false">IF(Estimates!BD9="","(n/a)","("&amp;TEXT(Estimates!BD9,"0.00")&amp;")")</f>
        <v>(-0.79)</v>
      </c>
      <c r="D17" s="8" t="str">
        <f aca="false">IF(Estimates!BH9="","(n/a)","("&amp;TEXT(Estimates!BH9,"0.00")&amp;")")</f>
        <v>(-1.53)</v>
      </c>
      <c r="E17" s="8" t="str">
        <f aca="false">IF(Estimates!BL9="","(n/a)","("&amp;TEXT(Estimates!BL9,"0.00")&amp;")")</f>
        <v>(-2.25)</v>
      </c>
      <c r="F17" s="8" t="str">
        <f aca="false">IF(Estimates!BP9="","(n/a)","("&amp;TEXT(Estimates!BP9,"0.00")&amp;")")</f>
        <v>(-1.37)</v>
      </c>
      <c r="G17" s="8" t="str">
        <f aca="false">IF(Estimates!BT9="","(n/a)","("&amp;TEXT(Estimates!BT9,"0.00")&amp;")")</f>
        <v>(-0.01)</v>
      </c>
    </row>
    <row r="18" customFormat="false" ht="15" hidden="false" customHeight="false" outlineLevel="0" collapsed="false">
      <c r="A18" s="7" t="s">
        <v>15</v>
      </c>
      <c r="B18" s="8" t="str">
        <f aca="false">TEXT(Estimates!AX10,"0.000")&amp;IF(Estimates!BA10="","",IF(Estimates!BA10&lt;0.01,"***",IF(Estimates!BA10&lt;0.05,"**",IF(Estimates!BA10&lt;0.1,"*",""))))</f>
        <v>-0.075</v>
      </c>
      <c r="C18" s="8" t="str">
        <f aca="false">TEXT(Estimates!BB10,"0.000")&amp;IF(Estimates!BE10="","",IF(Estimates!BE10&lt;0.01,"***",IF(Estimates!BE10&lt;0.05,"**",IF(Estimates!BE10&lt;0.1,"*",""))))</f>
        <v>-0.032</v>
      </c>
      <c r="D18" s="8" t="str">
        <f aca="false">TEXT(Estimates!BF10,"0.000")&amp;IF(Estimates!BI10="","",IF(Estimates!BI10&lt;0.01,"***",IF(Estimates!BI10&lt;0.05,"**",IF(Estimates!BI10&lt;0.1,"*",""))))</f>
        <v>-0.078</v>
      </c>
      <c r="E18" s="8" t="str">
        <f aca="false">TEXT(Estimates!BJ10,"0.000")&amp;IF(Estimates!BM10="","",IF(Estimates!BM10&lt;0.01,"***",IF(Estimates!BM10&lt;0.05,"**",IF(Estimates!BM10&lt;0.1,"*",""))))</f>
        <v>-0.075*</v>
      </c>
      <c r="F18" s="8" t="str">
        <f aca="false">TEXT(Estimates!BN10,"0.000")&amp;IF(Estimates!BQ10="","",IF(Estimates!BQ10&lt;0.01,"***",IF(Estimates!BQ10&lt;0.05,"**",IF(Estimates!BQ10&lt;0.1,"*",""))))</f>
        <v>-0.077</v>
      </c>
      <c r="G18" s="8" t="str">
        <f aca="false">TEXT(Estimates!BR10,"0.000")&amp;IF(Estimates!BU10="","",IF(Estimates!BU10&lt;0.01,"***",IF(Estimates!BU10&lt;0.05,"**",IF(Estimates!BU10&lt;0.1,"*",""))))</f>
        <v>-0.011</v>
      </c>
    </row>
    <row r="19" customFormat="false" ht="15" hidden="false" customHeight="false" outlineLevel="0" collapsed="false">
      <c r="B19" s="8" t="str">
        <f aca="false">IF(Estimates!AZ10="","(n/a)","("&amp;TEXT(Estimates!AZ10,"0.00")&amp;")")</f>
        <v>(-1.01)</v>
      </c>
      <c r="C19" s="8" t="str">
        <f aca="false">IF(Estimates!BD10="","(n/a)","("&amp;TEXT(Estimates!BD10,"0.00")&amp;")")</f>
        <v>(-0.51)</v>
      </c>
      <c r="D19" s="8" t="str">
        <f aca="false">IF(Estimates!BH10="","(n/a)","("&amp;TEXT(Estimates!BH10,"0.00")&amp;")")</f>
        <v>(-1.31)</v>
      </c>
      <c r="E19" s="8" t="str">
        <f aca="false">IF(Estimates!BL10="","(n/a)","("&amp;TEXT(Estimates!BL10,"0.00")&amp;")")</f>
        <v>(-1.93)</v>
      </c>
      <c r="F19" s="8" t="str">
        <f aca="false">IF(Estimates!BP10="","(n/a)","("&amp;TEXT(Estimates!BP10,"0.00")&amp;")")</f>
        <v>(-1.23)</v>
      </c>
      <c r="G19" s="8" t="str">
        <f aca="false">IF(Estimates!BT10="","(n/a)","("&amp;TEXT(Estimates!BT10,"0.00")&amp;")")</f>
        <v>(-0.13)</v>
      </c>
    </row>
    <row r="20" customFormat="false" ht="15" hidden="false" customHeight="false" outlineLevel="0" collapsed="false">
      <c r="A20" s="7" t="s">
        <v>16</v>
      </c>
      <c r="B20" s="8" t="str">
        <f aca="false">TEXT(Estimates!AX11,"0.000")&amp;IF(Estimates!BA11="","",IF(Estimates!BA11&lt;0.01,"***",IF(Estimates!BA11&lt;0.05,"**",IF(Estimates!BA11&lt;0.1,"*",""))))</f>
        <v>-0.083</v>
      </c>
      <c r="C20" s="8" t="str">
        <f aca="false">TEXT(Estimates!BB11,"0.000")&amp;IF(Estimates!BE11="","",IF(Estimates!BE11&lt;0.01,"***",IF(Estimates!BE11&lt;0.05,"**",IF(Estimates!BE11&lt;0.1,"*",""))))</f>
        <v>-0.038</v>
      </c>
      <c r="D20" s="8" t="str">
        <f aca="false">TEXT(Estimates!BF11,"0.000")&amp;IF(Estimates!BI11="","",IF(Estimates!BI11&lt;0.01,"***",IF(Estimates!BI11&lt;0.05,"**",IF(Estimates!BI11&lt;0.1,"*",""))))</f>
        <v>-0.065</v>
      </c>
      <c r="E20" s="8" t="str">
        <f aca="false">TEXT(Estimates!BJ11,"0.000")&amp;IF(Estimates!BM11="","",IF(Estimates!BM11&lt;0.01,"***",IF(Estimates!BM11&lt;0.05,"**",IF(Estimates!BM11&lt;0.1,"*",""))))</f>
        <v>-0.033</v>
      </c>
      <c r="F20" s="8" t="str">
        <f aca="false">TEXT(Estimates!BN11,"0.000")&amp;IF(Estimates!BQ11="","",IF(Estimates!BQ11&lt;0.01,"***",IF(Estimates!BQ11&lt;0.05,"**",IF(Estimates!BQ11&lt;0.1,"*",""))))</f>
        <v>-0.041</v>
      </c>
      <c r="G20" s="8" t="str">
        <f aca="false">TEXT(Estimates!BR11,"0.000")&amp;IF(Estimates!BU11="","",IF(Estimates!BU11&lt;0.01,"***",IF(Estimates!BU11&lt;0.05,"**",IF(Estimates!BU11&lt;0.1,"*",""))))</f>
        <v>0.016</v>
      </c>
    </row>
    <row r="21" customFormat="false" ht="15" hidden="false" customHeight="false" outlineLevel="0" collapsed="false">
      <c r="B21" s="8" t="str">
        <f aca="false">IF(Estimates!AZ11="","(n/a)","("&amp;TEXT(Estimates!AZ11,"0.00")&amp;")")</f>
        <v>(-1.16)</v>
      </c>
      <c r="C21" s="8" t="str">
        <f aca="false">IF(Estimates!BD11="","(n/a)","("&amp;TEXT(Estimates!BD11,"0.00")&amp;")")</f>
        <v>(-0.63)</v>
      </c>
      <c r="D21" s="8" t="str">
        <f aca="false">IF(Estimates!BH11="","(n/a)","("&amp;TEXT(Estimates!BH11,"0.00")&amp;")")</f>
        <v>(-1.06)</v>
      </c>
      <c r="E21" s="8" t="str">
        <f aca="false">IF(Estimates!BL11="","(n/a)","("&amp;TEXT(Estimates!BL11,"0.00")&amp;")")</f>
        <v>(-1.20)</v>
      </c>
      <c r="F21" s="8" t="str">
        <f aca="false">IF(Estimates!BP11="","(n/a)","("&amp;TEXT(Estimates!BP11,"0.00")&amp;")")</f>
        <v>(-0.95)</v>
      </c>
      <c r="G21" s="8" t="str">
        <f aca="false">IF(Estimates!BT11="","(n/a)","("&amp;TEXT(Estimates!BT11,"0.00")&amp;")")</f>
        <v>(0.25)</v>
      </c>
    </row>
    <row r="22" customFormat="false" ht="15" hidden="false" customHeight="false" outlineLevel="0" collapsed="false">
      <c r="A22" s="7" t="s">
        <v>17</v>
      </c>
      <c r="B22" s="8" t="str">
        <f aca="false">TEXT(Estimates!AX12,"0.000")&amp;IF(Estimates!BA12="","",IF(Estimates!BA12&lt;0.01,"***",IF(Estimates!BA12&lt;0.05,"**",IF(Estimates!BA12&lt;0.1,"*",""))))</f>
        <v>-0.090</v>
      </c>
      <c r="C22" s="8" t="str">
        <f aca="false">TEXT(Estimates!BB12,"0.000")&amp;IF(Estimates!BE12="","",IF(Estimates!BE12&lt;0.01,"***",IF(Estimates!BE12&lt;0.05,"**",IF(Estimates!BE12&lt;0.1,"*",""))))</f>
        <v>-0.048</v>
      </c>
      <c r="D22" s="8" t="str">
        <f aca="false">TEXT(Estimates!BF12,"0.000")&amp;IF(Estimates!BI12="","",IF(Estimates!BI12&lt;0.01,"***",IF(Estimates!BI12&lt;0.05,"**",IF(Estimates!BI12&lt;0.1,"*",""))))</f>
        <v>-0.079</v>
      </c>
      <c r="E22" s="8" t="str">
        <f aca="false">TEXT(Estimates!BJ12,"0.000")&amp;IF(Estimates!BM12="","",IF(Estimates!BM12&lt;0.01,"***",IF(Estimates!BM12&lt;0.05,"**",IF(Estimates!BM12&lt;0.1,"*",""))))</f>
        <v>-0.052*</v>
      </c>
      <c r="F22" s="8" t="str">
        <f aca="false">TEXT(Estimates!BN12,"0.000")&amp;IF(Estimates!BQ12="","",IF(Estimates!BQ12&lt;0.01,"***",IF(Estimates!BQ12&lt;0.05,"**",IF(Estimates!BQ12&lt;0.1,"*",""))))</f>
        <v>-0.056</v>
      </c>
      <c r="G22" s="8" t="str">
        <f aca="false">TEXT(Estimates!BR12,"0.000")&amp;IF(Estimates!BU12="","",IF(Estimates!BU12&lt;0.01,"***",IF(Estimates!BU12&lt;0.05,"**",IF(Estimates!BU12&lt;0.1,"*",""))))</f>
        <v>-0.003</v>
      </c>
    </row>
    <row r="23" customFormat="false" ht="15" hidden="false" customHeight="false" outlineLevel="0" collapsed="false">
      <c r="B23" s="8" t="str">
        <f aca="false">IF(Estimates!AZ12="","(n/a)","("&amp;TEXT(Estimates!AZ12,"0.00")&amp;")")</f>
        <v>(-1.32)</v>
      </c>
      <c r="C23" s="8" t="str">
        <f aca="false">IF(Estimates!BD12="","(n/a)","("&amp;TEXT(Estimates!BD12,"0.00")&amp;")")</f>
        <v>(-0.83)</v>
      </c>
      <c r="D23" s="8" t="str">
        <f aca="false">IF(Estimates!BH12="","(n/a)","("&amp;TEXT(Estimates!BH12,"0.00")&amp;")")</f>
        <v>(-1.29)</v>
      </c>
      <c r="E23" s="8" t="str">
        <f aca="false">IF(Estimates!BL12="","(n/a)","("&amp;TEXT(Estimates!BL12,"0.00")&amp;")")</f>
        <v>(-1.92)</v>
      </c>
      <c r="F23" s="8" t="str">
        <f aca="false">IF(Estimates!BP12="","(n/a)","("&amp;TEXT(Estimates!BP12,"0.00")&amp;")")</f>
        <v>(-1.29)</v>
      </c>
      <c r="G23" s="8" t="str">
        <f aca="false">IF(Estimates!BT12="","(n/a)","("&amp;TEXT(Estimates!BT12,"0.00")&amp;")")</f>
        <v>(-0.05)</v>
      </c>
    </row>
    <row r="24" customFormat="false" ht="15" hidden="false" customHeight="false" outlineLevel="0" collapsed="false">
      <c r="A24" s="7" t="s">
        <v>18</v>
      </c>
      <c r="B24" s="8" t="str">
        <f aca="false">TEXT(Estimates!AX13,"0.000")&amp;IF(Estimates!BA13="","",IF(Estimates!BA13&lt;0.01,"***",IF(Estimates!BA13&lt;0.05,"**",IF(Estimates!BA13&lt;0.1,"*",""))))</f>
        <v>-0.092</v>
      </c>
      <c r="C24" s="8" t="str">
        <f aca="false">TEXT(Estimates!BB13,"0.000")&amp;IF(Estimates!BE13="","",IF(Estimates!BE13&lt;0.01,"***",IF(Estimates!BE13&lt;0.05,"**",IF(Estimates!BE13&lt;0.1,"*",""))))</f>
        <v>-0.065</v>
      </c>
      <c r="D24" s="8" t="str">
        <f aca="false">TEXT(Estimates!BF13,"0.000")&amp;IF(Estimates!BI13="","",IF(Estimates!BI13&lt;0.01,"***",IF(Estimates!BI13&lt;0.05,"**",IF(Estimates!BI13&lt;0.1,"*",""))))</f>
        <v>-0.082</v>
      </c>
      <c r="E24" s="8" t="str">
        <f aca="false">TEXT(Estimates!BJ13,"0.000")&amp;IF(Estimates!BM13="","",IF(Estimates!BM13&lt;0.01,"***",IF(Estimates!BM13&lt;0.05,"**",IF(Estimates!BM13&lt;0.1,"*",""))))</f>
        <v>-0.089*</v>
      </c>
      <c r="F24" s="8" t="str">
        <f aca="false">TEXT(Estimates!BN13,"0.000")&amp;IF(Estimates!BQ13="","",IF(Estimates!BQ13&lt;0.01,"***",IF(Estimates!BQ13&lt;0.05,"**",IF(Estimates!BQ13&lt;0.1,"*",""))))</f>
        <v>-0.105</v>
      </c>
      <c r="G24" s="8" t="str">
        <f aca="false">TEXT(Estimates!BR13,"0.000")&amp;IF(Estimates!BU13="","",IF(Estimates!BU13&lt;0.01,"***",IF(Estimates!BU13&lt;0.05,"**",IF(Estimates!BU13&lt;0.1,"*",""))))</f>
        <v>0.005</v>
      </c>
    </row>
    <row r="25" customFormat="false" ht="15" hidden="false" customHeight="false" outlineLevel="0" collapsed="false">
      <c r="B25" s="8" t="str">
        <f aca="false">IF(Estimates!AZ13="","(n/a)","("&amp;TEXT(Estimates!AZ13,"0.00")&amp;")")</f>
        <v>(-1.30)</v>
      </c>
      <c r="C25" s="8" t="str">
        <f aca="false">IF(Estimates!BD13="","(n/a)","("&amp;TEXT(Estimates!BD13,"0.00")&amp;")")</f>
        <v>(-1.05)</v>
      </c>
      <c r="D25" s="8" t="str">
        <f aca="false">IF(Estimates!BH13="","(n/a)","("&amp;TEXT(Estimates!BH13,"0.00")&amp;")")</f>
        <v>(-1.32)</v>
      </c>
      <c r="E25" s="8" t="str">
        <f aca="false">IF(Estimates!BL13="","(n/a)","("&amp;TEXT(Estimates!BL13,"0.00")&amp;")")</f>
        <v>(-1.87)</v>
      </c>
      <c r="F25" s="8" t="str">
        <f aca="false">IF(Estimates!BP13="","(n/a)","("&amp;TEXT(Estimates!BP13,"0.00")&amp;")")</f>
        <v>(-1.53)</v>
      </c>
      <c r="G25" s="8" t="str">
        <f aca="false">IF(Estimates!BT13="","(n/a)","("&amp;TEXT(Estimates!BT13,"0.00")&amp;")")</f>
        <v>(0.05)</v>
      </c>
    </row>
    <row r="26" customFormat="false" ht="15" hidden="false" customHeight="false" outlineLevel="0" collapsed="false">
      <c r="A26" s="7" t="s">
        <v>19</v>
      </c>
      <c r="B26" s="8" t="str">
        <f aca="false">TEXT(Estimates!AX14,"0.000")&amp;IF(Estimates!BA14="","",IF(Estimates!BA14&lt;0.01,"***",IF(Estimates!BA14&lt;0.05,"**",IF(Estimates!BA14&lt;0.1,"*",""))))</f>
        <v>-0.099</v>
      </c>
      <c r="C26" s="8" t="str">
        <f aca="false">TEXT(Estimates!BB14,"0.000")&amp;IF(Estimates!BE14="","",IF(Estimates!BE14&lt;0.01,"***",IF(Estimates!BE14&lt;0.05,"**",IF(Estimates!BE14&lt;0.1,"*",""))))</f>
        <v>-0.050</v>
      </c>
      <c r="D26" s="8" t="str">
        <f aca="false">TEXT(Estimates!BF14,"0.000")&amp;IF(Estimates!BI14="","",IF(Estimates!BI14&lt;0.01,"***",IF(Estimates!BI14&lt;0.05,"**",IF(Estimates!BI14&lt;0.1,"*",""))))</f>
        <v>-0.080</v>
      </c>
      <c r="E26" s="8" t="str">
        <f aca="false">TEXT(Estimates!BJ14,"0.000")&amp;IF(Estimates!BM14="","",IF(Estimates!BM14&lt;0.01,"***",IF(Estimates!BM14&lt;0.05,"**",IF(Estimates!BM14&lt;0.1,"*",""))))</f>
        <v>-0.096***</v>
      </c>
      <c r="F26" s="8" t="str">
        <f aca="false">TEXT(Estimates!BN14,"0.000")&amp;IF(Estimates!BQ14="","",IF(Estimates!BQ14&lt;0.01,"***",IF(Estimates!BQ14&lt;0.05,"**",IF(Estimates!BQ14&lt;0.1,"*",""))))</f>
        <v>-0.103</v>
      </c>
      <c r="G26" s="8" t="str">
        <f aca="false">TEXT(Estimates!BR14,"0.000")&amp;IF(Estimates!BU14="","",IF(Estimates!BU14&lt;0.01,"***",IF(Estimates!BU14&lt;0.05,"**",IF(Estimates!BU14&lt;0.1,"*",""))))</f>
        <v>-0.054</v>
      </c>
    </row>
    <row r="27" customFormat="false" ht="15" hidden="false" customHeight="false" outlineLevel="0" collapsed="false">
      <c r="B27" s="8" t="str">
        <f aca="false">IF(Estimates!AZ14="","(n/a)","("&amp;TEXT(Estimates!AZ14,"0.00")&amp;")")</f>
        <v>(-1.38)</v>
      </c>
      <c r="C27" s="8" t="str">
        <f aca="false">IF(Estimates!BD14="","(n/a)","("&amp;TEXT(Estimates!BD14,"0.00")&amp;")")</f>
        <v>(-0.78)</v>
      </c>
      <c r="D27" s="8" t="str">
        <f aca="false">IF(Estimates!BH14="","(n/a)","("&amp;TEXT(Estimates!BH14,"0.00")&amp;")")</f>
        <v>(-1.26)</v>
      </c>
      <c r="E27" s="8" t="str">
        <f aca="false">IF(Estimates!BL14="","(n/a)","("&amp;TEXT(Estimates!BL14,"0.00")&amp;")")</f>
        <v>(-3.00)</v>
      </c>
      <c r="F27" s="8" t="str">
        <f aca="false">IF(Estimates!BP14="","(n/a)","("&amp;TEXT(Estimates!BP14,"0.00")&amp;")")</f>
        <v>(-1.57)</v>
      </c>
      <c r="G27" s="8" t="str">
        <f aca="false">IF(Estimates!BT14="","(n/a)","("&amp;TEXT(Estimates!BT14,"0.00")&amp;")")</f>
        <v>(-0.73)</v>
      </c>
    </row>
    <row r="28" customFormat="false" ht="15" hidden="false" customHeight="false" outlineLevel="0" collapsed="false">
      <c r="A28" s="7" t="s">
        <v>20</v>
      </c>
      <c r="B28" s="8" t="str">
        <f aca="false">TEXT(Estimates!AX15,"0.000")&amp;IF(Estimates!BA15="","",IF(Estimates!BA15&lt;0.01,"***",IF(Estimates!BA15&lt;0.05,"**",IF(Estimates!BA15&lt;0.1,"*",""))))</f>
        <v>-0.068</v>
      </c>
      <c r="C28" s="8" t="str">
        <f aca="false">TEXT(Estimates!BB15,"0.000")&amp;IF(Estimates!BE15="","",IF(Estimates!BE15&lt;0.01,"***",IF(Estimates!BE15&lt;0.05,"**",IF(Estimates!BE15&lt;0.1,"*",""))))</f>
        <v>-0.029</v>
      </c>
      <c r="D28" s="8" t="str">
        <f aca="false">TEXT(Estimates!BF15,"0.000")&amp;IF(Estimates!BI15="","",IF(Estimates!BI15&lt;0.01,"***",IF(Estimates!BI15&lt;0.05,"**",IF(Estimates!BI15&lt;0.1,"*",""))))</f>
        <v>-0.086</v>
      </c>
      <c r="E28" s="8" t="str">
        <f aca="false">TEXT(Estimates!BJ15,"0.000")&amp;IF(Estimates!BM15="","",IF(Estimates!BM15&lt;0.01,"***",IF(Estimates!BM15&lt;0.05,"**",IF(Estimates!BM15&lt;0.1,"*",""))))</f>
        <v>-0.066**</v>
      </c>
      <c r="F28" s="8" t="str">
        <f aca="false">TEXT(Estimates!BN15,"0.000")&amp;IF(Estimates!BQ15="","",IF(Estimates!BQ15&lt;0.01,"***",IF(Estimates!BQ15&lt;0.05,"**",IF(Estimates!BQ15&lt;0.1,"*",""))))</f>
        <v>-0.062</v>
      </c>
      <c r="G28" s="8" t="str">
        <f aca="false">TEXT(Estimates!BR15,"0.000")&amp;IF(Estimates!BU15="","",IF(Estimates!BU15&lt;0.01,"***",IF(Estimates!BU15&lt;0.05,"**",IF(Estimates!BU15&lt;0.1,"*",""))))</f>
        <v>0.009</v>
      </c>
    </row>
    <row r="29" customFormat="false" ht="15" hidden="false" customHeight="false" outlineLevel="0" collapsed="false">
      <c r="B29" s="8" t="str">
        <f aca="false">IF(Estimates!AZ15="","(n/a)","("&amp;TEXT(Estimates!AZ15,"0.00")&amp;")")</f>
        <v>(-0.97)</v>
      </c>
      <c r="C29" s="8" t="str">
        <f aca="false">IF(Estimates!BD15="","(n/a)","("&amp;TEXT(Estimates!BD15,"0.00")&amp;")")</f>
        <v>(-0.46)</v>
      </c>
      <c r="D29" s="8" t="str">
        <f aca="false">IF(Estimates!BH15="","(n/a)","("&amp;TEXT(Estimates!BH15,"0.00")&amp;")")</f>
        <v>(-1.43)</v>
      </c>
      <c r="E29" s="8" t="str">
        <f aca="false">IF(Estimates!BL15="","(n/a)","("&amp;TEXT(Estimates!BL15,"0.00")&amp;")")</f>
        <v>(-2.18)</v>
      </c>
      <c r="F29" s="8" t="str">
        <f aca="false">IF(Estimates!BP15="","(n/a)","("&amp;TEXT(Estimates!BP15,"0.00")&amp;")")</f>
        <v>(-1.36)</v>
      </c>
      <c r="G29" s="8" t="str">
        <f aca="false">IF(Estimates!BT15="","(n/a)","("&amp;TEXT(Estimates!BT15,"0.00")&amp;")")</f>
        <v>(0.14)</v>
      </c>
    </row>
    <row r="30" customFormat="false" ht="15" hidden="false" customHeight="false" outlineLevel="0" collapsed="false">
      <c r="A30" s="7" t="s">
        <v>21</v>
      </c>
      <c r="B30" s="8" t="str">
        <f aca="false">TEXT(Estimates!AX16,"0.000")&amp;IF(Estimates!BA16="","",IF(Estimates!BA16&lt;0.01,"***",IF(Estimates!BA16&lt;0.05,"**",IF(Estimates!BA16&lt;0.1,"*",""))))</f>
        <v>0.017</v>
      </c>
      <c r="C30" s="8" t="str">
        <f aca="false">TEXT(Estimates!BB16,"0.000")&amp;IF(Estimates!BE16="","",IF(Estimates!BE16&lt;0.01,"***",IF(Estimates!BE16&lt;0.05,"**",IF(Estimates!BE16&lt;0.1,"*",""))))</f>
        <v>0.020</v>
      </c>
    </row>
    <row r="31" customFormat="false" ht="15" hidden="false" customHeight="false" outlineLevel="0" collapsed="false">
      <c r="B31" s="8" t="str">
        <f aca="false">IF(Estimates!AZ16="","(n/a)","("&amp;TEXT(Estimates!AZ16,"0.00")&amp;")")</f>
        <v>(0.35)</v>
      </c>
      <c r="C31" s="8" t="str">
        <f aca="false">IF(Estimates!BD16="","(n/a)","("&amp;TEXT(Estimates!BD16,"0.00")&amp;")")</f>
        <v>(0.40)</v>
      </c>
    </row>
    <row r="32" customFormat="false" ht="15" hidden="false" customHeight="false" outlineLevel="0" collapsed="false">
      <c r="A32" s="7" t="s">
        <v>22</v>
      </c>
      <c r="C32" s="8" t="str">
        <f aca="false">TEXT(Estimates!BB17,"0.000")&amp;IF(Estimates!BE17="","",IF(Estimates!BE17&lt;0.01,"***",IF(Estimates!BE17&lt;0.05,"**",IF(Estimates!BE17&lt;0.1,"*",""))))</f>
        <v>0.038</v>
      </c>
      <c r="D32" s="8" t="str">
        <f aca="false">TEXT(Estimates!BF17,"0.000")&amp;IF(Estimates!BI17="","",IF(Estimates!BI17&lt;0.01,"***",IF(Estimates!BI17&lt;0.05,"**",IF(Estimates!BI17&lt;0.1,"*",""))))</f>
        <v>-0.205</v>
      </c>
      <c r="E32" s="8" t="str">
        <f aca="false">TEXT(Estimates!BJ17,"0.000")&amp;IF(Estimates!BM17="","",IF(Estimates!BM17&lt;0.01,"***",IF(Estimates!BM17&lt;0.05,"**",IF(Estimates!BM17&lt;0.1,"*",""))))</f>
        <v>-0.484**</v>
      </c>
    </row>
    <row r="33" customFormat="false" ht="15" hidden="false" customHeight="false" outlineLevel="0" collapsed="false">
      <c r="C33" s="8" t="str">
        <f aca="false">IF(Estimates!BD17="","(n/a)","("&amp;TEXT(Estimates!BD17,"0.00")&amp;")")</f>
        <v>(0.17)</v>
      </c>
      <c r="D33" s="8" t="str">
        <f aca="false">IF(Estimates!BH17="","(n/a)","("&amp;TEXT(Estimates!BH17,"0.00")&amp;")")</f>
        <v>(-1.06)</v>
      </c>
      <c r="E33" s="8" t="str">
        <f aca="false">IF(Estimates!BL17="","(n/a)","("&amp;TEXT(Estimates!BL17,"0.00")&amp;")")</f>
        <v>(-2.36)</v>
      </c>
    </row>
    <row r="34" customFormat="false" ht="15" hidden="false" customHeight="false" outlineLevel="0" collapsed="false">
      <c r="A34" s="7" t="s">
        <v>23</v>
      </c>
      <c r="C34" s="8" t="str">
        <f aca="false">TEXT(Estimates!BB18,"0.000")&amp;IF(Estimates!BE18="","",IF(Estimates!BE18&lt;0.01,"***",IF(Estimates!BE18&lt;0.05,"**",IF(Estimates!BE18&lt;0.1,"*",""))))</f>
        <v>-0.001</v>
      </c>
      <c r="D34" s="8" t="str">
        <f aca="false">TEXT(Estimates!BF18,"0.000")&amp;IF(Estimates!BI18="","",IF(Estimates!BI18&lt;0.01,"***",IF(Estimates!BI18&lt;0.05,"**",IF(Estimates!BI18&lt;0.1,"*",""))))</f>
        <v>0.007</v>
      </c>
      <c r="E34" s="8" t="str">
        <f aca="false">TEXT(Estimates!BJ18,"0.000")&amp;IF(Estimates!BM18="","",IF(Estimates!BM18&lt;0.01,"***",IF(Estimates!BM18&lt;0.05,"**",IF(Estimates!BM18&lt;0.1,"*",""))))</f>
        <v>0.064*</v>
      </c>
    </row>
    <row r="35" customFormat="false" ht="15" hidden="false" customHeight="false" outlineLevel="0" collapsed="false">
      <c r="C35" s="8" t="str">
        <f aca="false">IF(Estimates!BD18="","(n/a)","("&amp;TEXT(Estimates!BD18,"0.00")&amp;")")</f>
        <v>(-0.03)</v>
      </c>
      <c r="D35" s="8" t="str">
        <f aca="false">IF(Estimates!BH18="","(n/a)","("&amp;TEXT(Estimates!BH18,"0.00")&amp;")")</f>
        <v>(0.29)</v>
      </c>
      <c r="E35" s="8" t="str">
        <f aca="false">IF(Estimates!BL18="","(n/a)","("&amp;TEXT(Estimates!BL18,"0.00")&amp;")")</f>
        <v>(1.90)</v>
      </c>
    </row>
    <row r="36" customFormat="false" ht="15" hidden="false" customHeight="false" outlineLevel="0" collapsed="false">
      <c r="A36" s="7" t="s">
        <v>24</v>
      </c>
      <c r="C36" s="8" t="str">
        <f aca="false">TEXT(Estimates!BB19,"0.000")&amp;IF(Estimates!BE19="","",IF(Estimates!BE19&lt;0.01,"***",IF(Estimates!BE19&lt;0.05,"**",IF(Estimates!BE19&lt;0.1,"*",""))))</f>
        <v>-0.211***</v>
      </c>
      <c r="D36" s="8" t="str">
        <f aca="false">TEXT(Estimates!BF19,"0.000")&amp;IF(Estimates!BI19="","",IF(Estimates!BI19&lt;0.01,"***",IF(Estimates!BI19&lt;0.05,"**",IF(Estimates!BI19&lt;0.1,"*",""))))</f>
        <v>-0.202**</v>
      </c>
      <c r="E36" s="8" t="str">
        <f aca="false">TEXT(Estimates!BJ19,"0.000")&amp;IF(Estimates!BM19="","",IF(Estimates!BM19&lt;0.01,"***",IF(Estimates!BM19&lt;0.05,"**",IF(Estimates!BM19&lt;0.1,"*",""))))</f>
        <v>-0.010</v>
      </c>
    </row>
    <row r="37" customFormat="false" ht="15" hidden="false" customHeight="false" outlineLevel="0" collapsed="false">
      <c r="C37" s="8" t="str">
        <f aca="false">IF(Estimates!BD19="","(n/a)","("&amp;TEXT(Estimates!BD19,"0.00")&amp;")")</f>
        <v>(-3.77)</v>
      </c>
      <c r="D37" s="8" t="str">
        <f aca="false">IF(Estimates!BH19="","(n/a)","("&amp;TEXT(Estimates!BH19,"0.00")&amp;")")</f>
        <v>(-2.30)</v>
      </c>
      <c r="E37" s="8" t="str">
        <f aca="false">IF(Estimates!BL19="","(n/a)","("&amp;TEXT(Estimates!BL19,"0.00")&amp;")")</f>
        <v>(-0.13)</v>
      </c>
    </row>
    <row r="38" customFormat="false" ht="15" hidden="false" customHeight="false" outlineLevel="0" collapsed="false">
      <c r="A38" s="7" t="s">
        <v>25</v>
      </c>
      <c r="C38" s="8" t="str">
        <f aca="false">TEXT(Estimates!BB20,"0.000")&amp;IF(Estimates!BE20="","",IF(Estimates!BE20&lt;0.01,"***",IF(Estimates!BE20&lt;0.05,"**",IF(Estimates!BE20&lt;0.1,"*",""))))</f>
        <v>-0.070</v>
      </c>
      <c r="D38" s="8" t="str">
        <f aca="false">TEXT(Estimates!BF20,"0.000")&amp;IF(Estimates!BI20="","",IF(Estimates!BI20&lt;0.01,"***",IF(Estimates!BI20&lt;0.05,"**",IF(Estimates!BI20&lt;0.1,"*",""))))</f>
        <v>-0.092</v>
      </c>
      <c r="E38" s="8" t="str">
        <f aca="false">TEXT(Estimates!BJ20,"0.000")&amp;IF(Estimates!BM20="","",IF(Estimates!BM20&lt;0.01,"***",IF(Estimates!BM20&lt;0.05,"**",IF(Estimates!BM20&lt;0.1,"*",""))))</f>
        <v>-0.115**</v>
      </c>
    </row>
    <row r="39" customFormat="false" ht="15" hidden="false" customHeight="false" outlineLevel="0" collapsed="false">
      <c r="C39" s="8" t="str">
        <f aca="false">IF(Estimates!BD20="","(n/a)","("&amp;TEXT(Estimates!BD20,"0.00")&amp;")")</f>
        <v>(-1.28)</v>
      </c>
      <c r="D39" s="8" t="str">
        <f aca="false">IF(Estimates!BH20="","(n/a)","("&amp;TEXT(Estimates!BH20,"0.00")&amp;")")</f>
        <v>(-1.59)</v>
      </c>
      <c r="E39" s="8" t="str">
        <f aca="false">IF(Estimates!BL20="","(n/a)","("&amp;TEXT(Estimates!BL20,"0.00")&amp;")")</f>
        <v>(-2.17)</v>
      </c>
    </row>
    <row r="40" customFormat="false" ht="15" hidden="false" customHeight="false" outlineLevel="0" collapsed="false">
      <c r="A40" s="7" t="s">
        <v>26</v>
      </c>
      <c r="C40" s="8" t="str">
        <f aca="false">TEXT(Estimates!BB21,"0.000")&amp;IF(Estimates!BE21="","",IF(Estimates!BE21&lt;0.01,"***",IF(Estimates!BE21&lt;0.05,"**",IF(Estimates!BE21&lt;0.1,"*",""))))</f>
        <v>0.056</v>
      </c>
    </row>
    <row r="41" customFormat="false" ht="15" hidden="false" customHeight="false" outlineLevel="0" collapsed="false">
      <c r="C41" s="8" t="str">
        <f aca="false">IF(Estimates!BD21="","(n/a)","("&amp;TEXT(Estimates!BD21,"0.00")&amp;")")</f>
        <v>(0.95)</v>
      </c>
    </row>
    <row r="42" customFormat="false" ht="15" hidden="false" customHeight="false" outlineLevel="0" collapsed="false">
      <c r="A42" s="7" t="s">
        <v>27</v>
      </c>
      <c r="C42" s="8" t="str">
        <f aca="false">TEXT(Estimates!BB22,"0.000")&amp;IF(Estimates!BE22="","",IF(Estimates!BE22&lt;0.01,"***",IF(Estimates!BE22&lt;0.05,"**",IF(Estimates!BE22&lt;0.1,"*",""))))</f>
        <v>-0.030</v>
      </c>
      <c r="D42" s="8" t="str">
        <f aca="false">TEXT(Estimates!BF22,"0.000")&amp;IF(Estimates!BI22="","",IF(Estimates!BI22&lt;0.01,"***",IF(Estimates!BI22&lt;0.05,"**",IF(Estimates!BI22&lt;0.1,"*",""))))</f>
        <v>0.041</v>
      </c>
      <c r="E42" s="8" t="str">
        <f aca="false">TEXT(Estimates!BJ22,"0.000")&amp;IF(Estimates!BM22="","",IF(Estimates!BM22&lt;0.01,"***",IF(Estimates!BM22&lt;0.05,"**",IF(Estimates!BM22&lt;0.1,"*",""))))</f>
        <v>1.130*</v>
      </c>
    </row>
    <row r="43" customFormat="false" ht="15" hidden="false" customHeight="false" outlineLevel="0" collapsed="false">
      <c r="C43" s="8" t="str">
        <f aca="false">IF(Estimates!BD22="","(n/a)","("&amp;TEXT(Estimates!BD22,"0.00")&amp;")")</f>
        <v>(-0.38)</v>
      </c>
      <c r="D43" s="8" t="str">
        <f aca="false">IF(Estimates!BH22="","(n/a)","("&amp;TEXT(Estimates!BH22,"0.00")&amp;")")</f>
        <v>(0.10)</v>
      </c>
      <c r="E43" s="8" t="str">
        <f aca="false">IF(Estimates!BL22="","(n/a)","("&amp;TEXT(Estimates!BL22,"0.00")&amp;")")</f>
        <v>(1.84)</v>
      </c>
    </row>
    <row r="45" customFormat="false" ht="15" hidden="false" customHeight="false" outlineLevel="0" collapsed="false">
      <c r="A45" s="7" t="s">
        <v>28</v>
      </c>
      <c r="B45" s="9" t="n">
        <f aca="false">Estimates!AX24</f>
        <v>273</v>
      </c>
      <c r="C45" s="9" t="n">
        <f aca="false">Estimates!BB24</f>
        <v>257</v>
      </c>
      <c r="D45" s="9" t="n">
        <f aca="false">Estimates!BF24</f>
        <v>255</v>
      </c>
      <c r="E45" s="9" t="n">
        <f aca="false">Estimates!BJ24</f>
        <v>255</v>
      </c>
      <c r="F45" s="9" t="n">
        <f aca="false">Estimates!BN24</f>
        <v>257</v>
      </c>
      <c r="G45" s="9" t="n">
        <f aca="false">Estimates!BR24</f>
        <v>169</v>
      </c>
    </row>
    <row r="46" customFormat="false" ht="15" hidden="false" customHeight="false" outlineLevel="0" collapsed="false">
      <c r="A46" s="7" t="s">
        <v>29</v>
      </c>
      <c r="B46" s="10" t="n">
        <f aca="false">Estimates!AX27</f>
        <v>0.469528115061934</v>
      </c>
      <c r="C46" s="10" t="n">
        <f aca="false">Estimates!BB27</f>
        <v>0.546340101264371</v>
      </c>
      <c r="D46" s="10" t="n">
        <f aca="false">Estimates!BF27</f>
        <v>0.547393161713767</v>
      </c>
      <c r="E46" s="10" t="n">
        <f aca="false">Estimates!BJ27</f>
        <v>0.722049927937861</v>
      </c>
      <c r="F46" s="10" t="n">
        <f aca="false">Estimates!BN27</f>
        <v>0.78672006891885</v>
      </c>
      <c r="G46" s="10" t="n">
        <f aca="false">Estimates!BR27</f>
        <v>0.816117035276705</v>
      </c>
    </row>
    <row r="47" customFormat="false" ht="15" hidden="false" customHeight="false" outlineLevel="0" collapsed="false">
      <c r="A47" s="7" t="s">
        <v>45</v>
      </c>
      <c r="B47" s="14" t="n">
        <f aca="false">Estimates!AX28</f>
        <v>40</v>
      </c>
      <c r="C47" s="14" t="n">
        <f aca="false">Estimates!BB28</f>
        <v>37</v>
      </c>
      <c r="D47" s="14" t="n">
        <f aca="false">Estimates!BF28</f>
        <v>37</v>
      </c>
      <c r="E47" s="14" t="n">
        <f aca="false">Estimates!BJ28</f>
        <v>37</v>
      </c>
      <c r="F47" s="14" t="n">
        <f aca="false">Estimates!BN28</f>
        <v>40</v>
      </c>
      <c r="G47" s="14" t="n">
        <f aca="false">Estimates!BR28</f>
        <v>20</v>
      </c>
    </row>
    <row r="48" customFormat="false" ht="15" hidden="false" customHeight="false" outlineLevel="0" collapsed="false">
      <c r="A48" s="7" t="s">
        <v>30</v>
      </c>
      <c r="B48" s="11" t="s">
        <v>31</v>
      </c>
      <c r="C48" s="11" t="s">
        <v>31</v>
      </c>
      <c r="D48" s="11" t="s">
        <v>32</v>
      </c>
      <c r="E48" s="11" t="s">
        <v>32</v>
      </c>
      <c r="F48" s="11" t="s">
        <v>31</v>
      </c>
      <c r="G48" s="11" t="s">
        <v>31</v>
      </c>
    </row>
    <row r="49" customFormat="false" ht="15" hidden="false" customHeight="false" outlineLevel="0" collapsed="false">
      <c r="A49" s="7" t="s">
        <v>33</v>
      </c>
      <c r="B49" s="11" t="s">
        <v>32</v>
      </c>
      <c r="C49" s="11" t="s">
        <v>32</v>
      </c>
      <c r="D49" s="11" t="s">
        <v>31</v>
      </c>
      <c r="E49" s="11" t="s">
        <v>32</v>
      </c>
      <c r="F49" s="11" t="s">
        <v>32</v>
      </c>
      <c r="G49" s="11" t="s">
        <v>32</v>
      </c>
    </row>
    <row r="50" customFormat="false" ht="15" hidden="false" customHeight="false" outlineLevel="0" collapsed="false">
      <c r="A50" s="7" t="s">
        <v>46</v>
      </c>
      <c r="B50" s="11" t="s">
        <v>31</v>
      </c>
      <c r="C50" s="11" t="s">
        <v>31</v>
      </c>
      <c r="D50" s="11" t="s">
        <v>31</v>
      </c>
      <c r="E50" s="11" t="s">
        <v>31</v>
      </c>
      <c r="F50" s="11" t="s">
        <v>32</v>
      </c>
      <c r="G50" s="11" t="s">
        <v>32</v>
      </c>
    </row>
    <row r="51" customFormat="false" ht="15" hidden="false" customHeight="false" outlineLevel="0" collapsed="false">
      <c r="A51" s="12" t="s">
        <v>47</v>
      </c>
      <c r="B51" s="6"/>
      <c r="C51" s="6"/>
      <c r="D51" s="6"/>
      <c r="E51" s="6"/>
      <c r="F51" s="6"/>
      <c r="G51" s="6" t="s">
        <v>48</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3"/>
  </cols>
  <sheetData>
    <row r="1" customFormat="false" ht="15" hidden="false" customHeight="false" outlineLevel="0" collapsed="false">
      <c r="A1" s="1" t="s">
        <v>50</v>
      </c>
    </row>
    <row r="2" customFormat="false" ht="105" hidden="false" customHeight="true" outlineLevel="0" collapsed="false">
      <c r="A2" s="2" t="s">
        <v>51</v>
      </c>
      <c r="B2" s="2"/>
      <c r="C2" s="2"/>
      <c r="D2" s="2"/>
      <c r="E2" s="2"/>
      <c r="F2" s="2"/>
      <c r="G2" s="2"/>
      <c r="H2" s="2"/>
    </row>
    <row r="4" customFormat="false" ht="23.85" hidden="false" customHeight="false" outlineLevel="0" collapsed="false">
      <c r="A4" s="15"/>
      <c r="B4" s="15" t="s">
        <v>52</v>
      </c>
      <c r="C4" s="15" t="s">
        <v>53</v>
      </c>
      <c r="D4" s="15" t="s">
        <v>54</v>
      </c>
      <c r="E4" s="15" t="s">
        <v>55</v>
      </c>
      <c r="F4" s="15" t="s">
        <v>56</v>
      </c>
      <c r="G4" s="15" t="s">
        <v>57</v>
      </c>
      <c r="H4" s="15" t="s">
        <v>58</v>
      </c>
      <c r="J4" s="16" t="s">
        <v>59</v>
      </c>
      <c r="K4" s="16" t="s">
        <v>60</v>
      </c>
      <c r="L4" s="16" t="s">
        <v>61</v>
      </c>
    </row>
    <row r="5" customFormat="false" ht="15" hidden="false" customHeight="false" outlineLevel="0" collapsed="false">
      <c r="A5" s="7" t="s">
        <v>62</v>
      </c>
      <c r="B5" s="17" t="n">
        <v>37</v>
      </c>
      <c r="C5" s="18" t="n">
        <v>-0.496722508589676</v>
      </c>
      <c r="D5" s="18" t="n">
        <v>-0.235469095488781</v>
      </c>
      <c r="E5" s="8" t="str">
        <f aca="false">TEXT(D5-C5,"0.000")&amp;IF(L5&lt;0.01,"***",IF(L5&lt;0.05,"**",IF(L5&lt;0.1,"*","")))</f>
        <v>0.261</v>
      </c>
      <c r="F5" s="8" t="str">
        <f aca="false">TEXT(K5,"0.00")</f>
        <v>0.59</v>
      </c>
      <c r="G5" s="19" t="n">
        <v>0.621621621621622</v>
      </c>
      <c r="H5" s="18" t="n">
        <v>0.377726926206378</v>
      </c>
      <c r="J5" s="20" t="n">
        <v>2.68638223841313</v>
      </c>
      <c r="K5" s="7" t="n">
        <f aca="false">(D5-C5)/(J5/SQRT(B5))</f>
        <v>0.591554861180652</v>
      </c>
      <c r="L5" s="7" t="n">
        <f aca="false">TDIST(ABS(K5),B5-1,2)</f>
        <v>0.557845417436398</v>
      </c>
    </row>
    <row r="6" customFormat="false" ht="15" hidden="false" customHeight="false" outlineLevel="0" collapsed="false">
      <c r="A6" s="7" t="s">
        <v>63</v>
      </c>
      <c r="B6" s="17" t="n">
        <v>30</v>
      </c>
      <c r="C6" s="18" t="n">
        <v>0.0449248677248678</v>
      </c>
      <c r="D6" s="18" t="n">
        <v>0.181985185185185</v>
      </c>
      <c r="E6" s="8" t="str">
        <f aca="false">TEXT(D6-C6,"0.000")&amp;IF(L6&lt;0.01,"***",IF(L6&lt;0.05,"**",IF(L6&lt;0.1,"*","")))</f>
        <v>0.137</v>
      </c>
      <c r="F6" s="8" t="str">
        <f aca="false">TEXT(K6,"0.00")</f>
        <v>0.29</v>
      </c>
      <c r="G6" s="19" t="n">
        <v>0.5</v>
      </c>
      <c r="H6" s="18" t="n">
        <v>1</v>
      </c>
      <c r="J6" s="20" t="n">
        <v>2.5905276335801</v>
      </c>
      <c r="K6" s="7" t="n">
        <f aca="false">(D6-C6)/(J6/SQRT(B6))</f>
        <v>0.289790491476391</v>
      </c>
      <c r="L6" s="7" t="n">
        <f aca="false">TDIST(ABS(K6),B6-1,2)</f>
        <v>0.774038460529599</v>
      </c>
    </row>
    <row r="7" customFormat="false" ht="15" hidden="false" customHeight="false" outlineLevel="0" collapsed="false">
      <c r="A7" s="12" t="s">
        <v>64</v>
      </c>
      <c r="B7" s="21" t="n">
        <v>35</v>
      </c>
      <c r="C7" s="22" t="n">
        <v>0.293334538583011</v>
      </c>
      <c r="D7" s="22" t="n">
        <v>0.356888088432329</v>
      </c>
      <c r="E7" s="23" t="str">
        <f aca="false">TEXT(D7-C7,"0.000")&amp;IF(L7&lt;0.01,"***",IF(L7&lt;0.05,"**",IF(L7&lt;0.1,"*","")))</f>
        <v>0.064**</v>
      </c>
      <c r="F7" s="23" t="str">
        <f aca="false">TEXT(K7,"0.00")</f>
        <v>2.24</v>
      </c>
      <c r="G7" s="24" t="n">
        <v>0.657142857142857</v>
      </c>
      <c r="H7" s="22" t="n">
        <v>0.0300070070079528</v>
      </c>
      <c r="J7" s="20" t="n">
        <v>0.168102356442351</v>
      </c>
      <c r="K7" s="7" t="n">
        <f aca="false">(D7-C7)/(J7/SQRT(B7))</f>
        <v>2.23666032627394</v>
      </c>
      <c r="L7" s="7" t="n">
        <f aca="false">TDIST(ABS(K7),B7-1,2)</f>
        <v>0.0319755049821878</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9" min="2" style="0" width="9"/>
  </cols>
  <sheetData>
    <row r="1" customFormat="false" ht="15" hidden="false" customHeight="false" outlineLevel="0" collapsed="false">
      <c r="A1" s="16" t="s">
        <v>65</v>
      </c>
    </row>
    <row r="3" customFormat="false" ht="23.85" hidden="false" customHeight="false" outlineLevel="0" collapsed="false">
      <c r="A3" s="1" t="s">
        <v>66</v>
      </c>
      <c r="B3" s="25" t="s">
        <v>67</v>
      </c>
      <c r="C3" s="25" t="s">
        <v>68</v>
      </c>
      <c r="D3" s="25" t="s">
        <v>69</v>
      </c>
      <c r="E3" s="25" t="s">
        <v>70</v>
      </c>
      <c r="F3" s="25" t="s">
        <v>71</v>
      </c>
      <c r="G3" s="25" t="s">
        <v>72</v>
      </c>
      <c r="H3" s="25" t="s">
        <v>73</v>
      </c>
      <c r="I3" s="25" t="s">
        <v>74</v>
      </c>
      <c r="J3" s="25" t="s">
        <v>75</v>
      </c>
      <c r="K3" s="25" t="s">
        <v>76</v>
      </c>
      <c r="L3" s="25" t="s">
        <v>77</v>
      </c>
      <c r="M3" s="25" t="s">
        <v>78</v>
      </c>
      <c r="N3" s="25" t="s">
        <v>79</v>
      </c>
      <c r="O3" s="25" t="s">
        <v>80</v>
      </c>
      <c r="P3" s="25" t="s">
        <v>81</v>
      </c>
      <c r="Q3" s="25" t="s">
        <v>82</v>
      </c>
      <c r="R3" s="25" t="s">
        <v>83</v>
      </c>
      <c r="S3" s="25" t="s">
        <v>84</v>
      </c>
      <c r="T3" s="25" t="s">
        <v>85</v>
      </c>
      <c r="U3" s="25" t="s">
        <v>86</v>
      </c>
      <c r="V3" s="25" t="s">
        <v>87</v>
      </c>
      <c r="W3" s="25" t="s">
        <v>88</v>
      </c>
      <c r="X3" s="25" t="s">
        <v>89</v>
      </c>
      <c r="Y3" s="25" t="s">
        <v>90</v>
      </c>
      <c r="Z3" s="25" t="s">
        <v>91</v>
      </c>
      <c r="AA3" s="25" t="s">
        <v>92</v>
      </c>
      <c r="AB3" s="25" t="s">
        <v>93</v>
      </c>
      <c r="AC3" s="25" t="s">
        <v>94</v>
      </c>
      <c r="AD3" s="25" t="s">
        <v>95</v>
      </c>
      <c r="AE3" s="25" t="s">
        <v>96</v>
      </c>
      <c r="AF3" s="25" t="s">
        <v>97</v>
      </c>
      <c r="AG3" s="25" t="s">
        <v>98</v>
      </c>
      <c r="AH3" s="25" t="s">
        <v>99</v>
      </c>
      <c r="AI3" s="25" t="s">
        <v>100</v>
      </c>
      <c r="AJ3" s="25" t="s">
        <v>101</v>
      </c>
      <c r="AK3" s="25" t="s">
        <v>102</v>
      </c>
      <c r="AL3" s="25" t="s">
        <v>103</v>
      </c>
      <c r="AM3" s="25" t="s">
        <v>104</v>
      </c>
      <c r="AN3" s="25" t="s">
        <v>105</v>
      </c>
      <c r="AO3" s="25" t="s">
        <v>106</v>
      </c>
      <c r="AP3" s="25" t="s">
        <v>107</v>
      </c>
      <c r="AQ3" s="25" t="s">
        <v>108</v>
      </c>
      <c r="AR3" s="25" t="s">
        <v>109</v>
      </c>
      <c r="AS3" s="25" t="s">
        <v>110</v>
      </c>
      <c r="AT3" s="25" t="s">
        <v>111</v>
      </c>
      <c r="AU3" s="25" t="s">
        <v>112</v>
      </c>
      <c r="AV3" s="25" t="s">
        <v>113</v>
      </c>
      <c r="AW3" s="25" t="s">
        <v>114</v>
      </c>
    </row>
    <row r="4" customFormat="false" ht="15" hidden="false" customHeight="false" outlineLevel="0" collapsed="false">
      <c r="A4" s="7" t="s">
        <v>8</v>
      </c>
      <c r="B4" s="26" t="n">
        <v>-0.510251321903697</v>
      </c>
      <c r="C4" s="26" t="n">
        <v>0.176316009663441</v>
      </c>
      <c r="D4" s="27" t="n">
        <f aca="false">IF(C4&gt;0,B4/C4,"")</f>
        <v>-2.8939591071604</v>
      </c>
      <c r="E4" s="27" t="n">
        <f aca="false">IF(C4&gt;0,TDIST(ABS(D4),MIN(B27,B28)-1,2),"")</f>
        <v>0.00967072042751056</v>
      </c>
      <c r="F4" s="26" t="n">
        <v>-0.604787804349576</v>
      </c>
      <c r="G4" s="26" t="n">
        <v>0.213541498979305</v>
      </c>
      <c r="H4" s="27" t="n">
        <f aca="false">IF(G4&gt;0,F4/G4,"")</f>
        <v>-2.83217925902163</v>
      </c>
      <c r="I4" s="27" t="n">
        <f aca="false">IF(G4&gt;0,TDIST(ABS(H4),MIN(F27,F28)-1,2),"")</f>
        <v>0.0110470108577643</v>
      </c>
      <c r="J4" s="26" t="n">
        <v>-0.773467565288007</v>
      </c>
      <c r="K4" s="26" t="n">
        <v>0.337292535843564</v>
      </c>
      <c r="L4" s="27" t="n">
        <f aca="false">IF(K4&gt;0,J4/K4,"")</f>
        <v>-2.29316537750702</v>
      </c>
      <c r="M4" s="27" t="n">
        <f aca="false">IF(K4&gt;0,TDIST(ABS(L4),MIN(J27,J28)-1,2),"")</f>
        <v>0.0340963014993949</v>
      </c>
      <c r="N4" s="26" t="n">
        <v>-0.860866775829676</v>
      </c>
      <c r="O4" s="26" t="n">
        <v>0.350886914766573</v>
      </c>
      <c r="P4" s="27" t="n">
        <f aca="false">IF(O4&gt;0,N4/O4,"")</f>
        <v>-2.45340233448821</v>
      </c>
      <c r="Q4" s="27" t="n">
        <f aca="false">IF(O4&gt;0,TDIST(ABS(P4),MIN(N27,N28)-1,2),"")</f>
        <v>0.0245701194412032</v>
      </c>
      <c r="R4" s="26" t="n">
        <v>-0.486153585661349</v>
      </c>
      <c r="S4" s="26" t="n">
        <v>0.197307646675873</v>
      </c>
      <c r="T4" s="27" t="n">
        <f aca="false">IF(S4&gt;0,R4/S4,"")</f>
        <v>-2.46393687143802</v>
      </c>
      <c r="U4" s="27" t="n">
        <f aca="false">IF(S4&gt;0,TDIST(ABS(T4),MIN(R27,R28)-1,2),"")</f>
        <v>0.024040605674386</v>
      </c>
      <c r="V4" s="26" t="n">
        <v>-0.610530826535689</v>
      </c>
      <c r="W4" s="26" t="n">
        <v>0.15847171361478</v>
      </c>
      <c r="X4" s="27" t="n">
        <f aca="false">IF(W4&gt;0,V4/W4,"")</f>
        <v>-3.85261705454764</v>
      </c>
      <c r="Y4" s="27" t="n">
        <f aca="false">IF(W4&gt;0,TDIST(ABS(X4),MIN(V27,V28)-1,2),"")</f>
        <v>0.00116629097610672</v>
      </c>
      <c r="Z4" s="26" t="n">
        <v>-0.583825158658495</v>
      </c>
      <c r="AA4" s="26" t="n">
        <v>0.232511886249217</v>
      </c>
      <c r="AB4" s="27" t="n">
        <f aca="false">IF(AA4&gt;0,Z4/AA4,"")</f>
        <v>-2.51094758240757</v>
      </c>
      <c r="AC4" s="27" t="n">
        <f aca="false">IF(AA4&gt;0,TDIST(ABS(AB4),MIN(Z27,Z28)-1,2),"")</f>
        <v>0.0218057871026355</v>
      </c>
      <c r="AD4" s="26" t="n">
        <v>-0.684344614207798</v>
      </c>
      <c r="AE4" s="26" t="n">
        <v>0.239277652502275</v>
      </c>
      <c r="AF4" s="27" t="n">
        <f aca="false">IF(AE4&gt;0,AD4/AE4,"")</f>
        <v>-2.86004399930868</v>
      </c>
      <c r="AG4" s="27" t="n">
        <f aca="false">IF(AE4&gt;0,TDIST(ABS(AF4),MIN(AD27,AD28)-1,2),"")</f>
        <v>0.010404365840353</v>
      </c>
      <c r="AH4" s="26" t="n">
        <v>-0.0446206736781622</v>
      </c>
      <c r="AI4" s="26" t="n">
        <v>0.0343181937895853</v>
      </c>
      <c r="AJ4" s="27" t="n">
        <f aca="false">IF(AI4&gt;0,AH4/AI4,"")</f>
        <v>-1.30020460726297</v>
      </c>
      <c r="AK4" s="27" t="n">
        <f aca="false">IF(AI4&gt;0,TDIST(ABS(AJ4),MIN(AH27,AH28)-1,2),"")</f>
        <v>0.209933786370398</v>
      </c>
      <c r="AL4" s="26" t="n">
        <v>-0.0283796804809718</v>
      </c>
      <c r="AM4" s="26" t="n">
        <v>0.0457089922212728</v>
      </c>
      <c r="AN4" s="27" t="n">
        <f aca="false">IF(AM4&gt;0,AL4/AM4,"")</f>
        <v>-0.620877405119512</v>
      </c>
      <c r="AO4" s="27" t="n">
        <f aca="false">IF(AM4&gt;0,TDIST(ABS(AN4),MIN(AL27,AL28)-1,2),"")</f>
        <v>0.542463100274444</v>
      </c>
      <c r="AP4" s="26" t="n">
        <v>0.0388641457124796</v>
      </c>
      <c r="AQ4" s="26" t="n">
        <v>0.054359378241159</v>
      </c>
      <c r="AR4" s="27" t="n">
        <f aca="false">IF(AQ4&gt;0,AP4/AQ4,"")</f>
        <v>0.714948311955728</v>
      </c>
      <c r="AS4" s="27" t="n">
        <f aca="false">IF(AQ4&gt;0,TDIST(ABS(AR4),MIN(AP27,AP28)-1,2),"")</f>
        <v>0.483811586015004</v>
      </c>
      <c r="AT4" s="26" t="n">
        <v>0.0365650469341304</v>
      </c>
      <c r="AU4" s="26" t="n">
        <v>0.0546466704831331</v>
      </c>
      <c r="AV4" s="27" t="n">
        <f aca="false">IF(AU4&gt;0,AT4/AU4,"")</f>
        <v>0.669117562165409</v>
      </c>
      <c r="AW4" s="27" t="n">
        <f aca="false">IF(AU4&gt;0,TDIST(ABS(AV4),MIN(AT27,AT28)-1,2),"")</f>
        <v>0.51191208287608</v>
      </c>
    </row>
    <row r="5" customFormat="false" ht="15" hidden="false" customHeight="false" outlineLevel="0" collapsed="false">
      <c r="A5" s="7" t="s">
        <v>9</v>
      </c>
      <c r="B5" s="26" t="n">
        <v>-0.615277828928373</v>
      </c>
      <c r="C5" s="26" t="n">
        <v>0.206010683844895</v>
      </c>
      <c r="D5" s="27" t="n">
        <f aca="false">IF(C5&gt;0,B5/C5,"")</f>
        <v>-2.98663068072535</v>
      </c>
      <c r="E5" s="27" t="n">
        <f aca="false">IF(C5&gt;0,TDIST(ABS(D5),MIN(B27,B28)-1,2),"")</f>
        <v>0.00791202980288318</v>
      </c>
      <c r="F5" s="26" t="n">
        <v>-0.581191774677367</v>
      </c>
      <c r="G5" s="26" t="n">
        <v>0.217069037525558</v>
      </c>
      <c r="H5" s="27" t="n">
        <f aca="false">IF(G5&gt;0,F5/G5,"")</f>
        <v>-2.67745129062425</v>
      </c>
      <c r="I5" s="27" t="n">
        <f aca="false">IF(G5&gt;0,TDIST(ABS(H5),MIN(F27,F28)-1,2),"")</f>
        <v>0.0153695676664269</v>
      </c>
      <c r="J5" s="26" t="n">
        <v>-0.552735381238698</v>
      </c>
      <c r="K5" s="26" t="n">
        <v>0.300362026030782</v>
      </c>
      <c r="L5" s="27" t="n">
        <f aca="false">IF(K5&gt;0,J5/K5,"")</f>
        <v>-1.84023056623693</v>
      </c>
      <c r="M5" s="27" t="n">
        <f aca="false">IF(K5&gt;0,TDIST(ABS(L5),MIN(J27,J28)-1,2),"")</f>
        <v>0.0822833079933114</v>
      </c>
      <c r="N5" s="26" t="n">
        <v>-0.578563222047021</v>
      </c>
      <c r="O5" s="26" t="n">
        <v>0.293549153896962</v>
      </c>
      <c r="P5" s="27" t="n">
        <f aca="false">IF(O5&gt;0,N5/O5,"")</f>
        <v>-1.9709245091202</v>
      </c>
      <c r="Q5" s="27" t="n">
        <f aca="false">IF(O5&gt;0,TDIST(ABS(P5),MIN(N27,N28)-1,2),"")</f>
        <v>0.0643082775349479</v>
      </c>
      <c r="R5" s="26" t="n">
        <v>-0.330264877962039</v>
      </c>
      <c r="S5" s="26" t="n">
        <v>0.21524751796845</v>
      </c>
      <c r="T5" s="27" t="n">
        <f aca="false">IF(S5&gt;0,R5/S5,"")</f>
        <v>-1.53434929740025</v>
      </c>
      <c r="U5" s="27" t="n">
        <f aca="false">IF(S5&gt;0,TDIST(ABS(T5),MIN(R27,R28)-1,2),"")</f>
        <v>0.142333304995503</v>
      </c>
      <c r="V5" s="26" t="n">
        <v>-0.424064683171238</v>
      </c>
      <c r="W5" s="26" t="n">
        <v>0.161125677044825</v>
      </c>
      <c r="X5" s="27" t="n">
        <f aca="false">IF(W5&gt;0,V5/W5,"")</f>
        <v>-2.63188767270944</v>
      </c>
      <c r="Y5" s="27" t="n">
        <f aca="false">IF(W5&gt;0,TDIST(ABS(X5),MIN(V27,V28)-1,2),"")</f>
        <v>0.0169238659380403</v>
      </c>
      <c r="Z5" s="26" t="n">
        <v>-0.226627399862828</v>
      </c>
      <c r="AA5" s="26" t="n">
        <v>0.221689680309349</v>
      </c>
      <c r="AB5" s="27" t="n">
        <f aca="false">IF(AA5&gt;0,Z5/AA5,"")</f>
        <v>-1.0222731141413</v>
      </c>
      <c r="AC5" s="27" t="n">
        <f aca="false">IF(AA5&gt;0,TDIST(ABS(AB5),MIN(Z27,Z28)-1,2),"")</f>
        <v>0.320195322812398</v>
      </c>
      <c r="AD5" s="26" t="n">
        <v>-0.247989277539512</v>
      </c>
      <c r="AE5" s="26" t="n">
        <v>0.230571622876933</v>
      </c>
      <c r="AF5" s="27" t="n">
        <f aca="false">IF(AE5&gt;0,AD5/AE5,"")</f>
        <v>-1.0755411895239</v>
      </c>
      <c r="AG5" s="27" t="n">
        <f aca="false">IF(AE5&gt;0,TDIST(ABS(AF5),MIN(AD27,AD28)-1,2),"")</f>
        <v>0.296338299338652</v>
      </c>
      <c r="AH5" s="26" t="n">
        <v>-0.0467075485935625</v>
      </c>
      <c r="AI5" s="26" t="n">
        <v>0.0398725823220473</v>
      </c>
      <c r="AJ5" s="27" t="n">
        <f aca="false">IF(AI5&gt;0,AH5/AI5,"")</f>
        <v>-1.17142020590264</v>
      </c>
      <c r="AK5" s="27" t="n">
        <f aca="false">IF(AI5&gt;0,TDIST(ABS(AJ5),MIN(AH27,AH28)-1,2),"")</f>
        <v>0.256703428345276</v>
      </c>
      <c r="AL5" s="26" t="n">
        <v>-0.0351851230559886</v>
      </c>
      <c r="AM5" s="26" t="n">
        <v>0.0389088298099018</v>
      </c>
      <c r="AN5" s="27" t="n">
        <f aca="false">IF(AM5&gt;0,AL5/AM5,"")</f>
        <v>-0.904296614107743</v>
      </c>
      <c r="AO5" s="27" t="n">
        <f aca="false">IF(AM5&gt;0,TDIST(ABS(AN5),MIN(AL27,AL28)-1,2),"")</f>
        <v>0.377782522026414</v>
      </c>
      <c r="AP5" s="26" t="n">
        <v>0.0310990257110623</v>
      </c>
      <c r="AQ5" s="26" t="n">
        <v>0.0585045764504291</v>
      </c>
      <c r="AR5" s="27" t="n">
        <f aca="false">IF(AQ5&gt;0,AP5/AQ5,"")</f>
        <v>0.531565692769564</v>
      </c>
      <c r="AS5" s="27" t="n">
        <f aca="false">IF(AQ5&gt;0,TDIST(ABS(AR5),MIN(AP27,AP28)-1,2),"")</f>
        <v>0.601526059465714</v>
      </c>
      <c r="AT5" s="26" t="n">
        <v>0.0278937013872841</v>
      </c>
      <c r="AU5" s="26" t="n">
        <v>0.0562932033647532</v>
      </c>
      <c r="AV5" s="27" t="n">
        <f aca="false">IF(AU5&gt;0,AT5/AU5,"")</f>
        <v>0.495507445304652</v>
      </c>
      <c r="AW5" s="27" t="n">
        <f aca="false">IF(AU5&gt;0,TDIST(ABS(AV5),MIN(AT27,AT28)-1,2),"")</f>
        <v>0.626237035758388</v>
      </c>
    </row>
    <row r="6" customFormat="false" ht="15" hidden="false" customHeight="false" outlineLevel="0" collapsed="false">
      <c r="A6" s="7" t="s">
        <v>10</v>
      </c>
      <c r="B6" s="26" t="n">
        <v>0.0138899892559336</v>
      </c>
      <c r="C6" s="26" t="n">
        <v>0.0214456338829671</v>
      </c>
      <c r="D6" s="27" t="n">
        <f aca="false">IF(C6&gt;0,B6/C6,"")</f>
        <v>0.647683781777395</v>
      </c>
      <c r="E6" s="27" t="n">
        <f aca="false">IF(C6&gt;0,TDIST(ABS(D6),MIN(B27,B28)-1,2),"")</f>
        <v>0.525365180902973</v>
      </c>
      <c r="F6" s="26" t="n">
        <v>0.00413847282355857</v>
      </c>
      <c r="G6" s="26" t="n">
        <v>0.020675257961711</v>
      </c>
      <c r="H6" s="27" t="n">
        <f aca="false">IF(G6&gt;0,F6/G6,"")</f>
        <v>0.200165474656843</v>
      </c>
      <c r="I6" s="27" t="n">
        <f aca="false">IF(G6&gt;0,TDIST(ABS(H6),MIN(F27,F28)-1,2),"")</f>
        <v>0.843595265537911</v>
      </c>
      <c r="J6" s="26" t="n">
        <v>0.0106906784943456</v>
      </c>
      <c r="K6" s="26" t="n">
        <v>0.00896529282501748</v>
      </c>
      <c r="L6" s="27" t="n">
        <f aca="false">IF(K6&gt;0,J6/K6,"")</f>
        <v>1.1924516803861</v>
      </c>
      <c r="M6" s="27" t="n">
        <f aca="false">IF(K6&gt;0,TDIST(ABS(L6),MIN(J27,J28)-1,2),"")</f>
        <v>0.24856760929225</v>
      </c>
      <c r="N6" s="26" t="n">
        <v>0.000222697439682929</v>
      </c>
      <c r="O6" s="26" t="n">
        <v>0.016456384332229</v>
      </c>
      <c r="P6" s="27" t="n">
        <f aca="false">IF(O6&gt;0,N6/O6,"")</f>
        <v>0.0135325862101304</v>
      </c>
      <c r="Q6" s="27" t="n">
        <f aca="false">IF(O6&gt;0,TDIST(ABS(P6),MIN(N27,N28)-1,2),"")</f>
        <v>0.989351753507062</v>
      </c>
      <c r="R6" s="26" t="n">
        <v>-0.00314810803893259</v>
      </c>
      <c r="S6" s="26" t="n">
        <v>0.0166401689881577</v>
      </c>
      <c r="T6" s="27" t="n">
        <f aca="false">IF(S6&gt;0,R6/S6,"")</f>
        <v>-0.1891872637335</v>
      </c>
      <c r="U6" s="27" t="n">
        <f aca="false">IF(S6&gt;0,TDIST(ABS(T6),MIN(R27,R28)-1,2),"")</f>
        <v>0.852062916553335</v>
      </c>
      <c r="V6" s="26" t="n">
        <v>-0.0122437470502338</v>
      </c>
      <c r="W6" s="26" t="n">
        <v>0.0204682216090032</v>
      </c>
      <c r="X6" s="27" t="n">
        <f aca="false">IF(W6&gt;0,V6/W6,"")</f>
        <v>-0.598183236634895</v>
      </c>
      <c r="Y6" s="27" t="n">
        <f aca="false">IF(W6&gt;0,TDIST(ABS(X6),MIN(V27,V28)-1,2),"")</f>
        <v>0.557170261027157</v>
      </c>
      <c r="Z6" s="26" t="n">
        <v>0.00625039480658157</v>
      </c>
      <c r="AA6" s="26" t="n">
        <v>0.0185158913099736</v>
      </c>
      <c r="AB6" s="27" t="n">
        <f aca="false">IF(AA6&gt;0,Z6/AA6,"")</f>
        <v>0.337569210249943</v>
      </c>
      <c r="AC6" s="27" t="n">
        <f aca="false">IF(AA6&gt;0,TDIST(ABS(AB6),MIN(Z27,Z28)-1,2),"")</f>
        <v>0.739592583781502</v>
      </c>
      <c r="AD6" s="26" t="n">
        <v>-0.017024454282035</v>
      </c>
      <c r="AE6" s="26" t="n">
        <v>0.0164089120162451</v>
      </c>
      <c r="AF6" s="27" t="n">
        <f aca="false">IF(AE6&gt;0,AD6/AE6,"")</f>
        <v>-1.03751268001075</v>
      </c>
      <c r="AG6" s="27" t="n">
        <f aca="false">IF(AE6&gt;0,TDIST(ABS(AF6),MIN(AD27,AD28)-1,2),"")</f>
        <v>0.313234528319919</v>
      </c>
      <c r="AH6" s="26" t="n">
        <v>-0.000253343378606424</v>
      </c>
      <c r="AI6" s="26" t="n">
        <v>0.000635773846004447</v>
      </c>
      <c r="AJ6" s="27" t="n">
        <f aca="false">IF(AI6&gt;0,AH6/AI6,"")</f>
        <v>-0.398480340452149</v>
      </c>
      <c r="AK6" s="27" t="n">
        <f aca="false">IF(AI6&gt;0,TDIST(ABS(AJ6),MIN(AH27,AH28)-1,2),"")</f>
        <v>0.69496329050372</v>
      </c>
      <c r="AL6" s="26" t="n">
        <v>-0.00046527308324683</v>
      </c>
      <c r="AM6" s="26" t="n">
        <v>0.000837220510965732</v>
      </c>
      <c r="AN6" s="27" t="n">
        <f aca="false">IF(AM6&gt;0,AL6/AM6,"")</f>
        <v>-0.555735409193617</v>
      </c>
      <c r="AO6" s="27" t="n">
        <f aca="false">IF(AM6&gt;0,TDIST(ABS(AN6),MIN(AL27,AL28)-1,2),"")</f>
        <v>0.585233808672575</v>
      </c>
      <c r="AP6" s="26" t="n">
        <v>-0.000807908484898584</v>
      </c>
      <c r="AQ6" s="26" t="n">
        <v>0.000675339223453865</v>
      </c>
      <c r="AR6" s="27" t="n">
        <f aca="false">IF(AQ6&gt;0,AP6/AQ6,"")</f>
        <v>-1.19630025451021</v>
      </c>
      <c r="AS6" s="27" t="n">
        <f aca="false">IF(AQ6&gt;0,TDIST(ABS(AR6),MIN(AP27,AP28)-1,2),"")</f>
        <v>0.247100222764307</v>
      </c>
      <c r="AT6" s="26" t="n">
        <v>-0.0012110494901976</v>
      </c>
      <c r="AU6" s="26" t="n">
        <v>0.000507051736669438</v>
      </c>
      <c r="AV6" s="27" t="n">
        <f aca="false">IF(AU6&gt;0,AT6/AU6,"")</f>
        <v>-2.38841404656725</v>
      </c>
      <c r="AW6" s="27" t="n">
        <f aca="false">IF(AU6&gt;0,TDIST(ABS(AV6),MIN(AT27,AT28)-1,2),"")</f>
        <v>0.0280863818169021</v>
      </c>
    </row>
    <row r="7" customFormat="false" ht="15" hidden="false" customHeight="false" outlineLevel="0" collapsed="false">
      <c r="A7" s="7" t="s">
        <v>11</v>
      </c>
      <c r="B7" s="26" t="n">
        <v>0.00713092877302606</v>
      </c>
      <c r="C7" s="26" t="n">
        <v>0.0559561362688667</v>
      </c>
      <c r="D7" s="27" t="n">
        <f aca="false">IF(C7&gt;0,B7/C7,"")</f>
        <v>0.127437833426566</v>
      </c>
      <c r="E7" s="27" t="n">
        <f aca="false">IF(C7&gt;0,TDIST(ABS(D7),MIN(B27,B28)-1,2),"")</f>
        <v>0.90000677159461</v>
      </c>
      <c r="F7" s="26" t="n">
        <v>0.0677983277584612</v>
      </c>
      <c r="G7" s="26" t="n">
        <v>0.0651289631865536</v>
      </c>
      <c r="H7" s="27" t="n">
        <f aca="false">IF(G7&gt;0,F7/G7,"")</f>
        <v>1.04098582936537</v>
      </c>
      <c r="I7" s="27" t="n">
        <f aca="false">IF(G7&gt;0,TDIST(ABS(H7),MIN(F27,F28)-1,2),"")</f>
        <v>0.311663367539947</v>
      </c>
      <c r="J7" s="26" t="n">
        <v>-0.944611298654176</v>
      </c>
      <c r="K7" s="26" t="n">
        <v>0.381382306432197</v>
      </c>
      <c r="L7" s="27" t="n">
        <f aca="false">IF(K7&gt;0,J7/K7,"")</f>
        <v>-2.47680944480866</v>
      </c>
      <c r="M7" s="27" t="n">
        <f aca="false">IF(K7&gt;0,TDIST(ABS(L7),MIN(J27,J28)-1,2),"")</f>
        <v>0.0234081295935938</v>
      </c>
      <c r="N7" s="26" t="n">
        <v>-1.41770097069614</v>
      </c>
      <c r="O7" s="26" t="n">
        <v>0.725804356360736</v>
      </c>
      <c r="P7" s="27" t="n">
        <f aca="false">IF(O7&gt;0,N7/O7,"")</f>
        <v>-1.95328253167927</v>
      </c>
      <c r="Q7" s="27" t="n">
        <f aca="false">IF(O7&gt;0,TDIST(ABS(P7),MIN(N27,N28)-1,2),"")</f>
        <v>0.0665101905488387</v>
      </c>
      <c r="R7" s="26" t="n">
        <v>-0.0503616577768491</v>
      </c>
      <c r="S7" s="26" t="n">
        <v>0.039422898951808</v>
      </c>
      <c r="T7" s="27" t="n">
        <f aca="false">IF(S7&gt;0,R7/S7,"")</f>
        <v>-1.27747220818066</v>
      </c>
      <c r="U7" s="27" t="n">
        <f aca="false">IF(S7&gt;0,TDIST(ABS(T7),MIN(R27,R28)-1,2),"")</f>
        <v>0.217667306218844</v>
      </c>
      <c r="V7" s="26" t="n">
        <v>-0.00227582882433667</v>
      </c>
      <c r="W7" s="26" t="n">
        <v>0.0479276107891997</v>
      </c>
      <c r="X7" s="27" t="n">
        <f aca="false">IF(W7&gt;0,V7/W7,"")</f>
        <v>-0.0474847126084891</v>
      </c>
      <c r="Y7" s="27" t="n">
        <f aca="false">IF(W7&gt;0,TDIST(ABS(X7),MIN(V27,V28)-1,2),"")</f>
        <v>0.962649806339746</v>
      </c>
      <c r="Z7" s="26" t="n">
        <v>-1.14213164629423</v>
      </c>
      <c r="AA7" s="26" t="n">
        <v>0.626691869358245</v>
      </c>
      <c r="AB7" s="27" t="n">
        <f aca="false">IF(AA7&gt;0,Z7/AA7,"")</f>
        <v>-1.82247720472872</v>
      </c>
      <c r="AC7" s="27" t="n">
        <f aca="false">IF(AA7&gt;0,TDIST(ABS(AB7),MIN(Z27,Z28)-1,2),"")</f>
        <v>0.0850392317405355</v>
      </c>
      <c r="AD7" s="26" t="n">
        <v>-0.24216910415322</v>
      </c>
      <c r="AE7" s="26" t="n">
        <v>0.718041388453026</v>
      </c>
      <c r="AF7" s="27" t="n">
        <f aca="false">IF(AE7&gt;0,AD7/AE7,"")</f>
        <v>-0.337263433623176</v>
      </c>
      <c r="AG7" s="27" t="n">
        <f aca="false">IF(AE7&gt;0,TDIST(ABS(AF7),MIN(AD27,AD28)-1,2),"")</f>
        <v>0.739819205814821</v>
      </c>
      <c r="AH7" s="26" t="n">
        <v>-0.0222747633408498</v>
      </c>
      <c r="AI7" s="26" t="n">
        <v>0.0137203516905956</v>
      </c>
      <c r="AJ7" s="27" t="n">
        <f aca="false">IF(AI7&gt;0,AH7/AI7,"")</f>
        <v>-1.62348340940251</v>
      </c>
      <c r="AK7" s="27" t="n">
        <f aca="false">IF(AI7&gt;0,TDIST(ABS(AJ7),MIN(AH27,AH28)-1,2),"")</f>
        <v>0.121868709695133</v>
      </c>
      <c r="AL7" s="26" t="n">
        <v>-0.0193192369231904</v>
      </c>
      <c r="AM7" s="26" t="n">
        <v>0.0146227068626973</v>
      </c>
      <c r="AN7" s="27" t="n">
        <f aca="false">IF(AM7&gt;0,AL7/AM7,"")</f>
        <v>-1.3211806202909</v>
      </c>
      <c r="AO7" s="27" t="n">
        <f aca="false">IF(AM7&gt;0,TDIST(ABS(AN7),MIN(AL27,AL28)-1,2),"")</f>
        <v>0.20299074170164</v>
      </c>
      <c r="AP7" s="26" t="n">
        <v>0.00778980957291633</v>
      </c>
      <c r="AQ7" s="26" t="n">
        <v>0.0498667849378041</v>
      </c>
      <c r="AR7" s="27" t="n">
        <f aca="false">IF(AQ7&gt;0,AP7/AQ7,"")</f>
        <v>0.15621238831884</v>
      </c>
      <c r="AS7" s="27" t="n">
        <f aca="false">IF(AQ7&gt;0,TDIST(ABS(AR7),MIN(AP27,AP28)-1,2),"")</f>
        <v>0.877604264986718</v>
      </c>
      <c r="AT7" s="26" t="n">
        <v>0.0423420046679082</v>
      </c>
      <c r="AU7" s="26" t="n">
        <v>0.103036494501161</v>
      </c>
      <c r="AV7" s="27" t="n">
        <f aca="false">IF(AU7&gt;0,AT7/AU7,"")</f>
        <v>0.410941820884941</v>
      </c>
      <c r="AW7" s="27" t="n">
        <f aca="false">IF(AU7&gt;0,TDIST(ABS(AV7),MIN(AT27,AT28)-1,2),"")</f>
        <v>0.685966126966835</v>
      </c>
    </row>
    <row r="8" customFormat="false" ht="15" hidden="false" customHeight="false" outlineLevel="0" collapsed="false">
      <c r="A8" s="7" t="s">
        <v>12</v>
      </c>
      <c r="B8" s="26" t="n">
        <v>-0.00523668659585414</v>
      </c>
      <c r="C8" s="26" t="n">
        <v>0.00447396120510685</v>
      </c>
      <c r="D8" s="27" t="n">
        <f aca="false">IF(C8&gt;0,B8/C8,"")</f>
        <v>-1.17048100235574</v>
      </c>
      <c r="E8" s="27" t="n">
        <f aca="false">IF(C8&gt;0,TDIST(ABS(D8),MIN(B27,B28)-1,2),"")</f>
        <v>0.257071378282772</v>
      </c>
      <c r="F8" s="26" t="n">
        <v>-0.00577190330202227</v>
      </c>
      <c r="G8" s="26" t="n">
        <v>0.00482095836779693</v>
      </c>
      <c r="H8" s="27" t="n">
        <f aca="false">IF(G8&gt;0,F8/G8,"")</f>
        <v>-1.19725226016832</v>
      </c>
      <c r="I8" s="27" t="n">
        <f aca="false">IF(G8&gt;0,TDIST(ABS(H8),MIN(F27,F28)-1,2),"")</f>
        <v>0.246738258825964</v>
      </c>
      <c r="J8" s="26" t="n">
        <v>-0.0270861003118257</v>
      </c>
      <c r="K8" s="26" t="n">
        <v>0.00851923458647329</v>
      </c>
      <c r="L8" s="27" t="n">
        <f aca="false">IF(K8&gt;0,J8/K8,"")</f>
        <v>-3.17940538400393</v>
      </c>
      <c r="M8" s="27" t="n">
        <f aca="false">IF(K8&gt;0,TDIST(ABS(L8),MIN(J27,J28)-1,2),"")</f>
        <v>0.0051922091685381</v>
      </c>
      <c r="N8" s="26" t="n">
        <v>-0.0303912498402368</v>
      </c>
      <c r="O8" s="26" t="n">
        <v>0.0103010724798028</v>
      </c>
      <c r="P8" s="27" t="n">
        <f aca="false">IF(O8&gt;0,N8/O8,"")</f>
        <v>-2.9502995828662</v>
      </c>
      <c r="Q8" s="27" t="n">
        <f aca="false">IF(O8&gt;0,TDIST(ABS(P8),MIN(N27,N28)-1,2),"")</f>
        <v>0.00856108859456663</v>
      </c>
      <c r="R8" s="26" t="n">
        <v>0.00328356989325237</v>
      </c>
      <c r="S8" s="26" t="n">
        <v>0.0053019544276632</v>
      </c>
      <c r="T8" s="27" t="n">
        <f aca="false">IF(S8&gt;0,R8/S8,"")</f>
        <v>0.619313111429285</v>
      </c>
      <c r="U8" s="27" t="n">
        <f aca="false">IF(S8&gt;0,TDIST(ABS(T8),MIN(R27,R28)-1,2),"")</f>
        <v>0.543470082871529</v>
      </c>
      <c r="V8" s="26" t="n">
        <v>0.00350290239150409</v>
      </c>
      <c r="W8" s="26" t="n">
        <v>0.00487601542899785</v>
      </c>
      <c r="X8" s="27" t="n">
        <f aca="false">IF(W8&gt;0,V8/W8,"")</f>
        <v>0.718394443682888</v>
      </c>
      <c r="Y8" s="27" t="n">
        <f aca="false">IF(W8&gt;0,TDIST(ABS(X8),MIN(V27,V28)-1,2),"")</f>
        <v>0.481735886133955</v>
      </c>
      <c r="Z8" s="26" t="n">
        <v>-0.0203024221490672</v>
      </c>
      <c r="AA8" s="26" t="n">
        <v>0.0130764763528219</v>
      </c>
      <c r="AB8" s="27" t="n">
        <f aca="false">IF(AA8&gt;0,Z8/AA8,"")</f>
        <v>-1.55259120280411</v>
      </c>
      <c r="AC8" s="27" t="n">
        <f aca="false">IF(AA8&gt;0,TDIST(ABS(AB8),MIN(Z27,Z28)-1,2),"")</f>
        <v>0.137926000433435</v>
      </c>
      <c r="AD8" s="26" t="n">
        <v>-0.0170783672354707</v>
      </c>
      <c r="AE8" s="26" t="n">
        <v>0.011500247622076</v>
      </c>
      <c r="AF8" s="27" t="n">
        <f aca="false">IF(AE8&gt;0,AD8/AE8,"")</f>
        <v>-1.48504343529845</v>
      </c>
      <c r="AG8" s="27" t="n">
        <f aca="false">IF(AE8&gt;0,TDIST(ABS(AF8),MIN(AD27,AD28)-1,2),"")</f>
        <v>0.154835185759317</v>
      </c>
      <c r="AH8" s="26" t="n">
        <v>-0.000820222187063041</v>
      </c>
      <c r="AI8" s="26" t="n">
        <v>0.000870334041390524</v>
      </c>
      <c r="AJ8" s="27" t="n">
        <f aca="false">IF(AI8&gt;0,AH8/AI8,"")</f>
        <v>-0.942422274730954</v>
      </c>
      <c r="AK8" s="27" t="n">
        <f aca="false">IF(AI8&gt;0,TDIST(ABS(AJ8),MIN(AH27,AH28)-1,2),"")</f>
        <v>0.358454347964189</v>
      </c>
      <c r="AL8" s="26" t="n">
        <v>-0.00107029960718933</v>
      </c>
      <c r="AM8" s="26" t="n">
        <v>0.000905947645427024</v>
      </c>
      <c r="AN8" s="27" t="n">
        <f aca="false">IF(AM8&gt;0,AL8/AM8,"")</f>
        <v>-1.18141441460984</v>
      </c>
      <c r="AO8" s="27" t="n">
        <f aca="false">IF(AM8&gt;0,TDIST(ABS(AN8),MIN(AL27,AL28)-1,2),"")</f>
        <v>0.252812564102691</v>
      </c>
      <c r="AP8" s="26" t="n">
        <v>-0.00124376930158907</v>
      </c>
      <c r="AQ8" s="26" t="n">
        <v>0.00108788102665877</v>
      </c>
      <c r="AR8" s="27" t="n">
        <f aca="false">IF(AQ8&gt;0,AP8/AQ8,"")</f>
        <v>-1.14329533387405</v>
      </c>
      <c r="AS8" s="27" t="n">
        <f aca="false">IF(AQ8&gt;0,TDIST(ABS(AR8),MIN(AP27,AP28)-1,2),"")</f>
        <v>0.267894511893026</v>
      </c>
      <c r="AT8" s="26" t="n">
        <v>-0.00235462478691389</v>
      </c>
      <c r="AU8" s="26" t="n">
        <v>0.000988003048461075</v>
      </c>
      <c r="AV8" s="27" t="n">
        <f aca="false">IF(AU8&gt;0,AT8/AU8,"")</f>
        <v>-2.38321611515418</v>
      </c>
      <c r="AW8" s="27" t="n">
        <f aca="false">IF(AU8&gt;0,TDIST(ABS(AV8),MIN(AT27,AT28)-1,2),"")</f>
        <v>0.0283870559407016</v>
      </c>
    </row>
    <row r="9" customFormat="false" ht="15" hidden="false" customHeight="false" outlineLevel="0" collapsed="false">
      <c r="A9" s="7" t="s">
        <v>13</v>
      </c>
      <c r="B9" s="26" t="n">
        <v>-0.0822866016664249</v>
      </c>
      <c r="C9" s="26" t="n">
        <v>0.134378457186412</v>
      </c>
      <c r="D9" s="27" t="n">
        <f aca="false">IF(C9&gt;0,B9/C9,"")</f>
        <v>-0.612349653280182</v>
      </c>
      <c r="E9" s="27" t="n">
        <f aca="false">IF(C9&gt;0,TDIST(ABS(D9),MIN(B27,B28)-1,2),"")</f>
        <v>0.547964888990749</v>
      </c>
      <c r="F9" s="26" t="n">
        <v>0.00465311069995792</v>
      </c>
      <c r="G9" s="26" t="n">
        <v>0.064876350556345</v>
      </c>
      <c r="H9" s="27" t="n">
        <f aca="false">IF(G9&gt;0,F9/G9,"")</f>
        <v>0.071722756598596</v>
      </c>
      <c r="I9" s="27" t="n">
        <f aca="false">IF(G9&gt;0,TDIST(ABS(H9),MIN(F27,F28)-1,2),"")</f>
        <v>0.943613465763621</v>
      </c>
      <c r="J9" s="26" t="n">
        <v>-0.0483269025196313</v>
      </c>
      <c r="K9" s="26" t="n">
        <v>0.0828082251547267</v>
      </c>
      <c r="L9" s="27" t="n">
        <f aca="false">IF(K9&gt;0,J9/K9,"")</f>
        <v>-0.583600269530385</v>
      </c>
      <c r="M9" s="27" t="n">
        <f aca="false">IF(K9&gt;0,TDIST(ABS(L9),MIN(J27,J28)-1,2),"")</f>
        <v>0.566730997868314</v>
      </c>
      <c r="N9" s="26" t="n">
        <v>-0.0288654016345769</v>
      </c>
      <c r="O9" s="26" t="n">
        <v>0.086040597559141</v>
      </c>
      <c r="P9" s="27" t="n">
        <f aca="false">IF(O9&gt;0,N9/O9,"")</f>
        <v>-0.335485834053348</v>
      </c>
      <c r="Q9" s="27" t="n">
        <f aca="false">IF(O9&gt;0,TDIST(ABS(P9),MIN(N27,N28)-1,2),"")</f>
        <v>0.74113713356627</v>
      </c>
      <c r="R9" s="26" t="n">
        <v>-0.17100282538294</v>
      </c>
      <c r="S9" s="26" t="n">
        <v>0.132119070265114</v>
      </c>
      <c r="T9" s="27" t="n">
        <f aca="false">IF(S9&gt;0,R9/S9,"")</f>
        <v>-1.29430842224215</v>
      </c>
      <c r="U9" s="27" t="n">
        <f aca="false">IF(S9&gt;0,TDIST(ABS(T9),MIN(R27,R28)-1,2),"")</f>
        <v>0.211918650142329</v>
      </c>
      <c r="V9" s="26" t="n">
        <v>-0.0103138011666182</v>
      </c>
      <c r="W9" s="26" t="n">
        <v>0.119840660829714</v>
      </c>
      <c r="X9" s="27" t="n">
        <f aca="false">IF(W9&gt;0,V9/W9,"")</f>
        <v>-0.0860626192747173</v>
      </c>
      <c r="Y9" s="27" t="n">
        <f aca="false">IF(W9&gt;0,TDIST(ABS(X9),MIN(V27,V28)-1,2),"")</f>
        <v>0.932366742625202</v>
      </c>
      <c r="Z9" s="26" t="n">
        <v>-0.00243967489103138</v>
      </c>
      <c r="AA9" s="26" t="n">
        <v>0.171831593236465</v>
      </c>
      <c r="AB9" s="27" t="n">
        <f aca="false">IF(AA9&gt;0,Z9/AA9,"")</f>
        <v>-0.0141980577906534</v>
      </c>
      <c r="AC9" s="27" t="n">
        <f aca="false">IF(AA9&gt;0,TDIST(ABS(AB9),MIN(Z27,Z28)-1,2),"")</f>
        <v>0.988828157018879</v>
      </c>
      <c r="AD9" s="26" t="n">
        <v>0.0199293355119386</v>
      </c>
      <c r="AE9" s="26" t="n">
        <v>0.171843763996169</v>
      </c>
      <c r="AF9" s="27" t="n">
        <f aca="false">IF(AE9&gt;0,AD9/AE9,"")</f>
        <v>0.115973574184414</v>
      </c>
      <c r="AG9" s="27" t="n">
        <f aca="false">IF(AE9&gt;0,TDIST(ABS(AF9),MIN(AD27,AD28)-1,2),"")</f>
        <v>0.90895755561144</v>
      </c>
      <c r="AH9" s="26" t="n">
        <v>-0.0393611173108143</v>
      </c>
      <c r="AI9" s="26" t="n">
        <v>0.0352020520315215</v>
      </c>
      <c r="AJ9" s="27" t="n">
        <f aca="false">IF(AI9&gt;0,AH9/AI9,"")</f>
        <v>-1.11814837599719</v>
      </c>
      <c r="AK9" s="27" t="n">
        <f aca="false">IF(AI9&gt;0,TDIST(ABS(AJ9),MIN(AH27,AH28)-1,2),"")</f>
        <v>0.278205193085186</v>
      </c>
      <c r="AL9" s="26" t="n">
        <v>-0.0824162513804818</v>
      </c>
      <c r="AM9" s="26" t="n">
        <v>0.069231728308641</v>
      </c>
      <c r="AN9" s="27" t="n">
        <f aca="false">IF(AM9&gt;0,AL9/AM9,"")</f>
        <v>-1.19044047279974</v>
      </c>
      <c r="AO9" s="27" t="n">
        <f aca="false">IF(AM9&gt;0,TDIST(ABS(AN9),MIN(AL27,AL28)-1,2),"")</f>
        <v>0.249337069753766</v>
      </c>
      <c r="AP9" s="26" t="n">
        <v>-0.0851803903472259</v>
      </c>
      <c r="AQ9" s="26" t="n">
        <v>0.0592626233491945</v>
      </c>
      <c r="AR9" s="27" t="n">
        <f aca="false">IF(AQ9&gt;0,AP9/AQ9,"")</f>
        <v>-1.43733749087204</v>
      </c>
      <c r="AS9" s="27" t="n">
        <f aca="false">IF(AQ9&gt;0,TDIST(ABS(AR9),MIN(AP27,AP28)-1,2),"")</f>
        <v>0.167779046470517</v>
      </c>
      <c r="AT9" s="26" t="n">
        <v>-0.0859817474769594</v>
      </c>
      <c r="AU9" s="26" t="n">
        <v>0.0554527552189633</v>
      </c>
      <c r="AV9" s="27" t="n">
        <f aca="false">IF(AU9&gt;0,AT9/AU9,"")</f>
        <v>-1.55054058427661</v>
      </c>
      <c r="AW9" s="27" t="n">
        <f aca="false">IF(AU9&gt;0,TDIST(ABS(AV9),MIN(AT27,AT28)-1,2),"")</f>
        <v>0.138415678760493</v>
      </c>
    </row>
    <row r="10" customFormat="false" ht="15" hidden="false" customHeight="false" outlineLevel="0" collapsed="false">
      <c r="A10" s="7" t="s">
        <v>14</v>
      </c>
      <c r="B10" s="26" t="n">
        <v>-0.0909250685824561</v>
      </c>
      <c r="C10" s="26" t="n">
        <v>0.144063899758142</v>
      </c>
      <c r="D10" s="27" t="n">
        <f aca="false">IF(C10&gt;0,B10/C10,"")</f>
        <v>-0.631144018280107</v>
      </c>
      <c r="E10" s="27" t="n">
        <f aca="false">IF(C10&gt;0,TDIST(ABS(D10),MIN(B27,B28)-1,2),"")</f>
        <v>0.535879311368597</v>
      </c>
      <c r="F10" s="26" t="n">
        <v>0.000117128256295999</v>
      </c>
      <c r="G10" s="26" t="n">
        <v>0.0787598680306327</v>
      </c>
      <c r="H10" s="27" t="n">
        <f aca="false">IF(G10&gt;0,F10/G10,"")</f>
        <v>0.00148715658399076</v>
      </c>
      <c r="I10" s="27" t="n">
        <f aca="false">IF(G10&gt;0,TDIST(ABS(H10),MIN(F27,F28)-1,2),"")</f>
        <v>0.998829779196974</v>
      </c>
      <c r="J10" s="26" t="n">
        <v>-0.05878870579267</v>
      </c>
      <c r="K10" s="26" t="n">
        <v>0.0958321348797873</v>
      </c>
      <c r="L10" s="27" t="n">
        <f aca="false">IF(K10&gt;0,J10/K10,"")</f>
        <v>-0.613455036417743</v>
      </c>
      <c r="M10" s="27" t="n">
        <f aca="false">IF(K10&gt;0,TDIST(ABS(L10),MIN(J27,J28)-1,2),"")</f>
        <v>0.547250051504808</v>
      </c>
      <c r="N10" s="26" t="n">
        <v>-0.0350653672776936</v>
      </c>
      <c r="O10" s="26" t="n">
        <v>0.0968345346341021</v>
      </c>
      <c r="P10" s="27" t="n">
        <f aca="false">IF(O10&gt;0,N10/O10,"")</f>
        <v>-0.36211634010729</v>
      </c>
      <c r="Q10" s="27" t="n">
        <f aca="false">IF(O10&gt;0,TDIST(ABS(P10),MIN(N27,N28)-1,2),"")</f>
        <v>0.721481517766773</v>
      </c>
      <c r="R10" s="26" t="n">
        <v>-0.159163024562706</v>
      </c>
      <c r="S10" s="26" t="n">
        <v>0.132919328013276</v>
      </c>
      <c r="T10" s="27" t="n">
        <f aca="false">IF(S10&gt;0,R10/S10,"")</f>
        <v>-1.19744078563811</v>
      </c>
      <c r="U10" s="27" t="n">
        <f aca="false">IF(S10&gt;0,TDIST(ABS(T10),MIN(R27,R28)-1,2),"")</f>
        <v>0.246666627014218</v>
      </c>
      <c r="V10" s="26" t="n">
        <v>-0.00613965034170639</v>
      </c>
      <c r="W10" s="26" t="n">
        <v>0.125024553175598</v>
      </c>
      <c r="X10" s="27" t="n">
        <f aca="false">IF(W10&gt;0,V10/W10,"")</f>
        <v>-0.0491075567619362</v>
      </c>
      <c r="Y10" s="27" t="n">
        <f aca="false">IF(W10&gt;0,TDIST(ABS(X10),MIN(V27,V28)-1,2),"")</f>
        <v>0.96137438568344</v>
      </c>
      <c r="Z10" s="26" t="n">
        <v>-0.0189975067144937</v>
      </c>
      <c r="AA10" s="26" t="n">
        <v>0.17635912525044</v>
      </c>
      <c r="AB10" s="27" t="n">
        <f aca="false">IF(AA10&gt;0,Z10/AA10,"")</f>
        <v>-0.107720576905312</v>
      </c>
      <c r="AC10" s="27" t="n">
        <f aca="false">IF(AA10&gt;0,TDIST(ABS(AB10),MIN(Z27,Z28)-1,2),"")</f>
        <v>0.915408975750982</v>
      </c>
      <c r="AD10" s="26" t="n">
        <v>0.0176834769928242</v>
      </c>
      <c r="AE10" s="26" t="n">
        <v>0.17870561604616</v>
      </c>
      <c r="AF10" s="27" t="n">
        <f aca="false">IF(AE10&gt;0,AD10/AE10,"")</f>
        <v>0.0989531128571613</v>
      </c>
      <c r="AG10" s="27" t="n">
        <f aca="false">IF(AE10&gt;0,TDIST(ABS(AF10),MIN(AD27,AD28)-1,2),"")</f>
        <v>0.922269178089429</v>
      </c>
      <c r="AH10" s="26" t="n">
        <v>-0.0434311694518283</v>
      </c>
      <c r="AI10" s="26" t="n">
        <v>0.0353604742973894</v>
      </c>
      <c r="AJ10" s="27" t="n">
        <f aca="false">IF(AI10&gt;0,AH10/AI10,"")</f>
        <v>-1.22824057976606</v>
      </c>
      <c r="AK10" s="27" t="n">
        <f aca="false">IF(AI10&gt;0,TDIST(ABS(AJ10),MIN(AH27,AH28)-1,2),"")</f>
        <v>0.235175225888872</v>
      </c>
      <c r="AL10" s="26" t="n">
        <v>-0.0865454137119989</v>
      </c>
      <c r="AM10" s="26" t="n">
        <v>0.069192604086777</v>
      </c>
      <c r="AN10" s="27" t="n">
        <f aca="false">IF(AM10&gt;0,AL10/AM10,"")</f>
        <v>-1.25078994864045</v>
      </c>
      <c r="AO10" s="27" t="n">
        <f aca="false">IF(AM10&gt;0,TDIST(ABS(AN10),MIN(AL27,AL28)-1,2),"")</f>
        <v>0.227025976848375</v>
      </c>
      <c r="AP10" s="26" t="n">
        <v>-0.0902871754243776</v>
      </c>
      <c r="AQ10" s="26" t="n">
        <v>0.0593514588415578</v>
      </c>
      <c r="AR10" s="27" t="n">
        <f aca="false">IF(AQ10&gt;0,AP10/AQ10,"")</f>
        <v>-1.52122925344438</v>
      </c>
      <c r="AS10" s="27" t="n">
        <f aca="false">IF(AQ10&gt;0,TDIST(ABS(AR10),MIN(AP27,AP28)-1,2),"")</f>
        <v>0.145575165147043</v>
      </c>
      <c r="AT10" s="26" t="n">
        <v>-0.0913056549112335</v>
      </c>
      <c r="AU10" s="26" t="n">
        <v>0.0556319996183538</v>
      </c>
      <c r="AV10" s="27" t="n">
        <f aca="false">IF(AU10&gt;0,AT10/AU10,"")</f>
        <v>-1.64124344869154</v>
      </c>
      <c r="AW10" s="27" t="n">
        <f aca="false">IF(AU10&gt;0,TDIST(ABS(AV10),MIN(AT27,AT28)-1,2),"")</f>
        <v>0.118103454911517</v>
      </c>
    </row>
    <row r="11" customFormat="false" ht="15" hidden="false" customHeight="false" outlineLevel="0" collapsed="false">
      <c r="A11" s="7" t="s">
        <v>15</v>
      </c>
      <c r="B11" s="26" t="n">
        <v>-0.0618911326181952</v>
      </c>
      <c r="C11" s="26" t="n">
        <v>0.133650736588502</v>
      </c>
      <c r="D11" s="27" t="n">
        <f aca="false">IF(C11&gt;0,B11/C11,"")</f>
        <v>-0.463081118727779</v>
      </c>
      <c r="E11" s="27" t="n">
        <f aca="false">IF(C11&gt;0,TDIST(ABS(D11),MIN(B27,B28)-1,2),"")</f>
        <v>0.648855993528436</v>
      </c>
      <c r="F11" s="26" t="n">
        <v>0.0262615689398989</v>
      </c>
      <c r="G11" s="26" t="n">
        <v>0.0607074075755543</v>
      </c>
      <c r="H11" s="27" t="n">
        <f aca="false">IF(G11&gt;0,F11/G11,"")</f>
        <v>0.432592495523955</v>
      </c>
      <c r="I11" s="27" t="n">
        <f aca="false">IF(G11&gt;0,TDIST(ABS(H11),MIN(F27,F28)-1,2),"")</f>
        <v>0.670449330711243</v>
      </c>
      <c r="J11" s="26" t="n">
        <v>-0.0907776689559918</v>
      </c>
      <c r="K11" s="26" t="n">
        <v>0.0799581299020795</v>
      </c>
      <c r="L11" s="27" t="n">
        <f aca="false">IF(K11&gt;0,J11/K11,"")</f>
        <v>-1.13531505885846</v>
      </c>
      <c r="M11" s="27" t="n">
        <f aca="false">IF(K11&gt;0,TDIST(ABS(L11),MIN(J27,J28)-1,2),"")</f>
        <v>0.271135280691244</v>
      </c>
      <c r="N11" s="26" t="n">
        <v>-0.0786064517821275</v>
      </c>
      <c r="O11" s="26" t="n">
        <v>0.087121224515872</v>
      </c>
      <c r="P11" s="27" t="n">
        <f aca="false">IF(O11&gt;0,N11/O11,"")</f>
        <v>-0.902265231221661</v>
      </c>
      <c r="Q11" s="27" t="n">
        <f aca="false">IF(O11&gt;0,TDIST(ABS(P11),MIN(N27,N28)-1,2),"")</f>
        <v>0.378831583166452</v>
      </c>
      <c r="R11" s="26" t="n">
        <v>-0.184360237730575</v>
      </c>
      <c r="S11" s="26" t="n">
        <v>0.123309253731545</v>
      </c>
      <c r="T11" s="27" t="n">
        <f aca="false">IF(S11&gt;0,R11/S11,"")</f>
        <v>-1.49510464260812</v>
      </c>
      <c r="U11" s="27" t="n">
        <f aca="false">IF(S11&gt;0,TDIST(ABS(T11),MIN(R27,R28)-1,2),"")</f>
        <v>0.152212984224725</v>
      </c>
      <c r="V11" s="26" t="n">
        <v>-0.0136025774897311</v>
      </c>
      <c r="W11" s="26" t="n">
        <v>0.107654895674541</v>
      </c>
      <c r="X11" s="27" t="n">
        <f aca="false">IF(W11&gt;0,V11/W11,"")</f>
        <v>-0.126353542999604</v>
      </c>
      <c r="Y11" s="27" t="n">
        <f aca="false">IF(W11&gt;0,TDIST(ABS(X11),MIN(V27,V28)-1,2),"")</f>
        <v>0.900852766335247</v>
      </c>
      <c r="Z11" s="26" t="n">
        <v>-0.0487707194852476</v>
      </c>
      <c r="AA11" s="26" t="n">
        <v>0.174758477555528</v>
      </c>
      <c r="AB11" s="27" t="n">
        <f aca="false">IF(AA11&gt;0,Z11/AA11,"")</f>
        <v>-0.279074984901669</v>
      </c>
      <c r="AC11" s="27" t="n">
        <f aca="false">IF(AA11&gt;0,TDIST(ABS(AB11),MIN(Z27,Z28)-1,2),"")</f>
        <v>0.783368415551846</v>
      </c>
      <c r="AD11" s="26" t="n">
        <v>-0.0182543303450959</v>
      </c>
      <c r="AE11" s="26" t="n">
        <v>0.168880162210197</v>
      </c>
      <c r="AF11" s="27" t="n">
        <f aca="false">IF(AE11&gt;0,AD11/AE11,"")</f>
        <v>-0.108090435881839</v>
      </c>
      <c r="AG11" s="27" t="n">
        <f aca="false">IF(AE11&gt;0,TDIST(ABS(AF11),MIN(AD27,AD28)-1,2),"")</f>
        <v>0.915119721687725</v>
      </c>
      <c r="AH11" s="26" t="n">
        <v>-0.0324362470589291</v>
      </c>
      <c r="AI11" s="26" t="n">
        <v>0.0360357436497602</v>
      </c>
      <c r="AJ11" s="27" t="n">
        <f aca="false">IF(AI11&gt;0,AH11/AI11,"")</f>
        <v>-0.900113159150663</v>
      </c>
      <c r="AK11" s="27" t="n">
        <f aca="false">IF(AI11&gt;0,TDIST(ABS(AJ11),MIN(AH27,AH28)-1,2),"")</f>
        <v>0.379945091664895</v>
      </c>
      <c r="AL11" s="26" t="n">
        <v>-0.0749370786634733</v>
      </c>
      <c r="AM11" s="26" t="n">
        <v>0.0692800586196923</v>
      </c>
      <c r="AN11" s="27" t="n">
        <f aca="false">IF(AM11&gt;0,AL11/AM11,"")</f>
        <v>-1.08165437726944</v>
      </c>
      <c r="AO11" s="27" t="n">
        <f aca="false">IF(AM11&gt;0,TDIST(ABS(AN11),MIN(AL27,AL28)-1,2),"")</f>
        <v>0.293685011227998</v>
      </c>
      <c r="AP11" s="26" t="n">
        <v>-0.0848682887416429</v>
      </c>
      <c r="AQ11" s="26" t="n">
        <v>0.0583560163870258</v>
      </c>
      <c r="AR11" s="27" t="n">
        <f aca="false">IF(AQ11&gt;0,AP11/AQ11,"")</f>
        <v>-1.45431943432848</v>
      </c>
      <c r="AS11" s="27" t="n">
        <f aca="false">IF(AQ11&gt;0,TDIST(ABS(AR11),MIN(AP27,AP28)-1,2),"")</f>
        <v>0.163073634181121</v>
      </c>
      <c r="AT11" s="26" t="n">
        <v>-0.08699403249446</v>
      </c>
      <c r="AU11" s="26" t="n">
        <v>0.0547187569236586</v>
      </c>
      <c r="AV11" s="27" t="n">
        <f aca="false">IF(AU11&gt;0,AT11/AU11,"")</f>
        <v>-1.58983934185184</v>
      </c>
      <c r="AW11" s="27" t="n">
        <f aca="false">IF(AU11&gt;0,TDIST(ABS(AV11),MIN(AT27,AT28)-1,2),"")</f>
        <v>0.129280713936456</v>
      </c>
    </row>
    <row r="12" customFormat="false" ht="15" hidden="false" customHeight="false" outlineLevel="0" collapsed="false">
      <c r="A12" s="7" t="s">
        <v>16</v>
      </c>
      <c r="B12" s="26" t="n">
        <v>-0.0727163437333821</v>
      </c>
      <c r="C12" s="26" t="n">
        <v>0.14282975773289</v>
      </c>
      <c r="D12" s="27" t="n">
        <f aca="false">IF(C12&gt;0,B12/C12,"")</f>
        <v>-0.509112000801478</v>
      </c>
      <c r="E12" s="27" t="n">
        <f aca="false">IF(C12&gt;0,TDIST(ABS(D12),MIN(B27,B28)-1,2),"")</f>
        <v>0.616857931190098</v>
      </c>
      <c r="F12" s="26" t="n">
        <v>0.0250518153918397</v>
      </c>
      <c r="G12" s="26" t="n">
        <v>0.0650175393535992</v>
      </c>
      <c r="H12" s="27" t="n">
        <f aca="false">IF(G12&gt;0,F12/G12,"")</f>
        <v>0.385308574284777</v>
      </c>
      <c r="I12" s="27" t="n">
        <f aca="false">IF(G12&gt;0,TDIST(ABS(H12),MIN(F27,F28)-1,2),"")</f>
        <v>0.704524204544969</v>
      </c>
      <c r="J12" s="26" t="n">
        <v>-0.0423507740004407</v>
      </c>
      <c r="K12" s="26" t="n">
        <v>0.0905687546117784</v>
      </c>
      <c r="L12" s="27" t="n">
        <f aca="false">IF(K12&gt;0,J12/K12,"")</f>
        <v>-0.467609101858325</v>
      </c>
      <c r="M12" s="27" t="n">
        <f aca="false">IF(K12&gt;0,TDIST(ABS(L12),MIN(J27,J28)-1,2),"")</f>
        <v>0.645675626469537</v>
      </c>
      <c r="N12" s="26" t="n">
        <v>0.0109308959681149</v>
      </c>
      <c r="O12" s="26" t="n">
        <v>0.0941232634532179</v>
      </c>
      <c r="P12" s="27" t="n">
        <f aca="false">IF(O12&gt;0,N12/O12,"")</f>
        <v>0.116133839468368</v>
      </c>
      <c r="Q12" s="27" t="n">
        <f aca="false">IF(O12&gt;0,TDIST(ABS(P12),MIN(N27,N28)-1,2),"")</f>
        <v>0.908832338184063</v>
      </c>
      <c r="R12" s="26" t="n">
        <v>-0.157671288557826</v>
      </c>
      <c r="S12" s="26" t="n">
        <v>0.13070689134147</v>
      </c>
      <c r="T12" s="27" t="n">
        <f aca="false">IF(S12&gt;0,R12/S12,"")</f>
        <v>-1.20629667601773</v>
      </c>
      <c r="U12" s="27" t="n">
        <f aca="false">IF(S12&gt;0,TDIST(ABS(T12),MIN(R27,R28)-1,2),"")</f>
        <v>0.243319546703708</v>
      </c>
      <c r="V12" s="26" t="n">
        <v>0.00399131549291798</v>
      </c>
      <c r="W12" s="26" t="n">
        <v>0.114765969377121</v>
      </c>
      <c r="X12" s="27" t="n">
        <f aca="false">IF(W12&gt;0,V12/W12,"")</f>
        <v>0.034777865900322</v>
      </c>
      <c r="Y12" s="27" t="n">
        <f aca="false">IF(W12&gt;0,TDIST(ABS(X12),MIN(V27,V28)-1,2),"")</f>
        <v>0.972639639637471</v>
      </c>
      <c r="Z12" s="26" t="n">
        <v>-0.0213730579385351</v>
      </c>
      <c r="AA12" s="26" t="n">
        <v>0.168706164334074</v>
      </c>
      <c r="AB12" s="27" t="n">
        <f aca="false">IF(AA12&gt;0,Z12/AA12,"")</f>
        <v>-0.126688067522013</v>
      </c>
      <c r="AC12" s="27" t="n">
        <f aca="false">IF(AA12&gt;0,TDIST(ABS(AB12),MIN(Z27,Z28)-1,2),"")</f>
        <v>0.900591747543548</v>
      </c>
      <c r="AD12" s="26" t="n">
        <v>0.0297126082308318</v>
      </c>
      <c r="AE12" s="26" t="n">
        <v>0.174024298418071</v>
      </c>
      <c r="AF12" s="27" t="n">
        <f aca="false">IF(AE12&gt;0,AD12/AE12,"")</f>
        <v>0.170738273338422</v>
      </c>
      <c r="AG12" s="27" t="n">
        <f aca="false">IF(AE12&gt;0,TDIST(ABS(AF12),MIN(AD27,AD28)-1,2),"")</f>
        <v>0.866334131638698</v>
      </c>
      <c r="AH12" s="26" t="n">
        <v>-0.034079724334971</v>
      </c>
      <c r="AI12" s="26" t="n">
        <v>0.0348838767573321</v>
      </c>
      <c r="AJ12" s="27" t="n">
        <f aca="false">IF(AI12&gt;0,AH12/AI12,"")</f>
        <v>-0.976947733534457</v>
      </c>
      <c r="AK12" s="27" t="n">
        <f aca="false">IF(AI12&gt;0,TDIST(ABS(AJ12),MIN(AH27,AH28)-1,2),"")</f>
        <v>0.341543233425411</v>
      </c>
      <c r="AL12" s="26" t="n">
        <v>-0.0765067218047427</v>
      </c>
      <c r="AM12" s="26" t="n">
        <v>0.0689312599828965</v>
      </c>
      <c r="AN12" s="27" t="n">
        <f aca="false">IF(AM12&gt;0,AL12/AM12,"")</f>
        <v>-1.10989878646823</v>
      </c>
      <c r="AO12" s="27" t="n">
        <f aca="false">IF(AM12&gt;0,TDIST(ABS(AN12),MIN(AL27,AL28)-1,2),"")</f>
        <v>0.281650753509268</v>
      </c>
      <c r="AP12" s="26" t="n">
        <v>-0.0672175440277276</v>
      </c>
      <c r="AQ12" s="26" t="n">
        <v>0.059672056920837</v>
      </c>
      <c r="AR12" s="27" t="n">
        <f aca="false">IF(AQ12&gt;0,AP12/AQ12,"")</f>
        <v>-1.12644925441234</v>
      </c>
      <c r="AS12" s="27" t="n">
        <f aca="false">IF(AQ12&gt;0,TDIST(ABS(AR12),MIN(AP27,AP28)-1,2),"")</f>
        <v>0.274769729770188</v>
      </c>
      <c r="AT12" s="26" t="n">
        <v>-0.064659902153086</v>
      </c>
      <c r="AU12" s="26" t="n">
        <v>0.0559097900219613</v>
      </c>
      <c r="AV12" s="27" t="n">
        <f aca="false">IF(AU12&gt;0,AT12/AU12,"")</f>
        <v>-1.15650411363891</v>
      </c>
      <c r="AW12" s="27" t="n">
        <f aca="false">IF(AU12&gt;0,TDIST(ABS(AV12),MIN(AT27,AT28)-1,2),"")</f>
        <v>0.262594072390983</v>
      </c>
    </row>
    <row r="13" customFormat="false" ht="15" hidden="false" customHeight="false" outlineLevel="0" collapsed="false">
      <c r="A13" s="7" t="s">
        <v>17</v>
      </c>
      <c r="B13" s="26" t="n">
        <v>-0.129297559091688</v>
      </c>
      <c r="C13" s="26" t="n">
        <v>0.13420023294282</v>
      </c>
      <c r="D13" s="27" t="n">
        <f aca="false">IF(C13&gt;0,B13/C13,"")</f>
        <v>-0.963467471377482</v>
      </c>
      <c r="E13" s="27" t="n">
        <f aca="false">IF(C13&gt;0,TDIST(ABS(D13),MIN(B27,B28)-1,2),"")</f>
        <v>0.348079127757475</v>
      </c>
      <c r="F13" s="26" t="n">
        <v>-0.0387028269574025</v>
      </c>
      <c r="G13" s="26" t="n">
        <v>0.0655757485756806</v>
      </c>
      <c r="H13" s="27" t="n">
        <f aca="false">IF(G13&gt;0,F13/G13,"")</f>
        <v>-0.590200307248278</v>
      </c>
      <c r="I13" s="27" t="n">
        <f aca="false">IF(G13&gt;0,TDIST(ABS(H13),MIN(F27,F28)-1,2),"")</f>
        <v>0.562393383263574</v>
      </c>
      <c r="J13" s="26" t="n">
        <v>-0.0968520723083607</v>
      </c>
      <c r="K13" s="26" t="n">
        <v>0.0760483589902604</v>
      </c>
      <c r="L13" s="27" t="n">
        <f aca="false">IF(K13&gt;0,J13/K13,"")</f>
        <v>-1.27355900369612</v>
      </c>
      <c r="M13" s="27" t="n">
        <f aca="false">IF(K13&gt;0,TDIST(ABS(L13),MIN(J27,J28)-1,2),"")</f>
        <v>0.219020727999073</v>
      </c>
      <c r="N13" s="26" t="n">
        <v>-0.0827138053069679</v>
      </c>
      <c r="O13" s="26" t="n">
        <v>0.0740611298118905</v>
      </c>
      <c r="P13" s="27" t="n">
        <f aca="false">IF(O13&gt;0,N13/O13,"")</f>
        <v>-1.11683153520686</v>
      </c>
      <c r="Q13" s="27" t="n">
        <f aca="false">IF(O13&gt;0,TDIST(ABS(P13),MIN(N27,N28)-1,2),"")</f>
        <v>0.278753094051967</v>
      </c>
      <c r="R13" s="26" t="n">
        <v>-0.161413608888514</v>
      </c>
      <c r="S13" s="26" t="n">
        <v>0.127386651628037</v>
      </c>
      <c r="T13" s="27" t="n">
        <f aca="false">IF(S13&gt;0,R13/S13,"")</f>
        <v>-1.26711556372354</v>
      </c>
      <c r="U13" s="27" t="n">
        <f aca="false">IF(S13&gt;0,TDIST(ABS(T13),MIN(R27,R28)-1,2),"")</f>
        <v>0.22126352997685</v>
      </c>
      <c r="V13" s="26" t="n">
        <v>-0.00310763855823939</v>
      </c>
      <c r="W13" s="26" t="n">
        <v>0.118805982581195</v>
      </c>
      <c r="X13" s="27" t="n">
        <f aca="false">IF(W13&gt;0,V13/W13,"")</f>
        <v>-0.0261572564842479</v>
      </c>
      <c r="Y13" s="27" t="n">
        <f aca="false">IF(W13&gt;0,TDIST(ABS(X13),MIN(V27,V28)-1,2),"")</f>
        <v>0.979419723582961</v>
      </c>
      <c r="Z13" s="26" t="n">
        <v>-0.00685321111575045</v>
      </c>
      <c r="AA13" s="26" t="n">
        <v>0.180770689055477</v>
      </c>
      <c r="AB13" s="27" t="n">
        <f aca="false">IF(AA13&gt;0,Z13/AA13,"")</f>
        <v>-0.0379110748073061</v>
      </c>
      <c r="AC13" s="27" t="n">
        <f aca="false">IF(AA13&gt;0,TDIST(ABS(AB13),MIN(Z27,Z28)-1,2),"")</f>
        <v>0.970175883654116</v>
      </c>
      <c r="AD13" s="26" t="n">
        <v>0.0118794834567563</v>
      </c>
      <c r="AE13" s="26" t="n">
        <v>0.170458804065296</v>
      </c>
      <c r="AF13" s="27" t="n">
        <f aca="false">IF(AE13&gt;0,AD13/AE13,"")</f>
        <v>0.0696912284577905</v>
      </c>
      <c r="AG13" s="27" t="n">
        <f aca="false">IF(AE13&gt;0,TDIST(ABS(AF13),MIN(AD27,AD28)-1,2),"")</f>
        <v>0.945207832676266</v>
      </c>
      <c r="AH13" s="26" t="n">
        <v>-0.0218074512215736</v>
      </c>
      <c r="AI13" s="26" t="n">
        <v>0.0351675353576439</v>
      </c>
      <c r="AJ13" s="27" t="n">
        <f aca="false">IF(AI13&gt;0,AH13/AI13,"")</f>
        <v>-0.6201017785238</v>
      </c>
      <c r="AK13" s="27" t="n">
        <f aca="false">IF(AI13&gt;0,TDIST(ABS(AJ13),MIN(AH27,AH28)-1,2),"")</f>
        <v>0.542962268116454</v>
      </c>
      <c r="AL13" s="26" t="n">
        <v>-0.0644818386393767</v>
      </c>
      <c r="AM13" s="26" t="n">
        <v>0.0701918997304596</v>
      </c>
      <c r="AN13" s="27" t="n">
        <f aca="false">IF(AM13&gt;0,AL13/AM13,"")</f>
        <v>-0.918650711648925</v>
      </c>
      <c r="AO13" s="27" t="n">
        <f aca="false">IF(AM13&gt;0,TDIST(ABS(AN13),MIN(AL27,AL28)-1,2),"")</f>
        <v>0.370425097242535</v>
      </c>
      <c r="AP13" s="26" t="n">
        <v>-0.0685969235671865</v>
      </c>
      <c r="AQ13" s="26" t="n">
        <v>0.0587546252982753</v>
      </c>
      <c r="AR13" s="27" t="n">
        <f aca="false">IF(AQ13&gt;0,AP13/AQ13,"")</f>
        <v>-1.16751529294835</v>
      </c>
      <c r="AS13" s="27" t="n">
        <f aca="false">IF(AQ13&gt;0,TDIST(ABS(AR13),MIN(AP27,AP28)-1,2),"")</f>
        <v>0.25823585510627</v>
      </c>
      <c r="AT13" s="26" t="n">
        <v>-0.069015544233792</v>
      </c>
      <c r="AU13" s="26" t="n">
        <v>0.0550184506014438</v>
      </c>
      <c r="AV13" s="27" t="n">
        <f aca="false">IF(AU13&gt;0,AT13/AU13,"")</f>
        <v>-1.25440726664122</v>
      </c>
      <c r="AW13" s="27" t="n">
        <f aca="false">IF(AU13&gt;0,TDIST(ABS(AV13),MIN(AT27,AT28)-1,2),"")</f>
        <v>0.225739256334969</v>
      </c>
    </row>
    <row r="14" customFormat="false" ht="15" hidden="false" customHeight="false" outlineLevel="0" collapsed="false">
      <c r="A14" s="7" t="s">
        <v>18</v>
      </c>
      <c r="B14" s="26" t="n">
        <v>-0.0963036391313547</v>
      </c>
      <c r="C14" s="26" t="n">
        <v>0.140398221726651</v>
      </c>
      <c r="D14" s="27" t="n">
        <f aca="false">IF(C14&gt;0,B14/C14,"")</f>
        <v>-0.68593204349022</v>
      </c>
      <c r="E14" s="27" t="n">
        <f aca="false">IF(C14&gt;0,TDIST(ABS(D14),MIN(B27,B28)-1,2),"")</f>
        <v>0.501496237579271</v>
      </c>
      <c r="F14" s="26" t="n">
        <v>-0.00965225555310146</v>
      </c>
      <c r="G14" s="26" t="n">
        <v>0.0614781520673076</v>
      </c>
      <c r="H14" s="27" t="n">
        <f aca="false">IF(G14&gt;0,F14/G14,"")</f>
        <v>-0.157003020236099</v>
      </c>
      <c r="I14" s="27" t="n">
        <f aca="false">IF(G14&gt;0,TDIST(ABS(H14),MIN(F27,F28)-1,2),"")</f>
        <v>0.876990124370766</v>
      </c>
      <c r="J14" s="26" t="n">
        <v>-0.114904070559068</v>
      </c>
      <c r="K14" s="26" t="n">
        <v>0.0854718618489751</v>
      </c>
      <c r="L14" s="27" t="n">
        <f aca="false">IF(K14&gt;0,J14/K14,"")</f>
        <v>-1.3443496850706</v>
      </c>
      <c r="M14" s="27" t="n">
        <f aca="false">IF(K14&gt;0,TDIST(ABS(L14),MIN(J27,J28)-1,2),"")</f>
        <v>0.195534041346399</v>
      </c>
      <c r="N14" s="26" t="n">
        <v>-0.0758237403894553</v>
      </c>
      <c r="O14" s="26" t="n">
        <v>0.0862535497230522</v>
      </c>
      <c r="P14" s="27" t="n">
        <f aca="false">IF(O14&gt;0,N14/O14,"")</f>
        <v>-0.87907965101627</v>
      </c>
      <c r="Q14" s="27" t="n">
        <f aca="false">IF(O14&gt;0,TDIST(ABS(P14),MIN(N27,N28)-1,2),"")</f>
        <v>0.39094282188803</v>
      </c>
      <c r="R14" s="26" t="n">
        <v>-0.178658024977276</v>
      </c>
      <c r="S14" s="26" t="n">
        <v>0.124600786967895</v>
      </c>
      <c r="T14" s="27" t="n">
        <f aca="false">IF(S14&gt;0,R14/S14,"")</f>
        <v>-1.4338434718178</v>
      </c>
      <c r="U14" s="27" t="n">
        <f aca="false">IF(S14&gt;0,TDIST(ABS(T14),MIN(R27,R28)-1,2),"")</f>
        <v>0.168760777575666</v>
      </c>
      <c r="V14" s="26" t="n">
        <v>-0.0114927469716089</v>
      </c>
      <c r="W14" s="26" t="n">
        <v>0.115924008770054</v>
      </c>
      <c r="X14" s="27" t="n">
        <f aca="false">IF(W14&gt;0,V14/W14,"")</f>
        <v>-0.0991403514556317</v>
      </c>
      <c r="Y14" s="27" t="n">
        <f aca="false">IF(W14&gt;0,TDIST(ABS(X14),MIN(V27,V28)-1,2),"")</f>
        <v>0.922122603508731</v>
      </c>
      <c r="Z14" s="26" t="n">
        <v>-0.0236200113007176</v>
      </c>
      <c r="AA14" s="26" t="n">
        <v>0.178820343399789</v>
      </c>
      <c r="AB14" s="27" t="n">
        <f aca="false">IF(AA14&gt;0,Z14/AA14,"")</f>
        <v>-0.13208794285732</v>
      </c>
      <c r="AC14" s="27" t="n">
        <f aca="false">IF(AA14&gt;0,TDIST(ABS(AB14),MIN(Z27,Z28)-1,2),"")</f>
        <v>0.896380032530518</v>
      </c>
      <c r="AD14" s="26" t="n">
        <v>0.0337756347620375</v>
      </c>
      <c r="AE14" s="26" t="n">
        <v>0.180732992604367</v>
      </c>
      <c r="AF14" s="27" t="n">
        <f aca="false">IF(AE14&gt;0,AD14/AE14,"")</f>
        <v>0.186881400431265</v>
      </c>
      <c r="AG14" s="27" t="n">
        <f aca="false">IF(AE14&gt;0,TDIST(ABS(AF14),MIN(AD27,AD28)-1,2),"")</f>
        <v>0.853843853331525</v>
      </c>
      <c r="AH14" s="26" t="n">
        <v>-0.0339578513977617</v>
      </c>
      <c r="AI14" s="26" t="n">
        <v>0.0344087245436554</v>
      </c>
      <c r="AJ14" s="27" t="n">
        <f aca="false">IF(AI14&gt;0,AH14/AI14,"")</f>
        <v>-0.986896545807106</v>
      </c>
      <c r="AK14" s="27" t="n">
        <f aca="false">IF(AI14&gt;0,TDIST(ABS(AJ14),MIN(AH27,AH28)-1,2),"")</f>
        <v>0.336774536450228</v>
      </c>
      <c r="AL14" s="26" t="n">
        <v>-0.0747696951428547</v>
      </c>
      <c r="AM14" s="26" t="n">
        <v>0.0682466635323011</v>
      </c>
      <c r="AN14" s="27" t="n">
        <f aca="false">IF(AM14&gt;0,AL14/AM14,"")</f>
        <v>-1.09558022726585</v>
      </c>
      <c r="AO14" s="27" t="n">
        <f aca="false">IF(AM14&gt;0,TDIST(ABS(AN14),MIN(AL27,AL28)-1,2),"")</f>
        <v>0.287705483963755</v>
      </c>
      <c r="AP14" s="26" t="n">
        <v>-0.0743456833026128</v>
      </c>
      <c r="AQ14" s="26" t="n">
        <v>0.0588440096331926</v>
      </c>
      <c r="AR14" s="27" t="n">
        <f aca="false">IF(AQ14&gt;0,AP14/AQ14,"")</f>
        <v>-1.26343673325545</v>
      </c>
      <c r="AS14" s="27" t="n">
        <f aca="false">IF(AQ14&gt;0,TDIST(ABS(AR14),MIN(AP27,AP28)-1,2),"")</f>
        <v>0.222552025486122</v>
      </c>
      <c r="AT14" s="26" t="n">
        <v>-0.0731888883194041</v>
      </c>
      <c r="AU14" s="26" t="n">
        <v>0.0551493060504304</v>
      </c>
      <c r="AV14" s="27" t="n">
        <f aca="false">IF(AU14&gt;0,AT14/AU14,"")</f>
        <v>-1.3271044290653</v>
      </c>
      <c r="AW14" s="27" t="n">
        <f aca="false">IF(AU14&gt;0,TDIST(ABS(AV14),MIN(AT27,AT28)-1,2),"")</f>
        <v>0.201063155905873</v>
      </c>
    </row>
    <row r="15" customFormat="false" ht="15" hidden="false" customHeight="false" outlineLevel="0" collapsed="false">
      <c r="A15" s="7" t="s">
        <v>19</v>
      </c>
      <c r="B15" s="26" t="n">
        <v>-0.143344195335988</v>
      </c>
      <c r="C15" s="26" t="n">
        <v>0.138935914248512</v>
      </c>
      <c r="D15" s="27" t="n">
        <f aca="false">IF(C15&gt;0,B15/C15,"")</f>
        <v>-1.03172888098314</v>
      </c>
      <c r="E15" s="27" t="n">
        <f aca="false">IF(C15&gt;0,TDIST(ABS(D15),MIN(B27,B28)-1,2),"")</f>
        <v>0.315863504032165</v>
      </c>
      <c r="F15" s="26" t="n">
        <v>-0.046958739326876</v>
      </c>
      <c r="G15" s="26" t="n">
        <v>0.0609126602931264</v>
      </c>
      <c r="H15" s="27" t="n">
        <f aca="false">IF(G15&gt;0,F15/G15,"")</f>
        <v>-0.770919199734494</v>
      </c>
      <c r="I15" s="27" t="n">
        <f aca="false">IF(G15&gt;0,TDIST(ABS(H15),MIN(F27,F28)-1,2),"")</f>
        <v>0.450756408175417</v>
      </c>
      <c r="J15" s="26" t="n">
        <v>-0.138995056568092</v>
      </c>
      <c r="K15" s="26" t="n">
        <v>0.0953408443567651</v>
      </c>
      <c r="L15" s="27" t="n">
        <f aca="false">IF(K15&gt;0,J15/K15,"")</f>
        <v>-1.45787524230405</v>
      </c>
      <c r="M15" s="27" t="n">
        <f aca="false">IF(K15&gt;0,TDIST(ABS(L15),MIN(J27,J28)-1,2),"")</f>
        <v>0.162102167594176</v>
      </c>
      <c r="N15" s="26" t="n">
        <v>-0.123404989476236</v>
      </c>
      <c r="O15" s="26" t="n">
        <v>0.0983379213104224</v>
      </c>
      <c r="P15" s="27" t="n">
        <f aca="false">IF(O15&gt;0,N15/O15,"")</f>
        <v>-1.25490744396238</v>
      </c>
      <c r="Q15" s="27" t="n">
        <f aca="false">IF(O15&gt;0,TDIST(ABS(P15),MIN(N27,N28)-1,2),"")</f>
        <v>0.225561782947089</v>
      </c>
      <c r="R15" s="26" t="n">
        <v>-0.197812493908102</v>
      </c>
      <c r="S15" s="26" t="n">
        <v>0.135727375032389</v>
      </c>
      <c r="T15" s="27" t="n">
        <f aca="false">IF(S15&gt;0,R15/S15,"")</f>
        <v>-1.45742517941496</v>
      </c>
      <c r="U15" s="27" t="n">
        <f aca="false">IF(S15&gt;0,TDIST(ABS(T15),MIN(R27,R28)-1,2),"")</f>
        <v>0.162224864835983</v>
      </c>
      <c r="V15" s="26" t="n">
        <v>-0.0213855071615756</v>
      </c>
      <c r="W15" s="26" t="n">
        <v>0.118465801854212</v>
      </c>
      <c r="X15" s="27" t="n">
        <f aca="false">IF(W15&gt;0,V15/W15,"")</f>
        <v>-0.180520511631647</v>
      </c>
      <c r="Y15" s="27" t="n">
        <f aca="false">IF(W15&gt;0,TDIST(ABS(X15),MIN(V27,V28)-1,2),"")</f>
        <v>0.85876085806006</v>
      </c>
      <c r="Z15" s="26" t="n">
        <v>-0.032445921113602</v>
      </c>
      <c r="AA15" s="26" t="n">
        <v>0.184823147070736</v>
      </c>
      <c r="AB15" s="27" t="n">
        <f aca="false">IF(AA15&gt;0,Z15/AA15,"")</f>
        <v>-0.175551177586995</v>
      </c>
      <c r="AC15" s="27" t="n">
        <f aca="false">IF(AA15&gt;0,TDIST(ABS(AB15),MIN(Z27,Z28)-1,2),"")</f>
        <v>0.862606334604382</v>
      </c>
      <c r="AD15" s="26" t="n">
        <v>0.00333965441181926</v>
      </c>
      <c r="AE15" s="26" t="n">
        <v>0.173188256185137</v>
      </c>
      <c r="AF15" s="27" t="n">
        <f aca="false">IF(AE15&gt;0,AD15/AE15,"")</f>
        <v>0.0192833768604332</v>
      </c>
      <c r="AG15" s="27" t="n">
        <f aca="false">IF(AE15&gt;0,TDIST(ABS(AF15),MIN(AD27,AD28)-1,2),"")</f>
        <v>0.984827191926452</v>
      </c>
      <c r="AH15" s="26" t="n">
        <v>-0.0320791887764176</v>
      </c>
      <c r="AI15" s="26" t="n">
        <v>0.0354108127611176</v>
      </c>
      <c r="AJ15" s="27" t="n">
        <f aca="false">IF(AI15&gt;0,AH15/AI15,"")</f>
        <v>-0.905915065910088</v>
      </c>
      <c r="AK15" s="27" t="n">
        <f aca="false">IF(AI15&gt;0,TDIST(ABS(AJ15),MIN(AH27,AH28)-1,2),"")</f>
        <v>0.376948101043772</v>
      </c>
      <c r="AL15" s="26" t="n">
        <v>-0.0728787988442432</v>
      </c>
      <c r="AM15" s="26" t="n">
        <v>0.0678871864959191</v>
      </c>
      <c r="AN15" s="27" t="n">
        <f aca="false">IF(AM15&gt;0,AL15/AM15,"")</f>
        <v>-1.07352804860493</v>
      </c>
      <c r="AO15" s="27" t="n">
        <f aca="false">IF(AM15&gt;0,TDIST(ABS(AN15),MIN(AL27,AL28)-1,2),"")</f>
        <v>0.297215854939275</v>
      </c>
      <c r="AP15" s="26" t="n">
        <v>-0.0816699816459308</v>
      </c>
      <c r="AQ15" s="26" t="n">
        <v>0.0578883246149584</v>
      </c>
      <c r="AR15" s="27" t="n">
        <f aca="false">IF(AQ15&gt;0,AP15/AQ15,"")</f>
        <v>-1.41081957698992</v>
      </c>
      <c r="AS15" s="27" t="n">
        <f aca="false">IF(AQ15&gt;0,TDIST(ABS(AR15),MIN(AP27,AP28)-1,2),"")</f>
        <v>0.175347306906619</v>
      </c>
      <c r="AT15" s="26" t="n">
        <v>-0.0825527442174579</v>
      </c>
      <c r="AU15" s="26" t="n">
        <v>0.0541670423530397</v>
      </c>
      <c r="AV15" s="27" t="n">
        <f aca="false">IF(AU15&gt;0,AT15/AU15,"")</f>
        <v>-1.52404009211748</v>
      </c>
      <c r="AW15" s="27" t="n">
        <f aca="false">IF(AU15&gt;0,TDIST(ABS(AV15),MIN(AT27,AT28)-1,2),"")</f>
        <v>0.14487551236474</v>
      </c>
    </row>
    <row r="16" customFormat="false" ht="15" hidden="false" customHeight="false" outlineLevel="0" collapsed="false">
      <c r="A16" s="7" t="s">
        <v>20</v>
      </c>
      <c r="B16" s="26" t="n">
        <v>-0.101514233549831</v>
      </c>
      <c r="C16" s="26" t="n">
        <v>0.147366089984265</v>
      </c>
      <c r="D16" s="27" t="n">
        <f aca="false">IF(C16&gt;0,B16/C16,"")</f>
        <v>-0.688857481125205</v>
      </c>
      <c r="E16" s="27" t="n">
        <f aca="false">IF(C16&gt;0,TDIST(ABS(D16),MIN(B27,B28)-1,2),"")</f>
        <v>0.499696561444377</v>
      </c>
      <c r="F16" s="26" t="n">
        <v>-0.0183365672303339</v>
      </c>
      <c r="G16" s="26" t="n">
        <v>0.0802287568187852</v>
      </c>
      <c r="H16" s="27" t="n">
        <f aca="false">IF(G16&gt;0,F16/G16,"")</f>
        <v>-0.228553550589736</v>
      </c>
      <c r="I16" s="27" t="n">
        <f aca="false">IF(G16&gt;0,TDIST(ABS(H16),MIN(F27,F28)-1,2),"")</f>
        <v>0.821792384431492</v>
      </c>
      <c r="J16" s="26" t="n">
        <v>-0.0683690307470596</v>
      </c>
      <c r="K16" s="26" t="n">
        <v>0.112000544908515</v>
      </c>
      <c r="L16" s="27" t="n">
        <f aca="false">IF(K16&gt;0,J16/K16,"")</f>
        <v>-0.610434804606579</v>
      </c>
      <c r="M16" s="27" t="n">
        <f aca="false">IF(K16&gt;0,TDIST(ABS(L16),MIN(J27,J28)-1,2),"")</f>
        <v>0.549204381894683</v>
      </c>
      <c r="N16" s="26" t="n">
        <v>-0.0461957598887847</v>
      </c>
      <c r="O16" s="26" t="n">
        <v>0.113729252783398</v>
      </c>
      <c r="P16" s="27" t="n">
        <f aca="false">IF(O16&gt;0,N16/O16,"")</f>
        <v>-0.406190656829218</v>
      </c>
      <c r="Q16" s="27" t="n">
        <f aca="false">IF(O16&gt;0,TDIST(ABS(P16),MIN(N27,N28)-1,2),"")</f>
        <v>0.68939085377245</v>
      </c>
      <c r="R16" s="26" t="n">
        <v>-0.125685164309483</v>
      </c>
      <c r="S16" s="26" t="n">
        <v>0.146869869295842</v>
      </c>
      <c r="T16" s="27" t="n">
        <f aca="false">IF(S16&gt;0,R16/S16,"")</f>
        <v>-0.855758672027644</v>
      </c>
      <c r="U16" s="27" t="n">
        <f aca="false">IF(S16&gt;0,TDIST(ABS(T16),MIN(R27,R28)-1,2),"")</f>
        <v>0.403379420507162</v>
      </c>
      <c r="V16" s="26" t="n">
        <v>0.0212076089899088</v>
      </c>
      <c r="W16" s="26" t="n">
        <v>0.136698695034275</v>
      </c>
      <c r="X16" s="27" t="n">
        <f aca="false">IF(W16&gt;0,V16/W16,"")</f>
        <v>0.15514126879259</v>
      </c>
      <c r="Y16" s="27" t="n">
        <f aca="false">IF(W16&gt;0,TDIST(ABS(X16),MIN(V27,V28)-1,2),"")</f>
        <v>0.878436407950895</v>
      </c>
      <c r="Z16" s="26" t="n">
        <v>0.0370829077940117</v>
      </c>
      <c r="AA16" s="26" t="n">
        <v>0.198630365744213</v>
      </c>
      <c r="AB16" s="27" t="n">
        <f aca="false">IF(AA16&gt;0,Z16/AA16,"")</f>
        <v>0.186693044918245</v>
      </c>
      <c r="AC16" s="27" t="n">
        <f aca="false">IF(AA16&gt;0,TDIST(ABS(AB16),MIN(Z27,Z28)-1,2),"")</f>
        <v>0.853989365834896</v>
      </c>
      <c r="AD16" s="26" t="n">
        <v>0.0634489420485265</v>
      </c>
      <c r="AE16" s="26" t="n">
        <v>0.186944407118613</v>
      </c>
      <c r="AF16" s="27" t="n">
        <f aca="false">IF(AE16&gt;0,AD16/AE16,"")</f>
        <v>0.339400054949327</v>
      </c>
      <c r="AG16" s="27" t="n">
        <f aca="false">IF(AE16&gt;0,TDIST(ABS(AF16),MIN(AD27,AD28)-1,2),"")</f>
        <v>0.738236192978012</v>
      </c>
      <c r="AH16" s="26" t="n">
        <v>-0.0363159348805042</v>
      </c>
      <c r="AI16" s="26" t="n">
        <v>0.0348712646115005</v>
      </c>
      <c r="AJ16" s="27" t="n">
        <f aca="false">IF(AI16&gt;0,AH16/AI16,"")</f>
        <v>-1.04142867444294</v>
      </c>
      <c r="AK16" s="27" t="n">
        <f aca="false">IF(AI16&gt;0,TDIST(ABS(AJ16),MIN(AH27,AH28)-1,2),"")</f>
        <v>0.311463442035458</v>
      </c>
      <c r="AL16" s="26" t="n">
        <v>-0.0817809119468937</v>
      </c>
      <c r="AM16" s="26" t="n">
        <v>0.0698841007558982</v>
      </c>
      <c r="AN16" s="27" t="n">
        <f aca="false">IF(AM16&gt;0,AL16/AM16,"")</f>
        <v>-1.17023630643185</v>
      </c>
      <c r="AO16" s="27" t="n">
        <f aca="false">IF(AM16&gt;0,TDIST(ABS(AN16),MIN(AL27,AL28)-1,2),"")</f>
        <v>0.257167307507478</v>
      </c>
      <c r="AP16" s="26" t="n">
        <v>-0.0798141274219784</v>
      </c>
      <c r="AQ16" s="26" t="n">
        <v>0.0591514128138445</v>
      </c>
      <c r="AR16" s="27" t="n">
        <f aca="false">IF(AQ16&gt;0,AP16/AQ16,"")</f>
        <v>-1.3493190377914</v>
      </c>
      <c r="AS16" s="27" t="n">
        <f aca="false">IF(AQ16&gt;0,TDIST(ABS(AR16),MIN(AP27,AP28)-1,2),"")</f>
        <v>0.19396341621592</v>
      </c>
      <c r="AT16" s="26" t="n">
        <v>-0.0797540683620755</v>
      </c>
      <c r="AU16" s="26" t="n">
        <v>0.0554049452905511</v>
      </c>
      <c r="AV16" s="27" t="n">
        <f aca="false">IF(AU16&gt;0,AT16/AU16,"")</f>
        <v>-1.43947562701911</v>
      </c>
      <c r="AW16" s="27" t="n">
        <f aca="false">IF(AU16&gt;0,TDIST(ABS(AV16),MIN(AT27,AT28)-1,2),"")</f>
        <v>0.16718058209056</v>
      </c>
    </row>
    <row r="17" customFormat="false" ht="15" hidden="false" customHeight="false" outlineLevel="0" collapsed="false">
      <c r="A17" s="7" t="s">
        <v>21</v>
      </c>
      <c r="B17" s="26" t="n">
        <v>0.110250769602273</v>
      </c>
      <c r="C17" s="26" t="n">
        <v>0.142973275706106</v>
      </c>
      <c r="D17" s="27" t="n">
        <f aca="false">IF(C17&gt;0,B17/C17,"")</f>
        <v>0.771128513757378</v>
      </c>
      <c r="E17" s="27" t="n">
        <f aca="false">IF(C17&gt;0,TDIST(ABS(D17),MIN(B27,B28)-1,2),"")</f>
        <v>0.450635445734829</v>
      </c>
      <c r="F17" s="26" t="n">
        <v>0.144467520786481</v>
      </c>
      <c r="G17" s="26" t="n">
        <v>0.14201096440384</v>
      </c>
      <c r="H17" s="27" t="n">
        <f aca="false">IF(G17&gt;0,F17/G17,"")</f>
        <v>1.01729835715822</v>
      </c>
      <c r="I17" s="27" t="n">
        <f aca="false">IF(G17&gt;0,TDIST(ABS(H17),MIN(F27,F28)-1,2),"")</f>
        <v>0.322491175827653</v>
      </c>
      <c r="R17" s="26" t="n">
        <v>-0.11955043800339</v>
      </c>
      <c r="S17" s="26" t="n">
        <v>0.0663540474461976</v>
      </c>
      <c r="T17" s="27" t="n">
        <f aca="false">IF(S17&gt;0,R17/S17,"")</f>
        <v>-1.80170528557924</v>
      </c>
      <c r="U17" s="27" t="n">
        <f aca="false">IF(S17&gt;0,TDIST(ABS(T17),MIN(R27,R28)-1,2),"")</f>
        <v>0.0883662064800308</v>
      </c>
      <c r="V17" s="26" t="n">
        <v>-0.123506774034874</v>
      </c>
      <c r="W17" s="26" t="n">
        <v>0.0791217680016544</v>
      </c>
      <c r="X17" s="27" t="n">
        <f aca="false">IF(W17&gt;0,V17/W17,"")</f>
        <v>-1.56097085737886</v>
      </c>
      <c r="Y17" s="27" t="n">
        <f aca="false">IF(W17&gt;0,TDIST(ABS(X17),MIN(V27,V28)-1,2),"")</f>
        <v>0.135940007122906</v>
      </c>
      <c r="AH17" s="26" t="n">
        <v>-0.0124949205349772</v>
      </c>
      <c r="AI17" s="26" t="n">
        <v>0.0430481666358528</v>
      </c>
      <c r="AJ17" s="27" t="n">
        <f aca="false">IF(AI17&gt;0,AH17/AI17,"")</f>
        <v>-0.290254417584668</v>
      </c>
      <c r="AK17" s="27" t="n">
        <f aca="false">IF(AI17&gt;0,TDIST(ABS(AJ17),MIN(AH27,AH28)-1,2),"")</f>
        <v>0.774939014818239</v>
      </c>
      <c r="AL17" s="26" t="n">
        <v>0.0331643024430314</v>
      </c>
      <c r="AM17" s="26" t="n">
        <v>0.0407617396306659</v>
      </c>
      <c r="AN17" s="27" t="n">
        <f aca="false">IF(AM17&gt;0,AL17/AM17,"")</f>
        <v>0.813613519529016</v>
      </c>
      <c r="AO17" s="27" t="n">
        <f aca="false">IF(AM17&gt;0,TDIST(ABS(AN17),MIN(AL27,AL28)-1,2),"")</f>
        <v>0.42649864696651</v>
      </c>
    </row>
    <row r="18" customFormat="false" ht="15" hidden="false" customHeight="false" outlineLevel="0" collapsed="false">
      <c r="A18" s="7" t="s">
        <v>22</v>
      </c>
      <c r="F18" s="26" t="n">
        <v>-0.404446300298927</v>
      </c>
      <c r="G18" s="26" t="n">
        <v>0.528476727994656</v>
      </c>
      <c r="H18" s="27" t="n">
        <f aca="false">IF(G18&gt;0,F18/G18,"")</f>
        <v>-0.765305790916524</v>
      </c>
      <c r="I18" s="27" t="n">
        <f aca="false">IF(G18&gt;0,TDIST(ABS(H18),MIN(F27,F28)-1,2),"")</f>
        <v>0.454007828138598</v>
      </c>
      <c r="J18" s="26" t="n">
        <v>0.821000370780425</v>
      </c>
      <c r="K18" s="26" t="n">
        <v>0.643560097399244</v>
      </c>
      <c r="L18" s="27" t="n">
        <f aca="false">IF(K18&gt;0,J18/K18,"")</f>
        <v>1.27571671099289</v>
      </c>
      <c r="M18" s="27" t="n">
        <f aca="false">IF(K18&gt;0,TDIST(ABS(L18),MIN(J27,J28)-1,2),"")</f>
        <v>0.218273654085262</v>
      </c>
      <c r="N18" s="26" t="n">
        <v>0.9161120600929</v>
      </c>
      <c r="O18" s="26" t="n">
        <v>0.66954779166628</v>
      </c>
      <c r="P18" s="27" t="n">
        <f aca="false">IF(O18&gt;0,N18/O18,"")</f>
        <v>1.36825491995576</v>
      </c>
      <c r="Q18" s="27" t="n">
        <f aca="false">IF(O18&gt;0,TDIST(ABS(P18),MIN(N27,N28)-1,2),"")</f>
        <v>0.188070430625583</v>
      </c>
      <c r="V18" s="26" t="n">
        <v>-1.20970864400307</v>
      </c>
      <c r="W18" s="26" t="n">
        <v>0.365610996235027</v>
      </c>
      <c r="X18" s="27" t="n">
        <f aca="false">IF(W18&gt;0,V18/W18,"")</f>
        <v>-3.30873156568144</v>
      </c>
      <c r="Y18" s="27" t="n">
        <f aca="false">IF(W18&gt;0,TDIST(ABS(X18),MIN(V27,V28)-1,2),"")</f>
        <v>0.00390529514423219</v>
      </c>
      <c r="Z18" s="26" t="n">
        <v>-0.154915427338876</v>
      </c>
      <c r="AA18" s="26" t="n">
        <v>0.682283929286083</v>
      </c>
      <c r="AB18" s="27" t="n">
        <f aca="false">IF(AA18&gt;0,Z18/AA18,"")</f>
        <v>-0.227054193553955</v>
      </c>
      <c r="AC18" s="27" t="n">
        <f aca="false">IF(AA18&gt;0,TDIST(ABS(AB18),MIN(Z27,Z28)-1,2),"")</f>
        <v>0.822940375760089</v>
      </c>
      <c r="AD18" s="26" t="n">
        <v>0.211101290449027</v>
      </c>
      <c r="AE18" s="26" t="n">
        <v>0.688839603917236</v>
      </c>
      <c r="AF18" s="27" t="n">
        <f aca="false">IF(AE18&gt;0,AD18/AE18,"")</f>
        <v>0.306459282028143</v>
      </c>
      <c r="AG18" s="27" t="n">
        <f aca="false">IF(AE18&gt;0,TDIST(ABS(AF18),MIN(AD27,AD28)-1,2),"")</f>
        <v>0.76277158448226</v>
      </c>
      <c r="AL18" s="26" t="n">
        <v>0.000657320869398719</v>
      </c>
      <c r="AM18" s="26" t="n">
        <v>0.0942849668892605</v>
      </c>
      <c r="AN18" s="27" t="n">
        <f aca="false">IF(AM18&gt;0,AL18/AM18,"")</f>
        <v>0.00697164024218999</v>
      </c>
      <c r="AO18" s="27" t="n">
        <f aca="false">IF(AM18&gt;0,TDIST(ABS(AN18),MIN(AL27,AL28)-1,2),"")</f>
        <v>0.994514167542297</v>
      </c>
      <c r="AP18" s="26" t="n">
        <v>-0.184643223324449</v>
      </c>
      <c r="AQ18" s="26" t="n">
        <v>0.103763619250314</v>
      </c>
      <c r="AR18" s="27" t="n">
        <f aca="false">IF(AQ18&gt;0,AP18/AQ18,"")</f>
        <v>-1.7794601292677</v>
      </c>
      <c r="AS18" s="27" t="n">
        <f aca="false">IF(AQ18&gt;0,TDIST(ABS(AR18),MIN(AP27,AP28)-1,2),"")</f>
        <v>0.0920547807372332</v>
      </c>
      <c r="AT18" s="26" t="n">
        <v>-0.154935049161262</v>
      </c>
      <c r="AU18" s="26" t="n">
        <v>0.103762837057385</v>
      </c>
      <c r="AV18" s="27" t="n">
        <f aca="false">IF(AU18&gt;0,AT18/AU18,"")</f>
        <v>-1.49316512110764</v>
      </c>
      <c r="AW18" s="27" t="n">
        <f aca="false">IF(AU18&gt;0,TDIST(ABS(AV18),MIN(AT27,AT28)-1,2),"")</f>
        <v>0.152715600421818</v>
      </c>
    </row>
    <row r="19" customFormat="false" ht="15" hidden="false" customHeight="false" outlineLevel="0" collapsed="false">
      <c r="A19" s="7" t="s">
        <v>23</v>
      </c>
      <c r="F19" s="26" t="n">
        <v>0.0361131873086129</v>
      </c>
      <c r="G19" s="26" t="n">
        <v>0.0956072058390644</v>
      </c>
      <c r="H19" s="27" t="n">
        <f aca="false">IF(G19&gt;0,F19/G19,"")</f>
        <v>0.377724534376648</v>
      </c>
      <c r="I19" s="27" t="n">
        <f aca="false">IF(G19&gt;0,TDIST(ABS(H19),MIN(F27,F28)-1,2),"")</f>
        <v>0.71005238716582</v>
      </c>
      <c r="J19" s="26" t="n">
        <v>-0.0121808825211934</v>
      </c>
      <c r="K19" s="26" t="n">
        <v>0.118723442922255</v>
      </c>
      <c r="L19" s="27" t="n">
        <f aca="false">IF(K19&gt;0,J19/K19,"")</f>
        <v>-0.102598797856376</v>
      </c>
      <c r="M19" s="27" t="n">
        <f aca="false">IF(K19&gt;0,TDIST(ABS(L19),MIN(J27,J28)-1,2),"")</f>
        <v>0.919415775750922</v>
      </c>
      <c r="N19" s="26" t="n">
        <v>-0.0365565469689395</v>
      </c>
      <c r="O19" s="26" t="n">
        <v>0.128747997801159</v>
      </c>
      <c r="P19" s="27" t="n">
        <f aca="false">IF(O19&gt;0,N19/O19,"")</f>
        <v>-0.283938760938234</v>
      </c>
      <c r="Q19" s="27" t="n">
        <f aca="false">IF(O19&gt;0,TDIST(ABS(P19),MIN(N27,N28)-1,2),"")</f>
        <v>0.779697619700987</v>
      </c>
      <c r="V19" s="26" t="n">
        <v>-0.0115424232164245</v>
      </c>
      <c r="W19" s="26" t="n">
        <v>0.102686153216867</v>
      </c>
      <c r="X19" s="27" t="n">
        <f aca="false">IF(W19&gt;0,V19/W19,"")</f>
        <v>-0.112404865260145</v>
      </c>
      <c r="Y19" s="27" t="n">
        <f aca="false">IF(W19&gt;0,TDIST(ABS(X19),MIN(V27,V28)-1,2),"")</f>
        <v>0.911746465819441</v>
      </c>
      <c r="Z19" s="26" t="n">
        <v>-0.0767376760306068</v>
      </c>
      <c r="AA19" s="26" t="n">
        <v>0.119793331278395</v>
      </c>
      <c r="AB19" s="27" t="n">
        <f aca="false">IF(AA19&gt;0,Z19/AA19,"")</f>
        <v>-0.6405838723382</v>
      </c>
      <c r="AC19" s="27" t="n">
        <f aca="false">IF(AA19&gt;0,TDIST(ABS(AB19),MIN(Z27,Z28)-1,2),"")</f>
        <v>0.529864445684847</v>
      </c>
      <c r="AD19" s="26" t="n">
        <v>-0.192928025021655</v>
      </c>
      <c r="AE19" s="26" t="n">
        <v>0.131562048752238</v>
      </c>
      <c r="AF19" s="27" t="n">
        <f aca="false">IF(AE19&gt;0,AD19/AE19,"")</f>
        <v>-1.46644132446572</v>
      </c>
      <c r="AG19" s="27" t="n">
        <f aca="false">IF(AE19&gt;0,TDIST(ABS(AF19),MIN(AD27,AD28)-1,2),"")</f>
        <v>0.159781313985108</v>
      </c>
      <c r="AL19" s="26" t="n">
        <v>-0.0148866300368887</v>
      </c>
      <c r="AM19" s="26" t="n">
        <v>0.0134431904832939</v>
      </c>
      <c r="AN19" s="27" t="n">
        <f aca="false">IF(AM19&gt;0,AL19/AM19,"")</f>
        <v>-1.1073732872705</v>
      </c>
      <c r="AO19" s="27" t="n">
        <f aca="false">IF(AM19&gt;0,TDIST(ABS(AN19),MIN(AL27,AL28)-1,2),"")</f>
        <v>0.282711820648731</v>
      </c>
      <c r="AP19" s="26" t="n">
        <v>0.0170993492577042</v>
      </c>
      <c r="AQ19" s="26" t="n">
        <v>0.0109216051788493</v>
      </c>
      <c r="AR19" s="27" t="n">
        <f aca="false">IF(AQ19&gt;0,AP19/AQ19,"")</f>
        <v>1.56564433319917</v>
      </c>
      <c r="AS19" s="27" t="n">
        <f aca="false">IF(AQ19&gt;0,TDIST(ABS(AR19),MIN(AP27,AP28)-1,2),"")</f>
        <v>0.134842824678975</v>
      </c>
      <c r="AT19" s="26" t="n">
        <v>0.0135682955825505</v>
      </c>
      <c r="AU19" s="26" t="n">
        <v>0.00997984614003043</v>
      </c>
      <c r="AV19" s="27" t="n">
        <f aca="false">IF(AU19&gt;0,AT19/AU19,"")</f>
        <v>1.35956961582066</v>
      </c>
      <c r="AW19" s="27" t="n">
        <f aca="false">IF(AU19&gt;0,TDIST(ABS(AV19),MIN(AT27,AT28)-1,2),"")</f>
        <v>0.190755343735404</v>
      </c>
    </row>
    <row r="20" customFormat="false" ht="15" hidden="false" customHeight="false" outlineLevel="0" collapsed="false">
      <c r="A20" s="7" t="s">
        <v>24</v>
      </c>
      <c r="F20" s="26" t="n">
        <v>0.0312620736996745</v>
      </c>
      <c r="G20" s="26" t="n">
        <v>0.106954088670927</v>
      </c>
      <c r="H20" s="27" t="n">
        <f aca="false">IF(G20&gt;0,F20/G20,"")</f>
        <v>0.292294330101401</v>
      </c>
      <c r="I20" s="27" t="n">
        <f aca="false">IF(G20&gt;0,TDIST(ABS(H20),MIN(F27,F28)-1,2),"")</f>
        <v>0.773403966647049</v>
      </c>
      <c r="J20" s="26" t="n">
        <v>-0.036698886791713</v>
      </c>
      <c r="K20" s="26" t="n">
        <v>0.164219490849715</v>
      </c>
      <c r="L20" s="27" t="n">
        <f aca="false">IF(K20&gt;0,J20/K20,"")</f>
        <v>-0.223474610728746</v>
      </c>
      <c r="M20" s="27" t="n">
        <f aca="false">IF(K20&gt;0,TDIST(ABS(L20),MIN(J27,J28)-1,2),"")</f>
        <v>0.825682762760703</v>
      </c>
      <c r="N20" s="26" t="n">
        <v>0.00411152095117649</v>
      </c>
      <c r="O20" s="26" t="n">
        <v>0.157021551197996</v>
      </c>
      <c r="P20" s="27" t="n">
        <f aca="false">IF(O20&gt;0,N20/O20,"")</f>
        <v>0.0261844372304798</v>
      </c>
      <c r="Q20" s="27" t="n">
        <f aca="false">IF(O20&gt;0,TDIST(ABS(P20),MIN(N27,N28)-1,2),"")</f>
        <v>0.979398343190407</v>
      </c>
      <c r="V20" s="26" t="n">
        <v>0.102290343172575</v>
      </c>
      <c r="W20" s="26" t="n">
        <v>0.104057894017696</v>
      </c>
      <c r="X20" s="27" t="n">
        <f aca="false">IF(W20&gt;0,V20/W20,"")</f>
        <v>0.983013774574177</v>
      </c>
      <c r="Y20" s="27" t="n">
        <f aca="false">IF(W20&gt;0,TDIST(ABS(X20),MIN(V27,V28)-1,2),"")</f>
        <v>0.338630085930818</v>
      </c>
      <c r="Z20" s="26" t="n">
        <v>0.133680872848313</v>
      </c>
      <c r="AA20" s="26" t="n">
        <v>0.201117605965808</v>
      </c>
      <c r="AB20" s="27" t="n">
        <f aca="false">IF(AA20&gt;0,Z20/AA20,"")</f>
        <v>0.664690056379447</v>
      </c>
      <c r="AC20" s="27" t="n">
        <f aca="false">IF(AA20&gt;0,TDIST(ABS(AB20),MIN(Z27,Z28)-1,2),"")</f>
        <v>0.514674983751795</v>
      </c>
      <c r="AD20" s="26" t="n">
        <v>0.10730597615155</v>
      </c>
      <c r="AE20" s="26" t="n">
        <v>0.210124279872008</v>
      </c>
      <c r="AF20" s="27" t="n">
        <f aca="false">IF(AE20&gt;0,AD20/AE20,"")</f>
        <v>0.510678614660392</v>
      </c>
      <c r="AG20" s="27" t="n">
        <f aca="false">IF(AE20&gt;0,TDIST(ABS(AF20),MIN(AD27,AD28)-1,2),"")</f>
        <v>0.615782193956367</v>
      </c>
      <c r="AL20" s="26" t="n">
        <v>-0.0561646633488208</v>
      </c>
      <c r="AM20" s="26" t="n">
        <v>0.0390450140121255</v>
      </c>
      <c r="AN20" s="27" t="n">
        <f aca="false">IF(AM20&gt;0,AL20/AM20,"")</f>
        <v>-1.43845929550387</v>
      </c>
      <c r="AO20" s="27" t="n">
        <f aca="false">IF(AM20&gt;0,TDIST(ABS(AN20),MIN(AL27,AL28)-1,2),"")</f>
        <v>0.167464836031707</v>
      </c>
      <c r="AP20" s="26" t="n">
        <v>-0.0728652309161562</v>
      </c>
      <c r="AQ20" s="26" t="n">
        <v>0.05341584371703</v>
      </c>
      <c r="AR20" s="27" t="n">
        <f aca="false">IF(AQ20&gt;0,AP20/AQ20,"")</f>
        <v>-1.36411270225664</v>
      </c>
      <c r="AS20" s="27" t="n">
        <f aca="false">IF(AQ20&gt;0,TDIST(ABS(AR20),MIN(AP27,AP28)-1,2),"")</f>
        <v>0.189347131150784</v>
      </c>
      <c r="AT20" s="26" t="n">
        <v>-0.0674280072933353</v>
      </c>
      <c r="AU20" s="26" t="n">
        <v>0.0511512406609408</v>
      </c>
      <c r="AV20" s="27" t="n">
        <f aca="false">IF(AU20&gt;0,AT20/AU20,"")</f>
        <v>-1.31820863818897</v>
      </c>
      <c r="AW20" s="27" t="n">
        <f aca="false">IF(AU20&gt;0,TDIST(ABS(AV20),MIN(AT27,AT28)-1,2),"")</f>
        <v>0.203963299385575</v>
      </c>
    </row>
    <row r="21" customFormat="false" ht="15" hidden="false" customHeight="false" outlineLevel="0" collapsed="false">
      <c r="A21" s="7" t="s">
        <v>25</v>
      </c>
      <c r="F21" s="26" t="n">
        <v>-0.111719021898067</v>
      </c>
      <c r="G21" s="26" t="n">
        <v>0.140429202074691</v>
      </c>
      <c r="H21" s="27" t="n">
        <f aca="false">IF(G21&gt;0,F21/G21,"")</f>
        <v>-0.795554060320345</v>
      </c>
      <c r="I21" s="27" t="n">
        <f aca="false">IF(G21&gt;0,TDIST(ABS(H21),MIN(F27,F28)-1,2),"")</f>
        <v>0.436657376786596</v>
      </c>
      <c r="J21" s="26" t="n">
        <v>0.243680293667172</v>
      </c>
      <c r="K21" s="26" t="n">
        <v>0.2422669399849</v>
      </c>
      <c r="L21" s="27" t="n">
        <f aca="false">IF(K21&gt;0,J21/K21,"")</f>
        <v>1.00583386937714</v>
      </c>
      <c r="M21" s="27" t="n">
        <f aca="false">IF(K21&gt;0,TDIST(ABS(L21),MIN(J27,J28)-1,2),"")</f>
        <v>0.327826327627622</v>
      </c>
      <c r="N21" s="26" t="n">
        <v>0.288562150942612</v>
      </c>
      <c r="O21" s="26" t="n">
        <v>0.239714276931182</v>
      </c>
      <c r="P21" s="27" t="n">
        <f aca="false">IF(O21&gt;0,N21/O21,"")</f>
        <v>1.20377540560696</v>
      </c>
      <c r="Q21" s="27" t="n">
        <f aca="false">IF(O21&gt;0,TDIST(ABS(P21),MIN(N27,N28)-1,2),"")</f>
        <v>0.244268916411721</v>
      </c>
      <c r="V21" s="26" t="n">
        <v>-0.154069789120528</v>
      </c>
      <c r="W21" s="26" t="n">
        <v>0.157151973024703</v>
      </c>
      <c r="X21" s="27" t="n">
        <f aca="false">IF(W21&gt;0,V21/W21,"")</f>
        <v>-0.980387240167257</v>
      </c>
      <c r="Y21" s="27" t="n">
        <f aca="false">IF(W21&gt;0,TDIST(ABS(X21),MIN(V27,V28)-1,2),"")</f>
        <v>0.339889319097719</v>
      </c>
      <c r="Z21" s="26" t="n">
        <v>0.103387185530233</v>
      </c>
      <c r="AA21" s="26" t="n">
        <v>0.20082556960711</v>
      </c>
      <c r="AB21" s="27" t="n">
        <f aca="false">IF(AA21&gt;0,Z21/AA21,"")</f>
        <v>0.514810866626682</v>
      </c>
      <c r="AC21" s="27" t="n">
        <f aca="false">IF(AA21&gt;0,TDIST(ABS(AB21),MIN(Z27,Z28)-1,2),"")</f>
        <v>0.612949024871307</v>
      </c>
      <c r="AD21" s="26" t="n">
        <v>-0.0165841587901762</v>
      </c>
      <c r="AE21" s="26" t="n">
        <v>0.211298198134876</v>
      </c>
      <c r="AF21" s="27" t="n">
        <f aca="false">IF(AE21&gt;0,AD21/AE21,"")</f>
        <v>-0.0784869863376223</v>
      </c>
      <c r="AG21" s="27" t="n">
        <f aca="false">IF(AE21&gt;0,TDIST(ABS(AF21),MIN(AD27,AD28)-1,2),"")</f>
        <v>0.938306625087648</v>
      </c>
      <c r="AL21" s="26" t="n">
        <v>0.0326969620171097</v>
      </c>
      <c r="AM21" s="26" t="n">
        <v>0.04051704263842</v>
      </c>
      <c r="AN21" s="27" t="n">
        <f aca="false">IF(AM21&gt;0,AL21/AM21,"")</f>
        <v>0.80699280815982</v>
      </c>
      <c r="AO21" s="27" t="n">
        <f aca="false">IF(AM21&gt;0,TDIST(ABS(AN21),MIN(AL27,AL28)-1,2),"")</f>
        <v>0.430205434701383</v>
      </c>
      <c r="AP21" s="26" t="n">
        <v>-0.0585043952074095</v>
      </c>
      <c r="AQ21" s="26" t="n">
        <v>0.0374639380673612</v>
      </c>
      <c r="AR21" s="27" t="n">
        <f aca="false">IF(AQ21&gt;0,AP21/AQ21,"")</f>
        <v>-1.56161893878366</v>
      </c>
      <c r="AS21" s="27" t="n">
        <f aca="false">IF(AQ21&gt;0,TDIST(ABS(AR21),MIN(AP27,AP28)-1,2),"")</f>
        <v>0.135787413205493</v>
      </c>
      <c r="AT21" s="26" t="n">
        <v>-0.0586225463287142</v>
      </c>
      <c r="AU21" s="26" t="n">
        <v>0.0358886348798194</v>
      </c>
      <c r="AV21" s="27" t="n">
        <f aca="false">IF(AU21&gt;0,AT21/AU21,"")</f>
        <v>-1.63345712438002</v>
      </c>
      <c r="AW21" s="27" t="n">
        <f aca="false">IF(AU21&gt;0,TDIST(ABS(AV21),MIN(AT27,AT28)-1,2),"")</f>
        <v>0.119741860780472</v>
      </c>
    </row>
    <row r="22" customFormat="false" ht="15" hidden="false" customHeight="false" outlineLevel="0" collapsed="false">
      <c r="A22" s="7" t="s">
        <v>26</v>
      </c>
      <c r="F22" s="26" t="n">
        <v>0.269077008230088</v>
      </c>
      <c r="G22" s="26" t="n">
        <v>0.131633109032841</v>
      </c>
      <c r="H22" s="27" t="n">
        <f aca="false">IF(G22&gt;0,F22/G22,"")</f>
        <v>2.04414383438254</v>
      </c>
      <c r="I22" s="27" t="n">
        <f aca="false">IF(G22&gt;0,TDIST(ABS(H22),MIN(F27,F28)-1,2),"")</f>
        <v>0.0558517993157244</v>
      </c>
      <c r="J22" s="26" t="n">
        <v>-0.259780498876628</v>
      </c>
      <c r="K22" s="26" t="n">
        <v>0.848621750519825</v>
      </c>
      <c r="L22" s="27" t="n">
        <f aca="false">IF(K22&gt;0,J22/K22,"")</f>
        <v>-0.306120481495435</v>
      </c>
      <c r="M22" s="27" t="n">
        <f aca="false">IF(K22&gt;0,TDIST(ABS(L22),MIN(J27,J28)-1,2),"")</f>
        <v>0.763025335695412</v>
      </c>
      <c r="N22" s="26" t="n">
        <v>-0.186903281951916</v>
      </c>
      <c r="O22" s="26" t="n">
        <v>0.98629075151137</v>
      </c>
      <c r="P22" s="27" t="n">
        <f aca="false">IF(O22&gt;0,N22/O22,"")</f>
        <v>-0.189501201005393</v>
      </c>
      <c r="Q22" s="27" t="n">
        <f aca="false">IF(O22&gt;0,TDIST(ABS(P22),MIN(N27,N28)-1,2),"")</f>
        <v>0.851820509730958</v>
      </c>
      <c r="V22" s="26" t="n">
        <v>0.314236553362949</v>
      </c>
      <c r="W22" s="26" t="n">
        <v>0.168320320645946</v>
      </c>
      <c r="X22" s="27" t="n">
        <f aca="false">IF(W22&gt;0,V22/W22,"")</f>
        <v>1.86689611900117</v>
      </c>
      <c r="Y22" s="27" t="n">
        <f aca="false">IF(W22&gt;0,TDIST(ABS(X22),MIN(V27,V28)-1,2),"")</f>
        <v>0.078291493483683</v>
      </c>
      <c r="Z22" s="26" t="n">
        <v>-0.047686048676587</v>
      </c>
      <c r="AA22" s="26" t="n">
        <v>0.941044240841171</v>
      </c>
      <c r="AB22" s="27" t="n">
        <f aca="false">IF(AA22&gt;0,Z22/AA22,"")</f>
        <v>-0.0506735460534373</v>
      </c>
      <c r="AC22" s="27" t="n">
        <f aca="false">IF(AA22&gt;0,TDIST(ABS(AB22),MIN(Z27,Z28)-1,2),"")</f>
        <v>0.960143749884991</v>
      </c>
      <c r="AD22" s="26" t="n">
        <v>0.540754698476038</v>
      </c>
      <c r="AE22" s="26" t="n">
        <v>0.753743317861591</v>
      </c>
      <c r="AF22" s="27" t="n">
        <f aca="false">IF(AE22&gt;0,AD22/AE22,"")</f>
        <v>0.717425528905764</v>
      </c>
      <c r="AG22" s="27" t="n">
        <f aca="false">IF(AE22&gt;0,TDIST(ABS(AF22),MIN(AD27,AD28)-1,2),"")</f>
        <v>0.482318958403444</v>
      </c>
      <c r="AL22" s="26" t="n">
        <v>0.00246903924119752</v>
      </c>
      <c r="AM22" s="26" t="n">
        <v>0.0424181371652779</v>
      </c>
      <c r="AN22" s="27" t="n">
        <f aca="false">IF(AM22&gt;0,AL22/AM22,"")</f>
        <v>0.0582071586872653</v>
      </c>
      <c r="AO22" s="27" t="n">
        <f aca="false">IF(AM22&gt;0,TDIST(ABS(AN22),MIN(AL27,AL28)-1,2),"")</f>
        <v>0.95422494229413</v>
      </c>
      <c r="AP22" s="26" t="n">
        <v>-0.276751766987492</v>
      </c>
      <c r="AQ22" s="26" t="n">
        <v>0.0780984881796886</v>
      </c>
      <c r="AR22" s="27" t="n">
        <f aca="false">IF(AQ22&gt;0,AP22/AQ22,"")</f>
        <v>-3.54362515124164</v>
      </c>
      <c r="AS22" s="27" t="n">
        <f aca="false">IF(AQ22&gt;0,TDIST(ABS(AR22),MIN(AP27,AP28)-1,2),"")</f>
        <v>0.00232058632969922</v>
      </c>
      <c r="AT22" s="26" t="n">
        <v>-0.255506195424912</v>
      </c>
      <c r="AU22" s="26" t="n">
        <v>0.0793685224677337</v>
      </c>
      <c r="AV22" s="27" t="n">
        <f aca="false">IF(AU22&gt;0,AT22/AU22,"")</f>
        <v>-3.21923840183348</v>
      </c>
      <c r="AW22" s="27" t="n">
        <f aca="false">IF(AU22&gt;0,TDIST(ABS(AV22),MIN(AT27,AT28)-1,2),"")</f>
        <v>0.00475690733767288</v>
      </c>
    </row>
    <row r="23" customFormat="false" ht="15" hidden="false" customHeight="false" outlineLevel="0" collapsed="false">
      <c r="A23" s="7" t="s">
        <v>27</v>
      </c>
      <c r="F23" s="26" t="n">
        <v>-0.372807516877103</v>
      </c>
      <c r="G23" s="26" t="n">
        <v>0.24291745680961</v>
      </c>
      <c r="H23" s="27" t="n">
        <f aca="false">IF(G23&gt;0,F23/G23,"")</f>
        <v>-1.5347086280806</v>
      </c>
      <c r="I23" s="27" t="n">
        <f aca="false">IF(G23&gt;0,TDIST(ABS(H23),MIN(F27,F28)-1,2),"")</f>
        <v>0.142245369616464</v>
      </c>
      <c r="J23" s="26" t="n">
        <v>-0.0675069799967529</v>
      </c>
      <c r="K23" s="26" t="n">
        <v>1.62823088209986</v>
      </c>
      <c r="L23" s="27" t="n">
        <f aca="false">IF(K23&gt;0,J23/K23,"")</f>
        <v>-0.0414603240479581</v>
      </c>
      <c r="M23" s="27" t="n">
        <f aca="false">IF(K23&gt;0,TDIST(ABS(L23),MIN(J27,J28)-1,2),"")</f>
        <v>0.967385354514503</v>
      </c>
      <c r="N23" s="26" t="n">
        <v>-0.466461783466271</v>
      </c>
      <c r="O23" s="26" t="n">
        <v>1.65177885922458</v>
      </c>
      <c r="P23" s="27" t="n">
        <f aca="false">IF(O23&gt;0,N23/O23,"")</f>
        <v>-0.28239965710982</v>
      </c>
      <c r="Q23" s="27" t="n">
        <f aca="false">IF(O23&gt;0,TDIST(ABS(P23),MIN(N27,N28)-1,2),"")</f>
        <v>0.78085864248408</v>
      </c>
      <c r="V23" s="26" t="n">
        <v>-0.0418925589087689</v>
      </c>
      <c r="W23" s="26" t="n">
        <v>0.211147875528706</v>
      </c>
      <c r="X23" s="27" t="n">
        <f aca="false">IF(W23&gt;0,V23/W23,"")</f>
        <v>-0.198403885446972</v>
      </c>
      <c r="Y23" s="27" t="n">
        <f aca="false">IF(W23&gt;0,TDIST(ABS(X23),MIN(V27,V28)-1,2),"")</f>
        <v>0.844952712672028</v>
      </c>
      <c r="Z23" s="26" t="n">
        <v>0.387977586941104</v>
      </c>
      <c r="AA23" s="26" t="n">
        <v>1.62919160579187</v>
      </c>
      <c r="AB23" s="27" t="n">
        <f aca="false">IF(AA23&gt;0,Z23/AA23,"")</f>
        <v>0.238141164956793</v>
      </c>
      <c r="AC23" s="27" t="n">
        <f aca="false">IF(AA23&gt;0,TDIST(ABS(AB23),MIN(Z27,Z28)-1,2),"")</f>
        <v>0.81446146784386</v>
      </c>
      <c r="AD23" s="26" t="n">
        <v>-0.322203311698105</v>
      </c>
      <c r="AE23" s="26" t="n">
        <v>1.32734499211575</v>
      </c>
      <c r="AF23" s="27" t="n">
        <f aca="false">IF(AE23&gt;0,AD23/AE23,"")</f>
        <v>-0.242742703375497</v>
      </c>
      <c r="AG23" s="27" t="n">
        <f aca="false">IF(AE23&gt;0,TDIST(ABS(AF23),MIN(AD27,AD28)-1,2),"")</f>
        <v>0.810949229524189</v>
      </c>
      <c r="AL23" s="26" t="n">
        <v>-0.0767536935021354</v>
      </c>
      <c r="AM23" s="26" t="n">
        <v>0.0517804003406124</v>
      </c>
      <c r="AN23" s="27" t="n">
        <f aca="false">IF(AM23&gt;0,AL23/AM23,"")</f>
        <v>-1.48229239243513</v>
      </c>
      <c r="AO23" s="27" t="n">
        <f aca="false">IF(AM23&gt;0,TDIST(ABS(AN23),MIN(AL27,AL28)-1,2),"")</f>
        <v>0.155558621753505</v>
      </c>
      <c r="AP23" s="26" t="n">
        <v>-0.0698500140422402</v>
      </c>
      <c r="AQ23" s="26" t="n">
        <v>0.130471080297398</v>
      </c>
      <c r="AR23" s="27" t="n">
        <f aca="false">IF(AQ23&gt;0,AP23/AQ23,"")</f>
        <v>-0.535367790954309</v>
      </c>
      <c r="AS23" s="27" t="n">
        <f aca="false">IF(AQ23&gt;0,TDIST(ABS(AR23),MIN(AP27,AP28)-1,2),"")</f>
        <v>0.598948466684306</v>
      </c>
      <c r="AT23" s="26" t="n">
        <v>-0.118423192725193</v>
      </c>
      <c r="AU23" s="26" t="n">
        <v>0.134514797999034</v>
      </c>
      <c r="AV23" s="27" t="n">
        <f aca="false">IF(AU23&gt;0,AT23/AU23,"")</f>
        <v>-0.880372973730692</v>
      </c>
      <c r="AW23" s="27" t="n">
        <f aca="false">IF(AU23&gt;0,TDIST(ABS(AV23),MIN(AT27,AT28)-1,2),"")</f>
        <v>0.390260585009001</v>
      </c>
    </row>
    <row r="24" customFormat="false" ht="15" hidden="false" customHeight="false" outlineLevel="0" collapsed="false">
      <c r="A24" s="7" t="s">
        <v>115</v>
      </c>
      <c r="B24" s="26" t="n">
        <v>0.105026507024676</v>
      </c>
      <c r="C24" s="26" t="n">
        <v>0.232845212111942</v>
      </c>
      <c r="D24" s="27" t="n">
        <f aca="false">IF(C24&gt;0,B24/C24,"")</f>
        <v>0.451057189761685</v>
      </c>
      <c r="E24" s="27" t="n">
        <f aca="false">IF(C24&gt;0,TDIST(ABS(D24),MIN(B27,B28)-1,2),"")</f>
        <v>0.657335027852644</v>
      </c>
      <c r="F24" s="26" t="n">
        <v>-0.0235960296722092</v>
      </c>
      <c r="G24" s="26" t="n">
        <v>0.209406746000321</v>
      </c>
      <c r="H24" s="27" t="n">
        <f aca="false">IF(G24&gt;0,F24/G24,"")</f>
        <v>-0.112680370250217</v>
      </c>
      <c r="I24" s="27" t="n">
        <f aca="false">IF(G24&gt;0,TDIST(ABS(H24),MIN(F27,F28)-1,2),"")</f>
        <v>0.911531118919469</v>
      </c>
      <c r="J24" s="26" t="n">
        <v>-0.220732184049309</v>
      </c>
      <c r="K24" s="26" t="n">
        <v>0.216151992880373</v>
      </c>
      <c r="L24" s="27" t="n">
        <f aca="false">IF(K24&gt;0,J24/K24,"")</f>
        <v>-1.02118967818849</v>
      </c>
      <c r="M24" s="27" t="n">
        <f aca="false">IF(K24&gt;0,TDIST(ABS(L24),MIN(J27,J28)-1,2),"")</f>
        <v>0.320694339145249</v>
      </c>
      <c r="N24" s="26" t="n">
        <v>-0.282303553782655</v>
      </c>
      <c r="O24" s="26" t="n">
        <v>0.233335255365373</v>
      </c>
      <c r="P24" s="27" t="n">
        <f aca="false">IF(O24&gt;0,N24/O24,"")</f>
        <v>-1.20986240737862</v>
      </c>
      <c r="Q24" s="27" t="n">
        <f aca="false">IF(O24&gt;0,TDIST(ABS(P24),MIN(N27,N28)-1,2),"")</f>
        <v>0.241981697416763</v>
      </c>
      <c r="R24" s="26" t="n">
        <v>-0.155888707699309</v>
      </c>
      <c r="S24" s="26" t="n">
        <v>0.271132823510013</v>
      </c>
      <c r="T24" s="27" t="n">
        <f aca="false">IF(S24&gt;0,R24/S24,"")</f>
        <v>-0.574953285556562</v>
      </c>
      <c r="U24" s="27" t="n">
        <f aca="false">IF(S24&gt;0,TDIST(ABS(T24),MIN(R27,R28)-1,2),"")</f>
        <v>0.572440113260154</v>
      </c>
      <c r="V24" s="26" t="n">
        <v>-0.186466143364451</v>
      </c>
      <c r="W24" s="26" t="n">
        <v>0.20993802126387</v>
      </c>
      <c r="X24" s="27" t="n">
        <f aca="false">IF(W24&gt;0,V24/W24,"")</f>
        <v>-0.888196155426667</v>
      </c>
      <c r="Y24" s="27" t="n">
        <f aca="false">IF(W24&gt;0,TDIST(ABS(X24),MIN(V27,V28)-1,2),"")</f>
        <v>0.386150556066564</v>
      </c>
      <c r="Z24" s="26" t="n">
        <v>-0.357197758795667</v>
      </c>
      <c r="AA24" s="26" t="n">
        <v>0.262570401107965</v>
      </c>
      <c r="AB24" s="27" t="n">
        <f aca="false">IF(AA24&gt;0,Z24/AA24,"")</f>
        <v>-1.36038851785427</v>
      </c>
      <c r="AC24" s="27" t="n">
        <f aca="false">IF(AA24&gt;0,TDIST(ABS(AB24),MIN(Z27,Z28)-1,2),"")</f>
        <v>0.190500893906074</v>
      </c>
      <c r="AD24" s="26" t="n">
        <v>-0.436355336668285</v>
      </c>
      <c r="AE24" s="26" t="n">
        <v>0.248107268976187</v>
      </c>
      <c r="AF24" s="27" t="n">
        <f aca="false">IF(AE24&gt;0,AD24/AE24,"")</f>
        <v>-1.75873660803612</v>
      </c>
      <c r="AG24" s="27" t="n">
        <f aca="false">IF(AE24&gt;0,TDIST(ABS(AF24),MIN(AD27,AD28)-1,2),"")</f>
        <v>0.0956110118151261</v>
      </c>
      <c r="AH24" s="26" t="n">
        <v>0.00208687491540036</v>
      </c>
      <c r="AI24" s="26" t="n">
        <v>0.0420072580713002</v>
      </c>
      <c r="AJ24" s="27" t="n">
        <f aca="false">IF(AI24&gt;0,AH24/AI24,"")</f>
        <v>0.0496789129121029</v>
      </c>
      <c r="AK24" s="27" t="n">
        <f aca="false">IF(AI24&gt;0,TDIST(ABS(AJ24),MIN(AH27,AH28)-1,2),"")</f>
        <v>0.960925372575723</v>
      </c>
      <c r="AL24" s="26" t="n">
        <v>0.00680544257501681</v>
      </c>
      <c r="AM24" s="26" t="n">
        <v>0.0437236963829511</v>
      </c>
      <c r="AN24" s="27" t="n">
        <f aca="false">IF(AM24&gt;0,AL24/AM24,"")</f>
        <v>0.155646551824251</v>
      </c>
      <c r="AO24" s="27" t="n">
        <f aca="false">IF(AM24&gt;0,TDIST(ABS(AN24),MIN(AL27,AL28)-1,2),"")</f>
        <v>0.878043839960362</v>
      </c>
      <c r="AP24" s="26" t="n">
        <v>0.00776512000141731</v>
      </c>
      <c r="AQ24" s="26" t="n">
        <v>0.0403131432037019</v>
      </c>
      <c r="AR24" s="27" t="n">
        <f aca="false">IF(AQ24&gt;0,AP24/AQ24,"")</f>
        <v>0.19262005848019</v>
      </c>
      <c r="AS24" s="27" t="n">
        <f aca="false">IF(AQ24&gt;0,TDIST(ABS(AR24),MIN(AP27,AP28)-1,2),"")</f>
        <v>0.849413111405078</v>
      </c>
      <c r="AT24" s="26" t="n">
        <v>0.00867134554684633</v>
      </c>
      <c r="AU24" s="26" t="n">
        <v>0.0379095014949195</v>
      </c>
      <c r="AV24" s="27" t="n">
        <f aca="false">IF(AU24&gt;0,AT24/AU24,"")</f>
        <v>0.228738052596351</v>
      </c>
      <c r="AW24" s="27" t="n">
        <f aca="false">IF(AU24&gt;0,TDIST(ABS(AV24),MIN(AT27,AT28)-1,2),"")</f>
        <v>0.821651147963641</v>
      </c>
    </row>
    <row r="26" customFormat="false" ht="15" hidden="false" customHeight="false" outlineLevel="0" collapsed="false">
      <c r="A26" s="7" t="s">
        <v>28</v>
      </c>
      <c r="B26" s="20" t="n">
        <v>1727</v>
      </c>
      <c r="F26" s="20" t="n">
        <v>1483</v>
      </c>
      <c r="J26" s="20" t="n">
        <v>1482</v>
      </c>
      <c r="N26" s="20" t="n">
        <v>1482</v>
      </c>
      <c r="R26" s="20" t="n">
        <v>1538</v>
      </c>
      <c r="V26" s="20" t="n">
        <v>1320</v>
      </c>
      <c r="Z26" s="20" t="n">
        <v>1319</v>
      </c>
      <c r="AD26" s="20" t="n">
        <v>1319</v>
      </c>
      <c r="AH26" s="20" t="n">
        <v>1485</v>
      </c>
      <c r="AL26" s="20" t="n">
        <v>1301</v>
      </c>
      <c r="AP26" s="20" t="n">
        <v>1299</v>
      </c>
      <c r="AT26" s="20" t="n">
        <v>1299</v>
      </c>
    </row>
    <row r="27" customFormat="false" ht="15" hidden="false" customHeight="false" outlineLevel="0" collapsed="false">
      <c r="A27" s="7" t="s">
        <v>116</v>
      </c>
      <c r="B27" s="20" t="n">
        <v>19</v>
      </c>
      <c r="F27" s="20" t="n">
        <v>19</v>
      </c>
      <c r="J27" s="20" t="n">
        <v>19</v>
      </c>
      <c r="N27" s="20" t="n">
        <v>19</v>
      </c>
      <c r="R27" s="20" t="n">
        <v>19</v>
      </c>
      <c r="V27" s="20" t="n">
        <v>19</v>
      </c>
      <c r="Z27" s="20" t="n">
        <v>19</v>
      </c>
      <c r="AD27" s="20" t="n">
        <v>19</v>
      </c>
      <c r="AH27" s="20" t="n">
        <v>19</v>
      </c>
      <c r="AL27" s="20" t="n">
        <v>19</v>
      </c>
      <c r="AP27" s="20" t="n">
        <v>19</v>
      </c>
      <c r="AT27" s="20" t="n">
        <v>19</v>
      </c>
    </row>
    <row r="28" customFormat="false" ht="15" hidden="false" customHeight="false" outlineLevel="0" collapsed="false">
      <c r="A28" s="7" t="s">
        <v>117</v>
      </c>
      <c r="B28" s="20" t="n">
        <v>19</v>
      </c>
      <c r="F28" s="20" t="n">
        <v>19</v>
      </c>
      <c r="J28" s="20" t="n">
        <v>19</v>
      </c>
      <c r="N28" s="20" t="n">
        <v>19</v>
      </c>
      <c r="R28" s="20" t="n">
        <v>19</v>
      </c>
      <c r="V28" s="20" t="n">
        <v>19</v>
      </c>
      <c r="Z28" s="20" t="n">
        <v>19</v>
      </c>
      <c r="AD28" s="20" t="n">
        <v>19</v>
      </c>
      <c r="AH28" s="20" t="n">
        <v>19</v>
      </c>
      <c r="AL28" s="20" t="n">
        <v>19</v>
      </c>
      <c r="AP28" s="20" t="n">
        <v>19</v>
      </c>
      <c r="AT28" s="20" t="n">
        <v>19</v>
      </c>
    </row>
    <row r="29" customFormat="false" ht="15" hidden="false" customHeight="false" outlineLevel="0" collapsed="false">
      <c r="A29" s="7" t="s">
        <v>29</v>
      </c>
      <c r="B29" s="20" t="n">
        <v>0.048732205240218</v>
      </c>
      <c r="F29" s="20" t="n">
        <v>0.0583512387267881</v>
      </c>
      <c r="J29" s="20" t="n">
        <v>0.0805095842434804</v>
      </c>
      <c r="N29" s="20" t="n">
        <v>0.095258826195944</v>
      </c>
      <c r="R29" s="20" t="n">
        <v>0.118578094817697</v>
      </c>
      <c r="V29" s="20" t="n">
        <v>0.128109877763082</v>
      </c>
      <c r="Z29" s="20" t="n">
        <v>0.0207914424340943</v>
      </c>
      <c r="AD29" s="20" t="n">
        <v>0.123904799399671</v>
      </c>
      <c r="AH29" s="20" t="n">
        <v>0.342677598096958</v>
      </c>
      <c r="AL29" s="20" t="n">
        <v>0.360686893191692</v>
      </c>
      <c r="AP29" s="20" t="n">
        <v>0.661655111871864</v>
      </c>
      <c r="AT29" s="20" t="n">
        <v>0.67056452258284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3" min="2" style="0" width="9"/>
  </cols>
  <sheetData>
    <row r="1" customFormat="false" ht="15" hidden="false" customHeight="false" outlineLevel="0" collapsed="false">
      <c r="A1" s="16" t="s">
        <v>118</v>
      </c>
    </row>
    <row r="3" customFormat="false" ht="23.85" hidden="false" customHeight="false" outlineLevel="0" collapsed="false">
      <c r="A3" s="1" t="s">
        <v>66</v>
      </c>
      <c r="B3" s="25" t="s">
        <v>119</v>
      </c>
      <c r="C3" s="25" t="s">
        <v>120</v>
      </c>
      <c r="D3" s="25" t="s">
        <v>121</v>
      </c>
      <c r="E3" s="25" t="s">
        <v>122</v>
      </c>
      <c r="F3" s="25" t="s">
        <v>123</v>
      </c>
      <c r="G3" s="25" t="s">
        <v>124</v>
      </c>
      <c r="H3" s="25" t="s">
        <v>125</v>
      </c>
      <c r="I3" s="25" t="s">
        <v>126</v>
      </c>
      <c r="J3" s="25" t="s">
        <v>127</v>
      </c>
      <c r="K3" s="25" t="s">
        <v>128</v>
      </c>
      <c r="L3" s="25" t="s">
        <v>129</v>
      </c>
      <c r="M3" s="25" t="s">
        <v>130</v>
      </c>
      <c r="N3" s="25" t="s">
        <v>131</v>
      </c>
      <c r="O3" s="25" t="s">
        <v>132</v>
      </c>
      <c r="P3" s="25" t="s">
        <v>133</v>
      </c>
      <c r="Q3" s="25" t="s">
        <v>134</v>
      </c>
      <c r="R3" s="25" t="s">
        <v>135</v>
      </c>
      <c r="S3" s="25" t="s">
        <v>136</v>
      </c>
      <c r="T3" s="25" t="s">
        <v>137</v>
      </c>
      <c r="U3" s="25" t="s">
        <v>138</v>
      </c>
      <c r="V3" s="25" t="s">
        <v>139</v>
      </c>
      <c r="W3" s="25" t="s">
        <v>140</v>
      </c>
      <c r="X3" s="25" t="s">
        <v>141</v>
      </c>
      <c r="Y3" s="25" t="s">
        <v>142</v>
      </c>
      <c r="Z3" s="25" t="s">
        <v>143</v>
      </c>
      <c r="AA3" s="25" t="s">
        <v>144</v>
      </c>
      <c r="AB3" s="25" t="s">
        <v>145</v>
      </c>
      <c r="AC3" s="25" t="s">
        <v>146</v>
      </c>
      <c r="AD3" s="25" t="s">
        <v>147</v>
      </c>
      <c r="AE3" s="25" t="s">
        <v>148</v>
      </c>
      <c r="AF3" s="25" t="s">
        <v>149</v>
      </c>
      <c r="AG3" s="25" t="s">
        <v>150</v>
      </c>
      <c r="AH3" s="25" t="s">
        <v>151</v>
      </c>
      <c r="AI3" s="25" t="s">
        <v>152</v>
      </c>
      <c r="AJ3" s="25" t="s">
        <v>153</v>
      </c>
      <c r="AK3" s="25" t="s">
        <v>154</v>
      </c>
      <c r="AL3" s="25" t="s">
        <v>155</v>
      </c>
      <c r="AM3" s="25" t="s">
        <v>156</v>
      </c>
      <c r="AN3" s="25" t="s">
        <v>157</v>
      </c>
      <c r="AO3" s="25" t="s">
        <v>158</v>
      </c>
      <c r="AP3" s="25" t="s">
        <v>159</v>
      </c>
      <c r="AQ3" s="25" t="s">
        <v>160</v>
      </c>
      <c r="AR3" s="25" t="s">
        <v>161</v>
      </c>
      <c r="AS3" s="25" t="s">
        <v>162</v>
      </c>
      <c r="AT3" s="25" t="s">
        <v>163</v>
      </c>
      <c r="AU3" s="25" t="s">
        <v>164</v>
      </c>
      <c r="AV3" s="25" t="s">
        <v>165</v>
      </c>
      <c r="AW3" s="25" t="s">
        <v>166</v>
      </c>
      <c r="AX3" s="25" t="s">
        <v>167</v>
      </c>
      <c r="AY3" s="25" t="s">
        <v>168</v>
      </c>
      <c r="AZ3" s="25" t="s">
        <v>169</v>
      </c>
      <c r="BA3" s="25" t="s">
        <v>170</v>
      </c>
      <c r="BB3" s="25" t="s">
        <v>171</v>
      </c>
      <c r="BC3" s="25" t="s">
        <v>172</v>
      </c>
      <c r="BD3" s="25" t="s">
        <v>173</v>
      </c>
      <c r="BE3" s="25" t="s">
        <v>174</v>
      </c>
      <c r="BF3" s="25" t="s">
        <v>175</v>
      </c>
      <c r="BG3" s="25" t="s">
        <v>176</v>
      </c>
      <c r="BH3" s="25" t="s">
        <v>177</v>
      </c>
      <c r="BI3" s="25" t="s">
        <v>178</v>
      </c>
      <c r="BJ3" s="25" t="s">
        <v>179</v>
      </c>
      <c r="BK3" s="25" t="s">
        <v>180</v>
      </c>
      <c r="BL3" s="25" t="s">
        <v>181</v>
      </c>
      <c r="BM3" s="25" t="s">
        <v>182</v>
      </c>
      <c r="BN3" s="25" t="s">
        <v>183</v>
      </c>
      <c r="BO3" s="25" t="s">
        <v>184</v>
      </c>
      <c r="BP3" s="25" t="s">
        <v>185</v>
      </c>
      <c r="BQ3" s="25" t="s">
        <v>186</v>
      </c>
      <c r="BR3" s="25" t="s">
        <v>187</v>
      </c>
      <c r="BS3" s="25" t="s">
        <v>188</v>
      </c>
      <c r="BT3" s="25" t="s">
        <v>189</v>
      </c>
      <c r="BU3" s="25" t="s">
        <v>190</v>
      </c>
    </row>
    <row r="4" customFormat="false" ht="15" hidden="false" customHeight="false" outlineLevel="0" collapsed="false">
      <c r="A4" s="7" t="s">
        <v>44</v>
      </c>
      <c r="B4" s="26" t="n">
        <v>-0.228876533792825</v>
      </c>
      <c r="C4" s="26" t="n">
        <v>0.182493663546778</v>
      </c>
      <c r="D4" s="27" t="n">
        <f aca="false">IF(C4&gt;0,B4/C4,"")</f>
        <v>-1.2541615382397</v>
      </c>
      <c r="E4" s="27" t="n">
        <f aca="false">IF(C4&gt;0,TDIST(ABS(D4),MIN(B25,B26)-1,2),"")</f>
        <v>0.22675494089516</v>
      </c>
      <c r="F4" s="26" t="n">
        <v>-0.143974278103345</v>
      </c>
      <c r="G4" s="26" t="n">
        <v>0.212030283086408</v>
      </c>
      <c r="H4" s="27" t="n">
        <f aca="false">IF(G4&gt;0,F4/G4,"")</f>
        <v>-0.679026957883518</v>
      </c>
      <c r="I4" s="27" t="n">
        <f aca="false">IF(G4&gt;0,TDIST(ABS(H4),MIN(F25,F26)-1,2),"")</f>
        <v>0.50626104141877</v>
      </c>
      <c r="J4" s="26" t="n">
        <v>0.0442935012407187</v>
      </c>
      <c r="K4" s="26" t="n">
        <v>0.268145173822546</v>
      </c>
      <c r="L4" s="27" t="n">
        <f aca="false">IF(K4&gt;0,J4/K4,"")</f>
        <v>0.165184778861735</v>
      </c>
      <c r="M4" s="27" t="n">
        <f aca="false">IF(K4&gt;0,TDIST(ABS(L4),MIN(J25,J26)-1,2),"")</f>
        <v>0.870746922729389</v>
      </c>
      <c r="N4" s="26" t="n">
        <v>-0.0825195046125847</v>
      </c>
      <c r="O4" s="26" t="n">
        <v>0.305305057846994</v>
      </c>
      <c r="P4" s="27" t="n">
        <f aca="false">IF(O4&gt;0,N4/O4,"")</f>
        <v>-0.27028541614905</v>
      </c>
      <c r="Q4" s="27" t="n">
        <f aca="false">IF(O4&gt;0,TDIST(ABS(P4),MIN(N25,N26)-1,2),"")</f>
        <v>0.790194596728851</v>
      </c>
      <c r="R4" s="26" t="n">
        <v>-0.969469676599143</v>
      </c>
      <c r="S4" s="26" t="n">
        <v>0.501654562594836</v>
      </c>
      <c r="T4" s="27" t="n">
        <f aca="false">IF(S4&gt;0,R4/S4,"")</f>
        <v>-1.93254432210186</v>
      </c>
      <c r="U4" s="27" t="n">
        <f aca="false">IF(S4&gt;0,TDIST(ABS(T4),MIN(R25,R26)-1,2),"")</f>
        <v>0.0701295883285754</v>
      </c>
      <c r="V4" s="26" t="n">
        <v>-0.308557125509381</v>
      </c>
      <c r="W4" s="26" t="n">
        <v>0.937343361625536</v>
      </c>
      <c r="X4" s="27" t="n">
        <f aca="false">IF(W4&gt;0,V4/W4,"")</f>
        <v>-0.32918260067931</v>
      </c>
      <c r="Y4" s="27" t="n">
        <f aca="false">IF(W4&gt;0,TDIST(ABS(X4),MIN(V25,V26)-1,2),"")</f>
        <v>0.746038504278159</v>
      </c>
      <c r="Z4" s="26" t="n">
        <v>0.0935983818933557</v>
      </c>
      <c r="AA4" s="26" t="n">
        <v>0.302474193022876</v>
      </c>
      <c r="AB4" s="27" t="n">
        <f aca="false">IF(AA4&gt;0,Z4/AA4,"")</f>
        <v>0.309442537751566</v>
      </c>
      <c r="AC4" s="27" t="n">
        <f aca="false">IF(AA4&gt;0,TDIST(ABS(AB4),MIN(Z25,Z26)-1,2),"")</f>
        <v>0.760745576989368</v>
      </c>
      <c r="AD4" s="26" t="n">
        <v>0.255407569617528</v>
      </c>
      <c r="AE4" s="26" t="n">
        <v>0.288712677719839</v>
      </c>
      <c r="AF4" s="27" t="n">
        <f aca="false">IF(AE4&gt;0,AD4/AE4,"")</f>
        <v>0.884642723813362</v>
      </c>
      <c r="AG4" s="27" t="n">
        <f aca="false">IF(AE4&gt;0,TDIST(ABS(AF4),MIN(AD25,AD26)-1,2),"")</f>
        <v>0.388690374603899</v>
      </c>
      <c r="AH4" s="26" t="n">
        <v>0.281911350755161</v>
      </c>
      <c r="AI4" s="26" t="n">
        <v>0.288589083862394</v>
      </c>
      <c r="AJ4" s="27" t="n">
        <f aca="false">IF(AI4&gt;0,AH4/AI4,"")</f>
        <v>0.976860756415801</v>
      </c>
      <c r="AK4" s="27" t="n">
        <f aca="false">IF(AI4&gt;0,TDIST(ABS(AJ4),MIN(AH25,AH26)-1,2),"")</f>
        <v>0.34233531695885</v>
      </c>
      <c r="AL4" s="26" t="n">
        <v>0.56530505672819</v>
      </c>
      <c r="AM4" s="26" t="n">
        <v>0.264489094578955</v>
      </c>
      <c r="AN4" s="27" t="n">
        <f aca="false">IF(AM4&gt;0,AL4/AM4,"")</f>
        <v>2.13734731720456</v>
      </c>
      <c r="AO4" s="27" t="n">
        <f aca="false">IF(AM4&gt;0,TDIST(ABS(AN4),MIN(AL25,AL26)-1,2),"")</f>
        <v>0.0473951845205771</v>
      </c>
      <c r="AP4" s="26" t="n">
        <v>-0.166158094227626</v>
      </c>
      <c r="AQ4" s="26" t="n">
        <v>0.398327483567038</v>
      </c>
      <c r="AR4" s="27" t="n">
        <f aca="false">IF(AQ4&gt;0,AP4/AQ4,"")</f>
        <v>-0.417139416893039</v>
      </c>
      <c r="AS4" s="27" t="n">
        <f aca="false">IF(AQ4&gt;0,TDIST(ABS(AR4),MIN(AP25,AP26)-1,2),"")</f>
        <v>0.68179672025249</v>
      </c>
      <c r="AT4" s="26" t="n">
        <v>-0.0873714974607372</v>
      </c>
      <c r="AU4" s="26" t="n">
        <v>0.383345223894239</v>
      </c>
      <c r="AV4" s="27" t="n">
        <f aca="false">IF(AU4&gt;0,AT4/AU4,"")</f>
        <v>-0.227918575776601</v>
      </c>
      <c r="AW4" s="27" t="n">
        <f aca="false">IF(AU4&gt;0,TDIST(ABS(AV4),MIN(AT25,AT26)-1,2),"")</f>
        <v>0.822428309819165</v>
      </c>
      <c r="AX4" s="26" t="n">
        <v>-0.0586294131710979</v>
      </c>
      <c r="AY4" s="26" t="n">
        <v>0.0345019702041036</v>
      </c>
      <c r="AZ4" s="27" t="n">
        <f aca="false">IF(AY4&gt;0,AX4/AY4,"")</f>
        <v>-1.69930623741959</v>
      </c>
      <c r="BA4" s="27" t="n">
        <f aca="false">IF(AY4&gt;0,TDIST(ABS(AZ4),MIN(AX25,AX26)-1,2),"")</f>
        <v>0.107485043005761</v>
      </c>
      <c r="BB4" s="26" t="n">
        <v>-0.0766189827571837</v>
      </c>
      <c r="BC4" s="26" t="n">
        <v>0.0557773930768415</v>
      </c>
      <c r="BD4" s="27" t="n">
        <f aca="false">IF(BC4&gt;0,BB4/BC4,"")</f>
        <v>-1.37365657537329</v>
      </c>
      <c r="BE4" s="27" t="n">
        <f aca="false">IF(BC4&gt;0,TDIST(ABS(BD4),MIN(BB25,BB26)-1,2),"")</f>
        <v>0.18739297230484</v>
      </c>
      <c r="BF4" s="26" t="n">
        <v>-0.0180515211318006</v>
      </c>
      <c r="BG4" s="26" t="n">
        <v>0.0458074047953463</v>
      </c>
      <c r="BH4" s="27" t="n">
        <f aca="false">IF(BG4&gt;0,BF4/BG4,"")</f>
        <v>-0.39407430332387</v>
      </c>
      <c r="BI4" s="27" t="n">
        <f aca="false">IF(BG4&gt;0,TDIST(ABS(BH4),MIN(BF25,BF26)-1,2),"")</f>
        <v>0.698425504883682</v>
      </c>
      <c r="BJ4" s="26" t="n">
        <v>-0.0533526216483326</v>
      </c>
      <c r="BK4" s="26" t="n">
        <v>0.0414726161725492</v>
      </c>
      <c r="BL4" s="27" t="n">
        <f aca="false">IF(BK4&gt;0,BJ4/BK4,"")</f>
        <v>-1.28645420935964</v>
      </c>
      <c r="BM4" s="27" t="n">
        <f aca="false">IF(BK4&gt;0,TDIST(ABS(BL4),MIN(BJ25,BJ26)-1,2),"")</f>
        <v>0.215528965963571</v>
      </c>
      <c r="BN4" s="26" t="n">
        <v>-0.0595466759740436</v>
      </c>
      <c r="BO4" s="26" t="n">
        <v>0.0544363376631439</v>
      </c>
      <c r="BP4" s="27" t="n">
        <f aca="false">IF(BO4&gt;0,BN4/BO4,"")</f>
        <v>-1.09387733507208</v>
      </c>
      <c r="BQ4" s="27" t="n">
        <f aca="false">IF(BO4&gt;0,TDIST(ABS(BP4),MIN(BN25,BN26)-1,2),"")</f>
        <v>0.289266795373317</v>
      </c>
      <c r="BR4" s="26" t="n">
        <v>-0.0267649864299893</v>
      </c>
      <c r="BS4" s="26" t="n">
        <v>0.0638484824140484</v>
      </c>
      <c r="BT4" s="27" t="n">
        <f aca="false">IF(BS4&gt;0,BR4/BS4,"")</f>
        <v>-0.419195342129232</v>
      </c>
      <c r="BU4" s="27" t="n">
        <f aca="false">IF(BS4&gt;0,TDIST(ABS(BT4),MIN(BR25,BR26)-1,2),"")</f>
        <v>0.68032249162315</v>
      </c>
    </row>
    <row r="5" customFormat="false" ht="15" hidden="false" customHeight="false" outlineLevel="0" collapsed="false">
      <c r="A5" s="7" t="s">
        <v>10</v>
      </c>
      <c r="B5" s="26" t="n">
        <v>0.061228727928144</v>
      </c>
      <c r="C5" s="26" t="n">
        <v>0.0696901569228191</v>
      </c>
      <c r="D5" s="27" t="n">
        <f aca="false">IF(C5&gt;0,B5/C5,"")</f>
        <v>0.878585020205278</v>
      </c>
      <c r="E5" s="27" t="n">
        <f aca="false">IF(C5&gt;0,TDIST(ABS(D5),MIN(B25,B26)-1,2),"")</f>
        <v>0.391875493069914</v>
      </c>
      <c r="F5" s="26" t="n">
        <v>0.0318260209600784</v>
      </c>
      <c r="G5" s="26" t="n">
        <v>0.0552525845271621</v>
      </c>
      <c r="H5" s="27" t="n">
        <f aca="false">IF(G5&gt;0,F5/G5,"")</f>
        <v>0.57600963343955</v>
      </c>
      <c r="I5" s="27" t="n">
        <f aca="false">IF(G5&gt;0,TDIST(ABS(H5),MIN(F25,F26)-1,2),"")</f>
        <v>0.572156164171918</v>
      </c>
      <c r="J5" s="26" t="n">
        <v>-0.00251192607785526</v>
      </c>
      <c r="K5" s="26" t="n">
        <v>0.0164019667302554</v>
      </c>
      <c r="L5" s="27" t="n">
        <f aca="false">IF(K5&gt;0,J5/K5,"")</f>
        <v>-0.153147858373698</v>
      </c>
      <c r="M5" s="27" t="n">
        <f aca="false">IF(K5&gt;0,TDIST(ABS(L5),MIN(J25,J26)-1,2),"")</f>
        <v>0.8800848243593</v>
      </c>
      <c r="N5" s="26" t="n">
        <v>0.0154912428488808</v>
      </c>
      <c r="O5" s="26" t="n">
        <v>0.037637146516806</v>
      </c>
      <c r="P5" s="27" t="n">
        <f aca="false">IF(O5&gt;0,N5/O5,"")</f>
        <v>0.411594509216142</v>
      </c>
      <c r="Q5" s="27" t="n">
        <f aca="false">IF(O5&gt;0,TDIST(ABS(P5),MIN(N25,N26)-1,2),"")</f>
        <v>0.685779364949536</v>
      </c>
      <c r="R5" s="26" t="n">
        <v>-0.00181917222970321</v>
      </c>
      <c r="S5" s="26" t="n">
        <v>0.0342252726943272</v>
      </c>
      <c r="T5" s="27" t="n">
        <f aca="false">IF(S5&gt;0,R5/S5,"")</f>
        <v>-0.0531528921902421</v>
      </c>
      <c r="U5" s="27" t="n">
        <f aca="false">IF(S5&gt;0,TDIST(ABS(T5),MIN(R25,R26)-1,2),"")</f>
        <v>0.958229711546251</v>
      </c>
      <c r="V5" s="26" t="n">
        <v>0.0296501051416352</v>
      </c>
      <c r="W5" s="26" t="n">
        <v>0.0492383976932574</v>
      </c>
      <c r="X5" s="27" t="n">
        <f aca="false">IF(W5&gt;0,V5/W5,"")</f>
        <v>0.602174451864737</v>
      </c>
      <c r="Y5" s="27" t="n">
        <f aca="false">IF(W5&gt;0,TDIST(ABS(X5),MIN(V25,V26)-1,2),"")</f>
        <v>0.555005485367794</v>
      </c>
      <c r="Z5" s="26" t="n">
        <v>0.0844927943975783</v>
      </c>
      <c r="AA5" s="26" t="n">
        <v>0.0883957921176114</v>
      </c>
      <c r="AB5" s="27" t="n">
        <f aca="false">IF(AA5&gt;0,Z5/AA5,"")</f>
        <v>0.955846340345702</v>
      </c>
      <c r="AC5" s="27" t="n">
        <f aca="false">IF(AA5&gt;0,TDIST(ABS(AB5),MIN(Z25,Z26)-1,2),"")</f>
        <v>0.352546017952438</v>
      </c>
      <c r="AD5" s="26" t="n">
        <v>0.0388871823361966</v>
      </c>
      <c r="AE5" s="26" t="n">
        <v>0.0578708703972843</v>
      </c>
      <c r="AF5" s="27" t="n">
        <f aca="false">IF(AE5&gt;0,AD5/AE5,"")</f>
        <v>0.671964704681916</v>
      </c>
      <c r="AG5" s="27" t="n">
        <f aca="false">IF(AE5&gt;0,TDIST(ABS(AF5),MIN(AD25,AD26)-1,2),"")</f>
        <v>0.510635976475746</v>
      </c>
      <c r="AH5" s="26" t="n">
        <v>-0.00364129408619886</v>
      </c>
      <c r="AI5" s="26" t="n">
        <v>0.0271172831638369</v>
      </c>
      <c r="AJ5" s="27" t="n">
        <f aca="false">IF(AI5&gt;0,AH5/AI5,"")</f>
        <v>-0.134279458019409</v>
      </c>
      <c r="AK5" s="27" t="n">
        <f aca="false">IF(AI5&gt;0,TDIST(ABS(AJ5),MIN(AH25,AH26)-1,2),"")</f>
        <v>0.894758525564806</v>
      </c>
      <c r="AL5" s="26" t="n">
        <v>0.0122685650127564</v>
      </c>
      <c r="AM5" s="26" t="n">
        <v>0.0529133606488976</v>
      </c>
      <c r="AN5" s="27" t="n">
        <f aca="false">IF(AM5&gt;0,AL5/AM5,"")</f>
        <v>0.231861383633587</v>
      </c>
      <c r="AO5" s="27" t="n">
        <f aca="false">IF(AM5&gt;0,TDIST(ABS(AN5),MIN(AL25,AL26)-1,2),"")</f>
        <v>0.819413707266081</v>
      </c>
      <c r="AP5" s="26" t="n">
        <v>-0.0409518841566595</v>
      </c>
      <c r="AQ5" s="26" t="n">
        <v>0.0371142467721721</v>
      </c>
      <c r="AR5" s="27" t="n">
        <f aca="false">IF(AQ5&gt;0,AP5/AQ5,"")</f>
        <v>-1.10340065387949</v>
      </c>
      <c r="AS5" s="27" t="n">
        <f aca="false">IF(AQ5&gt;0,TDIST(ABS(AR5),MIN(AP25,AP26)-1,2),"")</f>
        <v>0.28522811931109</v>
      </c>
      <c r="AT5" s="26" t="n">
        <v>-0.0122813866350074</v>
      </c>
      <c r="AU5" s="26" t="n">
        <v>0.0454711398600352</v>
      </c>
      <c r="AV5" s="27" t="n">
        <f aca="false">IF(AU5&gt;0,AT5/AU5,"")</f>
        <v>-0.270091901650383</v>
      </c>
      <c r="AW5" s="27" t="n">
        <f aca="false">IF(AU5&gt;0,TDIST(ABS(AV5),MIN(AT25,AT26)-1,2),"")</f>
        <v>0.790340990246473</v>
      </c>
      <c r="AX5" s="26" t="n">
        <v>0.000210635209850443</v>
      </c>
      <c r="AY5" s="26" t="n">
        <v>0.00174465587151984</v>
      </c>
      <c r="AZ5" s="27" t="n">
        <f aca="false">IF(AY5&gt;0,AX5/AY5,"")</f>
        <v>0.120731665934182</v>
      </c>
      <c r="BA5" s="27" t="n">
        <f aca="false">IF(AY5&gt;0,TDIST(ABS(AZ5),MIN(AX25,AX26)-1,2),"")</f>
        <v>0.905319060949649</v>
      </c>
      <c r="BB5" s="26" t="n">
        <v>0.000751887839298294</v>
      </c>
      <c r="BC5" s="26" t="n">
        <v>0.00157598786665829</v>
      </c>
      <c r="BD5" s="27" t="n">
        <f aca="false">IF(BC5&gt;0,BB5/BC5,"")</f>
        <v>0.477089865477576</v>
      </c>
      <c r="BE5" s="27" t="n">
        <f aca="false">IF(BC5&gt;0,TDIST(ABS(BD5),MIN(BB25,BB26)-1,2),"")</f>
        <v>0.639373695924212</v>
      </c>
      <c r="BF5" s="26" t="n">
        <v>-0.00155132469131662</v>
      </c>
      <c r="BG5" s="26" t="n">
        <v>0.00213028698209517</v>
      </c>
      <c r="BH5" s="27" t="n">
        <f aca="false">IF(BG5&gt;0,BF5/BG5,"")</f>
        <v>-0.728223335332439</v>
      </c>
      <c r="BI5" s="27" t="n">
        <f aca="false">IF(BG5&gt;0,TDIST(ABS(BH5),MIN(BF25,BF26)-1,2),"")</f>
        <v>0.476388948907796</v>
      </c>
      <c r="BJ5" s="26" t="n">
        <v>-0.000393482552585619</v>
      </c>
      <c r="BK5" s="26" t="n">
        <v>0.00189491187666039</v>
      </c>
      <c r="BL5" s="27" t="n">
        <f aca="false">IF(BK5&gt;0,BJ5/BK5,"")</f>
        <v>-0.207652164426293</v>
      </c>
      <c r="BM5" s="27" t="n">
        <f aca="false">IF(BK5&gt;0,TDIST(ABS(BL5),MIN(BJ25,BJ26)-1,2),"")</f>
        <v>0.837967788008455</v>
      </c>
      <c r="BN5" s="26" t="n">
        <v>-0.00116356130122438</v>
      </c>
      <c r="BO5" s="26" t="n">
        <v>0.00172424417480186</v>
      </c>
      <c r="BP5" s="27" t="n">
        <f aca="false">IF(BO5&gt;0,BN5/BO5,"")</f>
        <v>-0.674823971122358</v>
      </c>
      <c r="BQ5" s="27" t="n">
        <f aca="false">IF(BO5&gt;0,TDIST(ABS(BP5),MIN(BN25,BN26)-1,2),"")</f>
        <v>0.508862121577346</v>
      </c>
      <c r="BR5" s="26" t="n">
        <v>0.000177377714627414</v>
      </c>
      <c r="BS5" s="26" t="n">
        <v>0.000982748207386872</v>
      </c>
      <c r="BT5" s="27" t="n">
        <f aca="false">IF(BS5&gt;0,BR5/BS5,"")</f>
        <v>0.180491516844443</v>
      </c>
      <c r="BU5" s="27" t="n">
        <f aca="false">IF(BS5&gt;0,TDIST(ABS(BT5),MIN(BR25,BR26)-1,2),"")</f>
        <v>0.858900888762084</v>
      </c>
    </row>
    <row r="6" customFormat="false" ht="15" hidden="false" customHeight="false" outlineLevel="0" collapsed="false">
      <c r="A6" s="7" t="s">
        <v>11</v>
      </c>
      <c r="B6" s="26" t="n">
        <v>-0.0461891665029063</v>
      </c>
      <c r="C6" s="26" t="n">
        <v>0.109277141842555</v>
      </c>
      <c r="D6" s="27" t="n">
        <f aca="false">IF(C6&gt;0,B6/C6,"")</f>
        <v>-0.422679123228304</v>
      </c>
      <c r="E6" s="27" t="n">
        <f aca="false">IF(C6&gt;0,TDIST(ABS(D6),MIN(B25,B26)-1,2),"")</f>
        <v>0.677827441014935</v>
      </c>
      <c r="F6" s="26" t="n">
        <v>-0.0848352847406193</v>
      </c>
      <c r="G6" s="26" t="n">
        <v>0.109595839837423</v>
      </c>
      <c r="H6" s="27" t="n">
        <f aca="false">IF(G6&gt;0,F6/G6,"")</f>
        <v>-0.77407395085859</v>
      </c>
      <c r="I6" s="27" t="n">
        <f aca="false">IF(G6&gt;0,TDIST(ABS(H6),MIN(F25,F26)-1,2),"")</f>
        <v>0.449518940530598</v>
      </c>
      <c r="J6" s="26" t="n">
        <v>-0.405490781903644</v>
      </c>
      <c r="K6" s="26" t="n">
        <v>0.950464522520999</v>
      </c>
      <c r="L6" s="27" t="n">
        <f aca="false">IF(K6&gt;0,J6/K6,"")</f>
        <v>-0.426623795308136</v>
      </c>
      <c r="M6" s="27" t="n">
        <f aca="false">IF(K6&gt;0,TDIST(ABS(L6),MIN(J25,J26)-1,2),"")</f>
        <v>0.675006949764187</v>
      </c>
      <c r="N6" s="26" t="n">
        <v>0.129787782258249</v>
      </c>
      <c r="O6" s="26" t="n">
        <v>1.05136182742749</v>
      </c>
      <c r="P6" s="27" t="n">
        <f aca="false">IF(O6&gt;0,N6/O6,"")</f>
        <v>0.123447303176127</v>
      </c>
      <c r="Q6" s="27" t="n">
        <f aca="false">IF(O6&gt;0,TDIST(ABS(P6),MIN(N25,N26)-1,2),"")</f>
        <v>0.903200685159231</v>
      </c>
      <c r="R6" s="26" t="n">
        <v>1.40893422470856</v>
      </c>
      <c r="S6" s="26" t="n">
        <v>2.18738984421379</v>
      </c>
      <c r="T6" s="27" t="n">
        <f aca="false">IF(S6&gt;0,R6/S6,"")</f>
        <v>0.644116652747361</v>
      </c>
      <c r="U6" s="27" t="n">
        <f aca="false">IF(S6&gt;0,TDIST(ABS(T6),MIN(R25,R26)-1,2),"")</f>
        <v>0.528095474936594</v>
      </c>
      <c r="V6" s="26" t="n">
        <v>1.20119953258667</v>
      </c>
      <c r="W6" s="26" t="n">
        <v>2.30827048635759</v>
      </c>
      <c r="X6" s="27" t="n">
        <f aca="false">IF(W6&gt;0,V6/W6,"")</f>
        <v>0.520389416962196</v>
      </c>
      <c r="Y6" s="27" t="n">
        <f aca="false">IF(W6&gt;0,TDIST(ABS(X6),MIN(V25,V26)-1,2),"")</f>
        <v>0.609503444232894</v>
      </c>
      <c r="Z6" s="26" t="n">
        <v>0.107104704064912</v>
      </c>
      <c r="AA6" s="26" t="n">
        <v>0.0914563456086029</v>
      </c>
      <c r="AB6" s="27" t="n">
        <f aca="false">IF(AA6&gt;0,Z6/AA6,"")</f>
        <v>1.17110194325146</v>
      </c>
      <c r="AC6" s="27" t="n">
        <f aca="false">IF(AA6&gt;0,TDIST(ABS(AB6),MIN(Z25,Z26)-1,2),"")</f>
        <v>0.257711765915546</v>
      </c>
      <c r="AD6" s="26" t="n">
        <v>0.0835779765157316</v>
      </c>
      <c r="AE6" s="26" t="n">
        <v>0.109063860007295</v>
      </c>
      <c r="AF6" s="27" t="n">
        <f aca="false">IF(AE6&gt;0,AD6/AE6,"")</f>
        <v>0.766321460749154</v>
      </c>
      <c r="AG6" s="27" t="n">
        <f aca="false">IF(AE6&gt;0,TDIST(ABS(AF6),MIN(AD25,AD26)-1,2),"")</f>
        <v>0.453995389496412</v>
      </c>
      <c r="AH6" s="26" t="n">
        <v>-0.905206296979997</v>
      </c>
      <c r="AI6" s="26" t="n">
        <v>1.17752364292973</v>
      </c>
      <c r="AJ6" s="27" t="n">
        <f aca="false">IF(AI6&gt;0,AH6/AI6,"")</f>
        <v>-0.768737258411052</v>
      </c>
      <c r="AK6" s="27" t="n">
        <f aca="false">IF(AI6&gt;0,TDIST(ABS(AJ6),MIN(AH25,AH26)-1,2),"")</f>
        <v>0.452597525226416</v>
      </c>
      <c r="AL6" s="26" t="n">
        <v>0.350559302148474</v>
      </c>
      <c r="AM6" s="26" t="n">
        <v>1.03857791343258</v>
      </c>
      <c r="AN6" s="27" t="n">
        <f aca="false">IF(AM6&gt;0,AL6/AM6,"")</f>
        <v>0.337537798189689</v>
      </c>
      <c r="AO6" s="27" t="n">
        <f aca="false">IF(AM6&gt;0,TDIST(ABS(AN6),MIN(AL25,AL26)-1,2),"")</f>
        <v>0.739843452952378</v>
      </c>
      <c r="AP6" s="26" t="n">
        <v>-0.0435366837196613</v>
      </c>
      <c r="AQ6" s="26" t="n">
        <v>1.79967486986181</v>
      </c>
      <c r="AR6" s="27" t="n">
        <f aca="false">IF(AQ6&gt;0,AP6/AQ6,"")</f>
        <v>-0.0241914161545214</v>
      </c>
      <c r="AS6" s="27" t="n">
        <f aca="false">IF(AQ6&gt;0,TDIST(ABS(AR6),MIN(AP25,AP26)-1,2),"")</f>
        <v>0.980981621381758</v>
      </c>
      <c r="AT6" s="26" t="n">
        <v>1.65241202451498</v>
      </c>
      <c r="AU6" s="26" t="n">
        <v>1.08066005804124</v>
      </c>
      <c r="AV6" s="27" t="n">
        <f aca="false">IF(AU6&gt;0,AT6/AU6,"")</f>
        <v>1.52907661592497</v>
      </c>
      <c r="AW6" s="27" t="n">
        <f aca="false">IF(AU6&gt;0,TDIST(ABS(AV6),MIN(AT25,AT26)-1,2),"")</f>
        <v>0.144638995228534</v>
      </c>
      <c r="AX6" s="26" t="n">
        <v>-0.0383161555153124</v>
      </c>
      <c r="AY6" s="26" t="n">
        <v>0.0193297990771028</v>
      </c>
      <c r="AZ6" s="27" t="n">
        <f aca="false">IF(AY6&gt;0,AX6/AY6,"")</f>
        <v>-1.98223247755844</v>
      </c>
      <c r="BA6" s="27" t="n">
        <f aca="false">IF(AY6&gt;0,TDIST(ABS(AZ6),MIN(AX25,AX26)-1,2),"")</f>
        <v>0.0638563292452616</v>
      </c>
      <c r="BB6" s="26" t="n">
        <v>-0.0459700687614089</v>
      </c>
      <c r="BC6" s="26" t="n">
        <v>0.0203514975427198</v>
      </c>
      <c r="BD6" s="27" t="n">
        <f aca="false">IF(BC6&gt;0,BB6/BC6,"")</f>
        <v>-2.25880521396094</v>
      </c>
      <c r="BE6" s="27" t="n">
        <f aca="false">IF(BC6&gt;0,TDIST(ABS(BD6),MIN(BB25,BB26)-1,2),"")</f>
        <v>0.0373254666065823</v>
      </c>
      <c r="BF6" s="26" t="n">
        <v>-0.0426768280466997</v>
      </c>
      <c r="BG6" s="26" t="n">
        <v>0.107711667748317</v>
      </c>
      <c r="BH6" s="27" t="n">
        <f aca="false">IF(BG6&gt;0,BF6/BG6,"")</f>
        <v>-0.396213603770576</v>
      </c>
      <c r="BI6" s="27" t="n">
        <f aca="false">IF(BG6&gt;0,TDIST(ABS(BH6),MIN(BF25,BF26)-1,2),"")</f>
        <v>0.696876356204164</v>
      </c>
      <c r="BJ6" s="26" t="n">
        <v>-0.28400555675681</v>
      </c>
      <c r="BK6" s="26" t="n">
        <v>0.134340606474196</v>
      </c>
      <c r="BL6" s="27" t="n">
        <f aca="false">IF(BK6&gt;0,BJ6/BK6,"")</f>
        <v>-2.11407082497697</v>
      </c>
      <c r="BM6" s="27" t="n">
        <f aca="false">IF(BK6&gt;0,TDIST(ABS(BL6),MIN(BJ25,BJ26)-1,2),"")</f>
        <v>0.0495890394334868</v>
      </c>
      <c r="BN6" s="26" t="n">
        <v>-0.168569674164992</v>
      </c>
      <c r="BO6" s="26" t="n">
        <v>0.196816368555844</v>
      </c>
      <c r="BP6" s="27" t="n">
        <f aca="false">IF(BO6&gt;0,BN6/BO6,"")</f>
        <v>-0.856481985730582</v>
      </c>
      <c r="BQ6" s="27" t="n">
        <f aca="false">IF(BO6&gt;0,TDIST(ABS(BP6),MIN(BN25,BN26)-1,2),"")</f>
        <v>0.403643068770655</v>
      </c>
      <c r="BR6" s="26" t="n">
        <v>-0.0771416043772408</v>
      </c>
      <c r="BS6" s="26" t="n">
        <v>0.194004954463269</v>
      </c>
      <c r="BT6" s="27" t="n">
        <f aca="false">IF(BS6&gt;0,BR6/BS6,"")</f>
        <v>-0.397626981180245</v>
      </c>
      <c r="BU6" s="27" t="n">
        <f aca="false">IF(BS6&gt;0,TDIST(ABS(BT6),MIN(BR25,BR26)-1,2),"")</f>
        <v>0.695853630974176</v>
      </c>
    </row>
    <row r="7" customFormat="false" ht="15" hidden="false" customHeight="false" outlineLevel="0" collapsed="false">
      <c r="A7" s="7" t="s">
        <v>12</v>
      </c>
      <c r="B7" s="26" t="n">
        <v>-0.018621379661747</v>
      </c>
      <c r="C7" s="26" t="n">
        <v>0.00970267983564468</v>
      </c>
      <c r="D7" s="27" t="n">
        <f aca="false">IF(C7&gt;0,B7/C7,"")</f>
        <v>-1.91919964145758</v>
      </c>
      <c r="E7" s="27" t="n">
        <f aca="false">IF(C7&gt;0,TDIST(ABS(D7),MIN(B25,B26)-1,2),"")</f>
        <v>0.0719057554709937</v>
      </c>
      <c r="F7" s="26" t="n">
        <v>-0.013996776347004</v>
      </c>
      <c r="G7" s="26" t="n">
        <v>0.0088025929745664</v>
      </c>
      <c r="H7" s="27" t="n">
        <f aca="false">IF(G7&gt;0,F7/G7,"")</f>
        <v>-1.59007424147014</v>
      </c>
      <c r="I7" s="27" t="n">
        <f aca="false">IF(G7&gt;0,TDIST(ABS(H7),MIN(F25,F26)-1,2),"")</f>
        <v>0.130241363379004</v>
      </c>
      <c r="J7" s="26" t="n">
        <v>-0.0160503884576385</v>
      </c>
      <c r="K7" s="26" t="n">
        <v>0.033084987636075</v>
      </c>
      <c r="L7" s="27" t="n">
        <f aca="false">IF(K7&gt;0,J7/K7,"")</f>
        <v>-0.485126022538923</v>
      </c>
      <c r="M7" s="27" t="n">
        <f aca="false">IF(K7&gt;0,TDIST(ABS(L7),MIN(J25,J26)-1,2),"")</f>
        <v>0.633779404650782</v>
      </c>
      <c r="N7" s="26" t="n">
        <v>-0.0346303742977853</v>
      </c>
      <c r="O7" s="26" t="n">
        <v>0.0391114836985767</v>
      </c>
      <c r="P7" s="27" t="n">
        <f aca="false">IF(O7&gt;0,N7/O7,"")</f>
        <v>-0.885427271557216</v>
      </c>
      <c r="Q7" s="27" t="n">
        <f aca="false">IF(O7&gt;0,TDIST(ABS(P7),MIN(N25,N26)-1,2),"")</f>
        <v>0.38827912225744</v>
      </c>
      <c r="R7" s="26" t="n">
        <v>-0.0930984253621023</v>
      </c>
      <c r="S7" s="26" t="n">
        <v>0.0378609657521993</v>
      </c>
      <c r="T7" s="27" t="n">
        <f aca="false">IF(S7&gt;0,R7/S7,"")</f>
        <v>-2.45895537824981</v>
      </c>
      <c r="U7" s="27" t="n">
        <f aca="false">IF(S7&gt;0,TDIST(ABS(T7),MIN(R25,R26)-1,2),"")</f>
        <v>0.0249539721473454</v>
      </c>
      <c r="V7" s="26" t="n">
        <v>-0.092641809543102</v>
      </c>
      <c r="W7" s="26" t="n">
        <v>0.0462804456183228</v>
      </c>
      <c r="X7" s="27" t="n">
        <f aca="false">IF(W7&gt;0,V7/W7,"")</f>
        <v>-2.00174843403894</v>
      </c>
      <c r="Y7" s="27" t="n">
        <f aca="false">IF(W7&gt;0,TDIST(ABS(X7),MIN(V25,V26)-1,2),"")</f>
        <v>0.0615336687039852</v>
      </c>
      <c r="Z7" s="26" t="n">
        <v>-0.0104760093683683</v>
      </c>
      <c r="AA7" s="26" t="n">
        <v>0.0106866576305338</v>
      </c>
      <c r="AB7" s="27" t="n">
        <f aca="false">IF(AA7&gt;0,Z7/AA7,"")</f>
        <v>-0.980288667472264</v>
      </c>
      <c r="AC7" s="27" t="n">
        <f aca="false">IF(AA7&gt;0,TDIST(ABS(AB7),MIN(Z25,Z26)-1,2),"")</f>
        <v>0.34068946634988</v>
      </c>
      <c r="AD7" s="26" t="n">
        <v>-0.00554040636660807</v>
      </c>
      <c r="AE7" s="26" t="n">
        <v>0.0101128004511379</v>
      </c>
      <c r="AF7" s="27" t="n">
        <f aca="false">IF(AE7&gt;0,AD7/AE7,"")</f>
        <v>-0.547860742766327</v>
      </c>
      <c r="AG7" s="27" t="n">
        <f aca="false">IF(AE7&gt;0,TDIST(ABS(AF7),MIN(AD25,AD26)-1,2),"")</f>
        <v>0.590909244587712</v>
      </c>
      <c r="AH7" s="26" t="n">
        <v>-0.0155576480932042</v>
      </c>
      <c r="AI7" s="26" t="n">
        <v>0.031467025224525</v>
      </c>
      <c r="AJ7" s="27" t="n">
        <f aca="false">IF(AI7&gt;0,AH7/AI7,"")</f>
        <v>-0.494411148883522</v>
      </c>
      <c r="AK7" s="27" t="n">
        <f aca="false">IF(AI7&gt;0,TDIST(ABS(AJ7),MIN(AH25,AH26)-1,2),"")</f>
        <v>0.627343977774369</v>
      </c>
      <c r="AL7" s="26" t="n">
        <v>-0.0104879856971341</v>
      </c>
      <c r="AM7" s="26" t="n">
        <v>0.0297012881634215</v>
      </c>
      <c r="AN7" s="27" t="n">
        <f aca="false">IF(AM7&gt;0,AL7/AM7,"")</f>
        <v>-0.353115516048578</v>
      </c>
      <c r="AO7" s="27" t="n">
        <f aca="false">IF(AM7&gt;0,TDIST(ABS(AN7),MIN(AL25,AL26)-1,2),"")</f>
        <v>0.728342482795472</v>
      </c>
      <c r="AP7" s="26" t="n">
        <v>-0.0219273062734535</v>
      </c>
      <c r="AQ7" s="26" t="n">
        <v>0.0355975923152678</v>
      </c>
      <c r="AR7" s="27" t="n">
        <f aca="false">IF(AQ7&gt;0,AP7/AQ7,"")</f>
        <v>-0.61597722900065</v>
      </c>
      <c r="AS7" s="27" t="n">
        <f aca="false">IF(AQ7&gt;0,TDIST(ABS(AR7),MIN(AP25,AP26)-1,2),"")</f>
        <v>0.54606946037095</v>
      </c>
      <c r="AT7" s="26" t="n">
        <v>-0.0453992064981301</v>
      </c>
      <c r="AU7" s="26" t="n">
        <v>0.0359760015920817</v>
      </c>
      <c r="AV7" s="27" t="n">
        <f aca="false">IF(AU7&gt;0,AT7/AU7,"")</f>
        <v>-1.26193030045124</v>
      </c>
      <c r="AW7" s="27" t="n">
        <f aca="false">IF(AU7&gt;0,TDIST(ABS(AV7),MIN(AT25,AT26)-1,2),"")</f>
        <v>0.224013525328183</v>
      </c>
      <c r="AX7" s="26" t="n">
        <v>-0.0022394212750087</v>
      </c>
      <c r="AY7" s="26" t="n">
        <v>0.000744130459503591</v>
      </c>
      <c r="AZ7" s="27" t="n">
        <f aca="false">IF(AY7&gt;0,AX7/AY7,"")</f>
        <v>-3.0094471290728</v>
      </c>
      <c r="BA7" s="27" t="n">
        <f aca="false">IF(AY7&gt;0,TDIST(ABS(AZ7),MIN(AX25,AX26)-1,2),"")</f>
        <v>0.00789404633224627</v>
      </c>
      <c r="BB7" s="26" t="n">
        <v>-0.00225577785595253</v>
      </c>
      <c r="BC7" s="26" t="n">
        <v>0.000751273146881232</v>
      </c>
      <c r="BD7" s="27" t="n">
        <f aca="false">IF(BC7&gt;0,BB7/BC7,"")</f>
        <v>-3.0026067953007</v>
      </c>
      <c r="BE7" s="27" t="n">
        <f aca="false">IF(BC7&gt;0,TDIST(ABS(BD7),MIN(BB25,BB26)-1,2),"")</f>
        <v>0.00801005221270448</v>
      </c>
      <c r="BF7" s="26" t="n">
        <v>-0.00558612033161036</v>
      </c>
      <c r="BG7" s="26" t="n">
        <v>0.00339830365100012</v>
      </c>
      <c r="BH7" s="27" t="n">
        <f aca="false">IF(BG7&gt;0,BF7/BG7,"")</f>
        <v>-1.64379670132372</v>
      </c>
      <c r="BI7" s="27" t="n">
        <f aca="false">IF(BG7&gt;0,TDIST(ABS(BH7),MIN(BF25,BF26)-1,2),"")</f>
        <v>0.118582886996987</v>
      </c>
      <c r="BJ7" s="26" t="n">
        <v>-0.00119015563550814</v>
      </c>
      <c r="BK7" s="26" t="n">
        <v>0.00274001476479751</v>
      </c>
      <c r="BL7" s="27" t="n">
        <f aca="false">IF(BK7&gt;0,BJ7/BK7,"")</f>
        <v>-0.434361030020252</v>
      </c>
      <c r="BM7" s="27" t="n">
        <f aca="false">IF(BK7&gt;0,TDIST(ABS(BL7),MIN(BJ25,BJ26)-1,2),"")</f>
        <v>0.669489190299058</v>
      </c>
      <c r="BN7" s="26" t="n">
        <v>-0.000721424615901485</v>
      </c>
      <c r="BO7" s="26" t="n">
        <v>0.00218955310092031</v>
      </c>
      <c r="BP7" s="27" t="n">
        <f aca="false">IF(BO7&gt;0,BN7/BO7,"")</f>
        <v>-0.329484868669436</v>
      </c>
      <c r="BQ7" s="27" t="n">
        <f aca="false">IF(BO7&gt;0,TDIST(ABS(BP7),MIN(BN25,BN26)-1,2),"")</f>
        <v>0.745814069030257</v>
      </c>
      <c r="BR7" s="26" t="n">
        <v>-0.00112525405917096</v>
      </c>
      <c r="BS7" s="26" t="n">
        <v>0.00163031645164583</v>
      </c>
      <c r="BT7" s="27" t="n">
        <f aca="false">IF(BS7&gt;0,BR7/BS7,"")</f>
        <v>-0.690205915566265</v>
      </c>
      <c r="BU7" s="27" t="n">
        <f aca="false">IF(BS7&gt;0,TDIST(ABS(BT7),MIN(BR25,BR26)-1,2),"")</f>
        <v>0.499380028596422</v>
      </c>
    </row>
    <row r="8" customFormat="false" ht="15" hidden="false" customHeight="false" outlineLevel="0" collapsed="false">
      <c r="A8" s="7" t="s">
        <v>13</v>
      </c>
      <c r="B8" s="26" t="n">
        <v>0.0756427122062554</v>
      </c>
      <c r="C8" s="26" t="n">
        <v>0.112675238385655</v>
      </c>
      <c r="D8" s="27" t="n">
        <f aca="false">IF(C8&gt;0,B8/C8,"")</f>
        <v>0.671333944263352</v>
      </c>
      <c r="E8" s="27" t="n">
        <f aca="false">IF(C8&gt;0,TDIST(ABS(D8),MIN(B25,B26)-1,2),"")</f>
        <v>0.51102776673362</v>
      </c>
      <c r="F8" s="26" t="n">
        <v>0.103255992612555</v>
      </c>
      <c r="G8" s="26" t="n">
        <v>0.115938206235189</v>
      </c>
      <c r="H8" s="27" t="n">
        <f aca="false">IF(G8&gt;0,F8/G8,"")</f>
        <v>0.890612300858724</v>
      </c>
      <c r="I8" s="27" t="n">
        <f aca="false">IF(G8&gt;0,TDIST(ABS(H8),MIN(F25,F26)-1,2),"")</f>
        <v>0.385568449100751</v>
      </c>
      <c r="J8" s="26" t="n">
        <v>-0.628886858509682</v>
      </c>
      <c r="K8" s="26" t="n">
        <v>0.294261743451398</v>
      </c>
      <c r="L8" s="27" t="n">
        <f aca="false">IF(K8&gt;0,J8/K8,"")</f>
        <v>-2.13716826092805</v>
      </c>
      <c r="M8" s="27" t="n">
        <f aca="false">IF(K8&gt;0,TDIST(ABS(L8),MIN(J25,J26)-1,2),"")</f>
        <v>0.0474117163691751</v>
      </c>
      <c r="N8" s="26" t="n">
        <v>-0.611162330806399</v>
      </c>
      <c r="O8" s="26" t="n">
        <v>0.375277861641076</v>
      </c>
      <c r="P8" s="27" t="n">
        <f aca="false">IF(O8&gt;0,N8/O8,"")</f>
        <v>-1.62855951090162</v>
      </c>
      <c r="Q8" s="27" t="n">
        <f aca="false">IF(O8&gt;0,TDIST(ABS(P8),MIN(N25,N26)-1,2),"")</f>
        <v>0.1217955355983</v>
      </c>
      <c r="R8" s="26" t="n">
        <v>-1.557763642846</v>
      </c>
      <c r="S8" s="26" t="n">
        <v>0.448454325891352</v>
      </c>
      <c r="T8" s="27" t="n">
        <f aca="false">IF(S8&gt;0,R8/S8,"")</f>
        <v>-3.47362831153378</v>
      </c>
      <c r="U8" s="27" t="n">
        <f aca="false">IF(S8&gt;0,TDIST(ABS(T8),MIN(R25,R26)-1,2),"")</f>
        <v>0.00290547742134085</v>
      </c>
      <c r="V8" s="26" t="n">
        <v>-2.15593273572327</v>
      </c>
      <c r="W8" s="26" t="n">
        <v>0.580756715230327</v>
      </c>
      <c r="X8" s="27" t="n">
        <f aca="false">IF(W8&gt;0,V8/W8,"")</f>
        <v>-3.71228206094566</v>
      </c>
      <c r="Y8" s="27" t="n">
        <f aca="false">IF(W8&gt;0,TDIST(ABS(X8),MIN(V25,V26)-1,2),"")</f>
        <v>0.00173104717337067</v>
      </c>
      <c r="Z8" s="26" t="n">
        <v>-0.300379900071786</v>
      </c>
      <c r="AA8" s="26" t="n">
        <v>0.227991259402698</v>
      </c>
      <c r="AB8" s="27" t="n">
        <f aca="false">IF(AA8&gt;0,Z8/AA8,"")</f>
        <v>-1.31750620992548</v>
      </c>
      <c r="AC8" s="27" t="n">
        <f aca="false">IF(AA8&gt;0,TDIST(ABS(AB8),MIN(Z25,Z26)-1,2),"")</f>
        <v>0.20515034894604</v>
      </c>
      <c r="AD8" s="26" t="n">
        <v>-0.181548748494308</v>
      </c>
      <c r="AE8" s="26" t="n">
        <v>0.201771474841363</v>
      </c>
      <c r="AF8" s="27" t="n">
        <f aca="false">IF(AE8&gt;0,AD8/AE8,"")</f>
        <v>-0.89977410650859</v>
      </c>
      <c r="AG8" s="27" t="n">
        <f aca="false">IF(AE8&gt;0,TDIST(ABS(AF8),MIN(AD25,AD26)-1,2),"")</f>
        <v>0.380809651596087</v>
      </c>
      <c r="AH8" s="26" t="n">
        <v>-0.526575609907105</v>
      </c>
      <c r="AI8" s="26" t="n">
        <v>0.482736884779123</v>
      </c>
      <c r="AJ8" s="27" t="n">
        <f aca="false">IF(AI8&gt;0,AH8/AI8,"")</f>
        <v>-1.09081287655912</v>
      </c>
      <c r="AK8" s="27" t="n">
        <f aca="false">IF(AI8&gt;0,TDIST(ABS(AJ8),MIN(AH25,AH26)-1,2),"")</f>
        <v>0.290575270472386</v>
      </c>
      <c r="AL8" s="26" t="n">
        <v>-0.561020655026609</v>
      </c>
      <c r="AM8" s="26" t="n">
        <v>0.54760969469803</v>
      </c>
      <c r="AN8" s="27" t="n">
        <f aca="false">IF(AM8&gt;0,AL8/AM8,"")</f>
        <v>-1.02448999800118</v>
      </c>
      <c r="AO8" s="27" t="n">
        <f aca="false">IF(AM8&gt;0,TDIST(ABS(AN8),MIN(AL25,AL26)-1,2),"")</f>
        <v>0.319962036150399</v>
      </c>
      <c r="AP8" s="26" t="n">
        <v>-0.739727603110567</v>
      </c>
      <c r="AQ8" s="26" t="n">
        <v>0.491092899281439</v>
      </c>
      <c r="AR8" s="27" t="n">
        <f aca="false">IF(AQ8&gt;0,AP8/AQ8,"")</f>
        <v>-1.50628853358077</v>
      </c>
      <c r="AS8" s="27" t="n">
        <f aca="false">IF(AQ8&gt;0,TDIST(ABS(AR8),MIN(AP25,AP26)-1,2),"")</f>
        <v>0.15034879652729</v>
      </c>
      <c r="AT8" s="26" t="n">
        <v>-1.19001671076955</v>
      </c>
      <c r="AU8" s="26" t="n">
        <v>0.645968039246993</v>
      </c>
      <c r="AV8" s="27" t="n">
        <f aca="false">IF(AU8&gt;0,AT8/AU8,"")</f>
        <v>-1.84222227489266</v>
      </c>
      <c r="AW8" s="27" t="n">
        <f aca="false">IF(AU8&gt;0,TDIST(ABS(AV8),MIN(AT25,AT26)-1,2),"")</f>
        <v>0.0829552645536986</v>
      </c>
      <c r="AX8" s="26" t="n">
        <v>-0.0845730425428799</v>
      </c>
      <c r="AY8" s="26" t="n">
        <v>0.0715902783692616</v>
      </c>
      <c r="AZ8" s="27" t="n">
        <f aca="false">IF(AY8&gt;0,AX8/AY8,"")</f>
        <v>-1.18134814487874</v>
      </c>
      <c r="BA8" s="27" t="n">
        <f aca="false">IF(AY8&gt;0,TDIST(ABS(AZ8),MIN(AX25,AX26)-1,2),"")</f>
        <v>0.253727885969343</v>
      </c>
      <c r="BB8" s="26" t="n">
        <v>-0.038038931512466</v>
      </c>
      <c r="BC8" s="26" t="n">
        <v>0.0609680184817225</v>
      </c>
      <c r="BD8" s="27" t="n">
        <f aca="false">IF(BC8&gt;0,BB8/BC8,"")</f>
        <v>-0.623916152431124</v>
      </c>
      <c r="BE8" s="27" t="n">
        <f aca="false">IF(BC8&gt;0,TDIST(ABS(BD8),MIN(BB25,BB26)-1,2),"")</f>
        <v>0.540965164982582</v>
      </c>
      <c r="BF8" s="26" t="n">
        <v>-0.0823113701972818</v>
      </c>
      <c r="BG8" s="26" t="n">
        <v>0.0604534175852903</v>
      </c>
      <c r="BH8" s="27" t="n">
        <f aca="false">IF(BG8&gt;0,BF8/BG8,"")</f>
        <v>-1.36156686396023</v>
      </c>
      <c r="BI8" s="27" t="n">
        <f aca="false">IF(BG8&gt;0,TDIST(ABS(BH8),MIN(BF25,BF26)-1,2),"")</f>
        <v>0.191108270744086</v>
      </c>
      <c r="BJ8" s="26" t="n">
        <v>-0.0555951357931485</v>
      </c>
      <c r="BK8" s="26" t="n">
        <v>0.0280059202632399</v>
      </c>
      <c r="BL8" s="27" t="n">
        <f aca="false">IF(BK8&gt;0,BJ8/BK8,"")</f>
        <v>-1.98512083411599</v>
      </c>
      <c r="BM8" s="27" t="n">
        <f aca="false">IF(BK8&gt;0,TDIST(ABS(BL8),MIN(BJ25,BJ26)-1,2),"")</f>
        <v>0.0635076734880885</v>
      </c>
      <c r="BN8" s="26" t="n">
        <v>-0.0549427575550879</v>
      </c>
      <c r="BO8" s="26" t="n">
        <v>0.0451789314041734</v>
      </c>
      <c r="BP8" s="27" t="n">
        <f aca="false">IF(BO8&gt;0,BN8/BO8,"")</f>
        <v>-1.21611458809344</v>
      </c>
      <c r="BQ8" s="27" t="n">
        <f aca="false">IF(BO8&gt;0,TDIST(ABS(BP8),MIN(BN25,BN26)-1,2),"")</f>
        <v>0.24055847442143</v>
      </c>
      <c r="BR8" s="26" t="n">
        <v>0.00596838331126673</v>
      </c>
      <c r="BS8" s="26" t="n">
        <v>0.0667709233625432</v>
      </c>
      <c r="BT8" s="27" t="n">
        <f aca="false">IF(BS8&gt;0,BR8/BS8,"")</f>
        <v>0.0893859633909876</v>
      </c>
      <c r="BU8" s="27" t="n">
        <f aca="false">IF(BS8&gt;0,TDIST(ABS(BT8),MIN(BR25,BR26)-1,2),"")</f>
        <v>0.929819823039173</v>
      </c>
    </row>
    <row r="9" customFormat="false" ht="15" hidden="false" customHeight="false" outlineLevel="0" collapsed="false">
      <c r="A9" s="7" t="s">
        <v>14</v>
      </c>
      <c r="B9" s="26" t="n">
        <v>0.037077366260526</v>
      </c>
      <c r="C9" s="26" t="n">
        <v>0.127571442077559</v>
      </c>
      <c r="D9" s="27" t="n">
        <f aca="false">IF(C9&gt;0,B9/C9,"")</f>
        <v>0.290640018304286</v>
      </c>
      <c r="E9" s="27" t="n">
        <f aca="false">IF(C9&gt;0,TDIST(ABS(D9),MIN(B25,B26)-1,2),"")</f>
        <v>0.774842461036878</v>
      </c>
      <c r="F9" s="26" t="n">
        <v>0.0556416387213013</v>
      </c>
      <c r="G9" s="26" t="n">
        <v>0.122056185481899</v>
      </c>
      <c r="H9" s="27" t="n">
        <f aca="false">IF(G9&gt;0,F9/G9,"")</f>
        <v>0.455869061462299</v>
      </c>
      <c r="I9" s="27" t="n">
        <f aca="false">IF(G9&gt;0,TDIST(ABS(H9),MIN(F25,F26)-1,2),"")</f>
        <v>0.654253546814553</v>
      </c>
      <c r="J9" s="26" t="n">
        <v>-0.657764679636872</v>
      </c>
      <c r="K9" s="26" t="n">
        <v>0.305478907830779</v>
      </c>
      <c r="L9" s="27" t="n">
        <f aca="false">IF(K9&gt;0,J9/K9,"")</f>
        <v>-2.15322453621329</v>
      </c>
      <c r="M9" s="27" t="n">
        <f aca="false">IF(K9&gt;0,TDIST(ABS(L9),MIN(J25,J26)-1,2),"")</f>
        <v>0.0459501009312831</v>
      </c>
      <c r="N9" s="26" t="n">
        <v>-0.648225953696093</v>
      </c>
      <c r="O9" s="26" t="n">
        <v>0.372464701921347</v>
      </c>
      <c r="P9" s="27" t="n">
        <f aca="false">IF(O9&gt;0,N9/O9,"")</f>
        <v>-1.74036881978947</v>
      </c>
      <c r="Q9" s="27" t="n">
        <f aca="false">IF(O9&gt;0,TDIST(ABS(P9),MIN(N25,N26)-1,2),"")</f>
        <v>0.099862926386607</v>
      </c>
      <c r="R9" s="26" t="n">
        <v>-1.61856661912784</v>
      </c>
      <c r="S9" s="26" t="n">
        <v>0.457473484549725</v>
      </c>
      <c r="T9" s="27" t="n">
        <f aca="false">IF(S9&gt;0,R9/S9,"")</f>
        <v>-3.53805558965005</v>
      </c>
      <c r="U9" s="27" t="n">
        <f aca="false">IF(S9&gt;0,TDIST(ABS(T9),MIN(R25,R26)-1,2),"")</f>
        <v>0.00252667729053213</v>
      </c>
      <c r="V9" s="26" t="n">
        <v>-2.25487206154267</v>
      </c>
      <c r="W9" s="26" t="n">
        <v>0.590568595980538</v>
      </c>
      <c r="X9" s="27" t="n">
        <f aca="false">IF(W9&gt;0,V9/W9,"")</f>
        <v>-3.81813743041796</v>
      </c>
      <c r="Y9" s="27" t="n">
        <f aca="false">IF(W9&gt;0,TDIST(ABS(X9),MIN(V25,V26)-1,2),"")</f>
        <v>0.00137560172018971</v>
      </c>
      <c r="Z9" s="26" t="n">
        <v>-0.294488913845203</v>
      </c>
      <c r="AA9" s="26" t="n">
        <v>0.228590057551137</v>
      </c>
      <c r="AB9" s="27" t="n">
        <f aca="false">IF(AA9&gt;0,Z9/AA9,"")</f>
        <v>-1.28828400062554</v>
      </c>
      <c r="AC9" s="27" t="n">
        <f aca="false">IF(AA9&gt;0,TDIST(ABS(AB9),MIN(Z25,Z26)-1,2),"")</f>
        <v>0.214906155707499</v>
      </c>
      <c r="AD9" s="26" t="n">
        <v>-0.170191615384347</v>
      </c>
      <c r="AE9" s="26" t="n">
        <v>0.186919466412196</v>
      </c>
      <c r="AF9" s="27" t="n">
        <f aca="false">IF(AE9&gt;0,AD9/AE9,"")</f>
        <v>-0.910507710358212</v>
      </c>
      <c r="AG9" s="27" t="n">
        <f aca="false">IF(AE9&gt;0,TDIST(ABS(AF9),MIN(AD25,AD26)-1,2),"")</f>
        <v>0.375284663475478</v>
      </c>
      <c r="AH9" s="26" t="n">
        <v>-0.501038450729151</v>
      </c>
      <c r="AI9" s="26" t="n">
        <v>0.445569011035413</v>
      </c>
      <c r="AJ9" s="27" t="n">
        <f aca="false">IF(AI9&gt;0,AH9/AI9,"")</f>
        <v>-1.12449124225412</v>
      </c>
      <c r="AK9" s="27" t="n">
        <f aca="false">IF(AI9&gt;0,TDIST(ABS(AJ9),MIN(AH25,AH26)-1,2),"")</f>
        <v>0.276432270230089</v>
      </c>
      <c r="AL9" s="26" t="n">
        <v>-0.510868850410479</v>
      </c>
      <c r="AM9" s="26" t="n">
        <v>0.525594917739089</v>
      </c>
      <c r="AN9" s="27" t="n">
        <f aca="false">IF(AM9&gt;0,AL9/AM9,"")</f>
        <v>-0.97198209717865</v>
      </c>
      <c r="AO9" s="27" t="n">
        <f aca="false">IF(AM9&gt;0,TDIST(ABS(AN9),MIN(AL25,AL26)-1,2),"")</f>
        <v>0.344687262585505</v>
      </c>
      <c r="AP9" s="26" t="n">
        <v>-0.686658087845949</v>
      </c>
      <c r="AQ9" s="26" t="n">
        <v>0.472660617141836</v>
      </c>
      <c r="AR9" s="27" t="n">
        <f aca="false">IF(AQ9&gt;0,AP9/AQ9,"")</f>
        <v>-1.45275079611699</v>
      </c>
      <c r="AS9" s="27" t="n">
        <f aca="false">IF(AQ9&gt;0,TDIST(ABS(AR9),MIN(AP25,AP26)-1,2),"")</f>
        <v>0.164501942749932</v>
      </c>
      <c r="AT9" s="26" t="n">
        <v>-1.17289976543405</v>
      </c>
      <c r="AU9" s="26" t="n">
        <v>0.641991819531094</v>
      </c>
      <c r="AV9" s="27" t="n">
        <f aca="false">IF(AU9&gt;0,AT9/AU9,"")</f>
        <v>-1.82696995468062</v>
      </c>
      <c r="AW9" s="27" t="n">
        <f aca="false">IF(AU9&gt;0,TDIST(ABS(AV9),MIN(AT25,AT26)-1,2),"")</f>
        <v>0.0853148706914482</v>
      </c>
      <c r="AX9" s="26" t="n">
        <v>-0.093708738125858</v>
      </c>
      <c r="AY9" s="26" t="n">
        <v>0.0724133062515805</v>
      </c>
      <c r="AZ9" s="27" t="n">
        <f aca="false">IF(AY9&gt;0,AX9/AY9,"")</f>
        <v>-1.29408175067014</v>
      </c>
      <c r="BA9" s="27" t="n">
        <f aca="false">IF(AY9&gt;0,TDIST(ABS(AZ9),MIN(AX25,AX26)-1,2),"")</f>
        <v>0.212942097031415</v>
      </c>
      <c r="BB9" s="26" t="n">
        <v>-0.0478230314820267</v>
      </c>
      <c r="BC9" s="26" t="n">
        <v>0.0606644286834089</v>
      </c>
      <c r="BD9" s="27" t="n">
        <f aca="false">IF(BC9&gt;0,BB9/BC9,"")</f>
        <v>-0.788320808749424</v>
      </c>
      <c r="BE9" s="27" t="n">
        <f aca="false">IF(BC9&gt;0,TDIST(ABS(BD9),MIN(BB25,BB26)-1,2),"")</f>
        <v>0.441363990726886</v>
      </c>
      <c r="BF9" s="26" t="n">
        <v>-0.0920477638048381</v>
      </c>
      <c r="BG9" s="26" t="n">
        <v>0.0602231998553415</v>
      </c>
      <c r="BH9" s="27" t="n">
        <f aca="false">IF(BG9&gt;0,BF9/BG9,"")</f>
        <v>-1.52844359027651</v>
      </c>
      <c r="BI9" s="27" t="n">
        <f aca="false">IF(BG9&gt;0,TDIST(ABS(BH9),MIN(BF25,BF26)-1,2),"")</f>
        <v>0.144795128356334</v>
      </c>
      <c r="BJ9" s="26" t="n">
        <v>-0.0640844731364151</v>
      </c>
      <c r="BK9" s="26" t="n">
        <v>0.028476170320634</v>
      </c>
      <c r="BL9" s="27" t="n">
        <f aca="false">IF(BK9&gt;0,BJ9/BK9,"")</f>
        <v>-2.25045967961426</v>
      </c>
      <c r="BM9" s="27" t="n">
        <f aca="false">IF(BK9&gt;0,TDIST(ABS(BL9),MIN(BJ25,BJ26)-1,2),"")</f>
        <v>0.0379484371275645</v>
      </c>
      <c r="BN9" s="26" t="n">
        <v>-0.0649968075092009</v>
      </c>
      <c r="BO9" s="26" t="n">
        <v>0.0472990427122287</v>
      </c>
      <c r="BP9" s="27" t="n">
        <f aca="false">IF(BO9&gt;0,BN9/BO9,"")</f>
        <v>-1.37416750492493</v>
      </c>
      <c r="BQ9" s="27" t="n">
        <f aca="false">IF(BO9&gt;0,TDIST(ABS(BP9),MIN(BN25,BN26)-1,2),"")</f>
        <v>0.187237246609726</v>
      </c>
      <c r="BR9" s="26" t="n">
        <v>-0.00101634301615857</v>
      </c>
      <c r="BS9" s="26" t="n">
        <v>0.0699229972147628</v>
      </c>
      <c r="BT9" s="27" t="n">
        <f aca="false">IF(BS9&gt;0,BR9/BS9,"")</f>
        <v>-0.0145351752162018</v>
      </c>
      <c r="BU9" s="27" t="n">
        <f aca="false">IF(BS9&gt;0,TDIST(ABS(BT9),MIN(BR25,BR26)-1,2),"")</f>
        <v>0.98857223960929</v>
      </c>
    </row>
    <row r="10" customFormat="false" ht="15" hidden="false" customHeight="false" outlineLevel="0" collapsed="false">
      <c r="A10" s="7" t="s">
        <v>15</v>
      </c>
      <c r="B10" s="26" t="n">
        <v>0.126036697478359</v>
      </c>
      <c r="C10" s="26" t="n">
        <v>0.145842616650348</v>
      </c>
      <c r="D10" s="27" t="n">
        <f aca="false">IF(C10&gt;0,B10/C10,"")</f>
        <v>0.864196627660124</v>
      </c>
      <c r="E10" s="27" t="n">
        <f aca="false">IF(C10&gt;0,TDIST(ABS(D10),MIN(B25,B26)-1,2),"")</f>
        <v>0.399509835543348</v>
      </c>
      <c r="F10" s="26" t="n">
        <v>0.153622756117087</v>
      </c>
      <c r="G10" s="26" t="n">
        <v>0.128494700040056</v>
      </c>
      <c r="H10" s="27" t="n">
        <f aca="false">IF(G10&gt;0,F10/G10,"")</f>
        <v>1.19555714024934</v>
      </c>
      <c r="I10" s="27" t="n">
        <f aca="false">IF(G10&gt;0,TDIST(ABS(H10),MIN(F25,F26)-1,2),"")</f>
        <v>0.248280792467326</v>
      </c>
      <c r="J10" s="26" t="n">
        <v>-0.717616125553227</v>
      </c>
      <c r="K10" s="26" t="n">
        <v>0.348015364545084</v>
      </c>
      <c r="L10" s="27" t="n">
        <f aca="false">IF(K10&gt;0,J10/K10,"")</f>
        <v>-2.06202426289792</v>
      </c>
      <c r="M10" s="27" t="n">
        <f aca="false">IF(K10&gt;0,TDIST(ABS(L10),MIN(J25,J26)-1,2),"")</f>
        <v>0.0548336828719318</v>
      </c>
      <c r="N10" s="26" t="n">
        <v>-0.657895461055726</v>
      </c>
      <c r="O10" s="26" t="n">
        <v>0.402574998968049</v>
      </c>
      <c r="P10" s="27" t="n">
        <f aca="false">IF(O10&gt;0,N10/O10,"")</f>
        <v>-1.63421837605952</v>
      </c>
      <c r="Q10" s="27" t="n">
        <f aca="false">IF(O10&gt;0,TDIST(ABS(P10),MIN(N25,N26)-1,2),"")</f>
        <v>0.120593847666441</v>
      </c>
      <c r="R10" s="26" t="n">
        <v>-1.71550184898123</v>
      </c>
      <c r="S10" s="26" t="n">
        <v>0.669749549276491</v>
      </c>
      <c r="T10" s="27" t="n">
        <f aca="false">IF(S10&gt;0,R10/S10,"")</f>
        <v>-2.56140799323334</v>
      </c>
      <c r="U10" s="27" t="n">
        <f aca="false">IF(S10&gt;0,TDIST(ABS(T10),MIN(R25,R26)-1,2),"")</f>
        <v>0.0202290596487808</v>
      </c>
      <c r="V10" s="26" t="n">
        <v>-2.64479438877286</v>
      </c>
      <c r="W10" s="26" t="n">
        <v>0.782791057857717</v>
      </c>
      <c r="X10" s="27" t="n">
        <f aca="false">IF(W10&gt;0,V10/W10,"")</f>
        <v>-3.3786722040629</v>
      </c>
      <c r="Y10" s="27" t="n">
        <f aca="false">IF(W10&gt;0,TDIST(ABS(X10),MIN(V25,V26)-1,2),"")</f>
        <v>0.00356872388640425</v>
      </c>
      <c r="Z10" s="26" t="n">
        <v>-0.338231389888819</v>
      </c>
      <c r="AA10" s="26" t="n">
        <v>0.235136361150259</v>
      </c>
      <c r="AB10" s="27" t="n">
        <f aca="false">IF(AA10&gt;0,Z10/AA10,"")</f>
        <v>-1.43844783611617</v>
      </c>
      <c r="AC10" s="27" t="n">
        <f aca="false">IF(AA10&gt;0,TDIST(ABS(AB10),MIN(Z25,Z26)-1,2),"")</f>
        <v>0.168463115059323</v>
      </c>
      <c r="AD10" s="26" t="n">
        <v>-0.203707163429586</v>
      </c>
      <c r="AE10" s="26" t="n">
        <v>0.186459281814688</v>
      </c>
      <c r="AF10" s="27" t="n">
        <f aca="false">IF(AE10&gt;0,AD10/AE10,"")</f>
        <v>-1.09250213476656</v>
      </c>
      <c r="AG10" s="27" t="n">
        <f aca="false">IF(AE10&gt;0,TDIST(ABS(AF10),MIN(AD25,AD26)-1,2),"")</f>
        <v>0.289853448061613</v>
      </c>
      <c r="AH10" s="26" t="n">
        <v>-0.512514758959461</v>
      </c>
      <c r="AI10" s="26" t="n">
        <v>0.504961111229017</v>
      </c>
      <c r="AJ10" s="27" t="n">
        <f aca="false">IF(AI10&gt;0,AH10/AI10,"")</f>
        <v>-1.01495887022282</v>
      </c>
      <c r="AK10" s="27" t="n">
        <f aca="false">IF(AI10&gt;0,TDIST(ABS(AJ10),MIN(AH25,AH26)-1,2),"")</f>
        <v>0.324353893233475</v>
      </c>
      <c r="AL10" s="26" t="n">
        <v>-0.471167390316006</v>
      </c>
      <c r="AM10" s="26" t="n">
        <v>0.502773388364265</v>
      </c>
      <c r="AN10" s="27" t="n">
        <f aca="false">IF(AM10&gt;0,AL10/AM10,"")</f>
        <v>-0.937136692633859</v>
      </c>
      <c r="AO10" s="27" t="n">
        <f aca="false">IF(AM10&gt;0,TDIST(ABS(AN10),MIN(AL25,AL26)-1,2),"")</f>
        <v>0.361812028914907</v>
      </c>
      <c r="AP10" s="26" t="n">
        <v>-0.64590149713857</v>
      </c>
      <c r="AQ10" s="26" t="n">
        <v>0.578138865079344</v>
      </c>
      <c r="AR10" s="27" t="n">
        <f aca="false">IF(AQ10&gt;0,AP10/AQ10,"")</f>
        <v>-1.1172082282514</v>
      </c>
      <c r="AS10" s="27" t="n">
        <f aca="false">IF(AQ10&gt;0,TDIST(ABS(AR10),MIN(AP25,AP26)-1,2),"")</f>
        <v>0.279446616095115</v>
      </c>
      <c r="AT10" s="26" t="n">
        <v>-1.41940811369316</v>
      </c>
      <c r="AU10" s="26" t="n">
        <v>0.743788484513831</v>
      </c>
      <c r="AV10" s="27" t="n">
        <f aca="false">IF(AU10&gt;0,AT10/AU10,"")</f>
        <v>-1.90834913856046</v>
      </c>
      <c r="AW10" s="27" t="n">
        <f aca="false">IF(AU10&gt;0,TDIST(ABS(AV10),MIN(AT25,AT26)-1,2),"")</f>
        <v>0.0733794246410434</v>
      </c>
      <c r="AX10" s="26" t="n">
        <v>-0.0751086722721332</v>
      </c>
      <c r="AY10" s="26" t="n">
        <v>0.074172756288121</v>
      </c>
      <c r="AZ10" s="27" t="n">
        <f aca="false">IF(AY10&gt;0,AX10/AY10,"")</f>
        <v>-1.01261805588533</v>
      </c>
      <c r="BA10" s="27" t="n">
        <f aca="false">IF(AY10&gt;0,TDIST(ABS(AZ10),MIN(AX25,AX26)-1,2),"")</f>
        <v>0.325439036008589</v>
      </c>
      <c r="BB10" s="26" t="n">
        <v>-0.0322244222891679</v>
      </c>
      <c r="BC10" s="26" t="n">
        <v>0.0635549509448168</v>
      </c>
      <c r="BD10" s="27" t="n">
        <f aca="false">IF(BC10&gt;0,BB10/BC10,"")</f>
        <v>-0.507032446884392</v>
      </c>
      <c r="BE10" s="27" t="n">
        <f aca="false">IF(BC10&gt;0,TDIST(ABS(BD10),MIN(BB25,BB26)-1,2),"")</f>
        <v>0.618645692127778</v>
      </c>
      <c r="BF10" s="26" t="n">
        <v>-0.0778475719413308</v>
      </c>
      <c r="BG10" s="26" t="n">
        <v>0.0592261192749239</v>
      </c>
      <c r="BH10" s="27" t="n">
        <f aca="false">IF(BG10&gt;0,BF10/BG10,"")</f>
        <v>-1.31441284511598</v>
      </c>
      <c r="BI10" s="27" t="n">
        <f aca="false">IF(BG10&gt;0,TDIST(ABS(BH10),MIN(BF25,BF26)-1,2),"")</f>
        <v>0.206166184836922</v>
      </c>
      <c r="BJ10" s="26" t="n">
        <v>-0.0752108965895114</v>
      </c>
      <c r="BK10" s="26" t="n">
        <v>0.038965981757092</v>
      </c>
      <c r="BL10" s="27" t="n">
        <f aca="false">IF(BK10&gt;0,BJ10/BK10,"")</f>
        <v>-1.93016814149236</v>
      </c>
      <c r="BM10" s="27" t="n">
        <f aca="false">IF(BK10&gt;0,TDIST(ABS(BL10),MIN(BJ25,BJ26)-1,2),"")</f>
        <v>0.070442958378156</v>
      </c>
      <c r="BN10" s="26" t="n">
        <v>-0.0766738537377313</v>
      </c>
      <c r="BO10" s="26" t="n">
        <v>0.0621982716151061</v>
      </c>
      <c r="BP10" s="27" t="n">
        <f aca="false">IF(BO10&gt;0,BN10/BO10,"")</f>
        <v>-1.23273286775881</v>
      </c>
      <c r="BQ10" s="27" t="n">
        <f aca="false">IF(BO10&gt;0,TDIST(ABS(BP10),MIN(BN25,BN26)-1,2),"")</f>
        <v>0.234451767939635</v>
      </c>
      <c r="BR10" s="26" t="n">
        <v>-0.0114188610022832</v>
      </c>
      <c r="BS10" s="26" t="n">
        <v>0.0878945591932028</v>
      </c>
      <c r="BT10" s="27" t="n">
        <f aca="false">IF(BS10&gt;0,BR10/BS10,"")</f>
        <v>-0.129915447635196</v>
      </c>
      <c r="BU10" s="27" t="n">
        <f aca="false">IF(BS10&gt;0,TDIST(ABS(BT10),MIN(BR25,BR26)-1,2),"")</f>
        <v>0.898158161943053</v>
      </c>
    </row>
    <row r="11" customFormat="false" ht="15" hidden="false" customHeight="false" outlineLevel="0" collapsed="false">
      <c r="A11" s="7" t="s">
        <v>16</v>
      </c>
      <c r="B11" s="26" t="n">
        <v>0.0461169874405414</v>
      </c>
      <c r="C11" s="26" t="n">
        <v>0.139517492351469</v>
      </c>
      <c r="D11" s="27" t="n">
        <f aca="false">IF(C11&gt;0,B11/C11,"")</f>
        <v>0.330546275332734</v>
      </c>
      <c r="E11" s="27" t="n">
        <f aca="false">IF(C11&gt;0,TDIST(ABS(D11),MIN(B25,B26)-1,2),"")</f>
        <v>0.745026156530639</v>
      </c>
      <c r="F11" s="26" t="n">
        <v>0.096687588674497</v>
      </c>
      <c r="G11" s="26" t="n">
        <v>0.12160676113624</v>
      </c>
      <c r="H11" s="27" t="n">
        <f aca="false">IF(G11&gt;0,F11/G11,"")</f>
        <v>0.795083988514214</v>
      </c>
      <c r="I11" s="27" t="n">
        <f aca="false">IF(G11&gt;0,TDIST(ABS(H11),MIN(F25,F26)-1,2),"")</f>
        <v>0.437525253760694</v>
      </c>
      <c r="J11" s="26" t="n">
        <v>-0.512969422861222</v>
      </c>
      <c r="K11" s="26" t="n">
        <v>0.308256440351168</v>
      </c>
      <c r="L11" s="27" t="n">
        <f aca="false">IF(K11&gt;0,J11/K11,"")</f>
        <v>-1.66409961224766</v>
      </c>
      <c r="M11" s="27" t="n">
        <f aca="false">IF(K11&gt;0,TDIST(ABS(L11),MIN(J25,J26)-1,2),"")</f>
        <v>0.114414906425916</v>
      </c>
      <c r="N11" s="26" t="n">
        <v>-0.553176753791496</v>
      </c>
      <c r="O11" s="26" t="n">
        <v>0.395449372900398</v>
      </c>
      <c r="P11" s="27" t="n">
        <f aca="false">IF(O11&gt;0,N11/O11,"")</f>
        <v>-1.39885606527646</v>
      </c>
      <c r="Q11" s="27" t="n">
        <f aca="false">IF(O11&gt;0,TDIST(ABS(P11),MIN(N25,N26)-1,2),"")</f>
        <v>0.179835829539787</v>
      </c>
      <c r="R11" s="26" t="n">
        <v>-1.4706576591521</v>
      </c>
      <c r="S11" s="26" t="n">
        <v>0.42248372066305</v>
      </c>
      <c r="T11" s="27" t="n">
        <f aca="false">IF(S11&gt;0,R11/S11,"")</f>
        <v>-3.48098065611626</v>
      </c>
      <c r="U11" s="27" t="n">
        <f aca="false">IF(S11&gt;0,TDIST(ABS(T11),MIN(R25,R26)-1,2),"")</f>
        <v>0.00285954568051996</v>
      </c>
      <c r="V11" s="26" t="n">
        <v>-1.96007669429903</v>
      </c>
      <c r="W11" s="26" t="n">
        <v>0.539087934120285</v>
      </c>
      <c r="X11" s="27" t="n">
        <f aca="false">IF(W11&gt;0,V11/W11,"")</f>
        <v>-3.63591275233714</v>
      </c>
      <c r="Y11" s="27" t="n">
        <f aca="false">IF(W11&gt;0,TDIST(ABS(X11),MIN(V25,V26)-1,2),"")</f>
        <v>0.00204324926315789</v>
      </c>
      <c r="Z11" s="26" t="n">
        <v>-0.34771129840717</v>
      </c>
      <c r="AA11" s="26" t="n">
        <v>0.239454226191499</v>
      </c>
      <c r="AB11" s="27" t="n">
        <f aca="false">IF(AA11&gt;0,Z11/AA11,"")</f>
        <v>-1.45209923390158</v>
      </c>
      <c r="AC11" s="27" t="n">
        <f aca="false">IF(AA11&gt;0,TDIST(ABS(AB11),MIN(Z25,Z26)-1,2),"")</f>
        <v>0.164680715558947</v>
      </c>
      <c r="AD11" s="26" t="n">
        <v>-0.188137193874468</v>
      </c>
      <c r="AE11" s="26" t="n">
        <v>0.197114306373513</v>
      </c>
      <c r="AF11" s="27" t="n">
        <f aca="false">IF(AE11&gt;0,AD11/AE11,"")</f>
        <v>-0.954457326491392</v>
      </c>
      <c r="AG11" s="27" t="n">
        <f aca="false">IF(AE11&gt;0,TDIST(ABS(AF11),MIN(AD25,AD26)-1,2),"")</f>
        <v>0.353228259948276</v>
      </c>
      <c r="AH11" s="26" t="n">
        <v>-0.544094086502736</v>
      </c>
      <c r="AI11" s="26" t="n">
        <v>0.445773635925495</v>
      </c>
      <c r="AJ11" s="27" t="n">
        <f aca="false">IF(AI11&gt;0,AH11/AI11,"")</f>
        <v>-1.22056138509204</v>
      </c>
      <c r="AK11" s="27" t="n">
        <f aca="false">IF(AI11&gt;0,TDIST(ABS(AJ11),MIN(AH25,AH26)-1,2),"")</f>
        <v>0.238912558132128</v>
      </c>
      <c r="AL11" s="26" t="n">
        <v>-0.486348322262951</v>
      </c>
      <c r="AM11" s="26" t="n">
        <v>0.518752855814164</v>
      </c>
      <c r="AN11" s="27" t="n">
        <f aca="false">IF(AM11&gt;0,AL11/AM11,"")</f>
        <v>-0.937533773186934</v>
      </c>
      <c r="AO11" s="27" t="n">
        <f aca="false">IF(AM11&gt;0,TDIST(ABS(AN11),MIN(AL25,AL26)-1,2),"")</f>
        <v>0.361613659383902</v>
      </c>
      <c r="AP11" s="26" t="n">
        <v>-0.734792672974426</v>
      </c>
      <c r="AQ11" s="26" t="n">
        <v>0.441967388220744</v>
      </c>
      <c r="AR11" s="27" t="n">
        <f aca="false">IF(AQ11&gt;0,AP11/AQ11,"")</f>
        <v>-1.66254952867117</v>
      </c>
      <c r="AS11" s="27" t="n">
        <f aca="false">IF(AQ11&gt;0,TDIST(ABS(AR11),MIN(AP25,AP26)-1,2),"")</f>
        <v>0.114728635771719</v>
      </c>
      <c r="AT11" s="26" t="n">
        <v>-1.03722022332122</v>
      </c>
      <c r="AU11" s="26" t="n">
        <v>0.551433875906133</v>
      </c>
      <c r="AV11" s="27" t="n">
        <f aca="false">IF(AU11&gt;0,AT11/AU11,"")</f>
        <v>-1.88095122305793</v>
      </c>
      <c r="AW11" s="27" t="n">
        <f aca="false">IF(AU11&gt;0,TDIST(ABS(AV11),MIN(AT25,AT26)-1,2),"")</f>
        <v>0.0772208672792363</v>
      </c>
      <c r="AX11" s="26" t="n">
        <v>-0.0828676719127178</v>
      </c>
      <c r="AY11" s="26" t="n">
        <v>0.0716425851789754</v>
      </c>
      <c r="AZ11" s="27" t="n">
        <f aca="false">IF(AY11&gt;0,AX11/AY11,"")</f>
        <v>-1.15668176554071</v>
      </c>
      <c r="BA11" s="27" t="n">
        <f aca="false">IF(AY11&gt;0,TDIST(ABS(AZ11),MIN(AX25,AX26)-1,2),"")</f>
        <v>0.2633984089225</v>
      </c>
      <c r="BB11" s="26" t="n">
        <v>-0.037951174990567</v>
      </c>
      <c r="BC11" s="26" t="n">
        <v>0.0601697920728187</v>
      </c>
      <c r="BD11" s="27" t="n">
        <f aca="false">IF(BC11&gt;0,BB11/BC11,"")</f>
        <v>-0.630734687343406</v>
      </c>
      <c r="BE11" s="27" t="n">
        <f aca="false">IF(BC11&gt;0,TDIST(ABS(BD11),MIN(BB25,BB26)-1,2),"")</f>
        <v>0.536602049169457</v>
      </c>
      <c r="BF11" s="26" t="n">
        <v>-0.0645949508613979</v>
      </c>
      <c r="BG11" s="26" t="n">
        <v>0.0608656059590321</v>
      </c>
      <c r="BH11" s="27" t="n">
        <f aca="false">IF(BG11&gt;0,BF11/BG11,"")</f>
        <v>-1.06127179453164</v>
      </c>
      <c r="BI11" s="27" t="n">
        <f aca="false">IF(BG11&gt;0,TDIST(ABS(BH11),MIN(BF25,BF26)-1,2),"")</f>
        <v>0.303411709042223</v>
      </c>
      <c r="BJ11" s="26" t="n">
        <v>-0.0332263976231812</v>
      </c>
      <c r="BK11" s="26" t="n">
        <v>0.0277398430361845</v>
      </c>
      <c r="BL11" s="27" t="n">
        <f aca="false">IF(BK11&gt;0,BJ11/BK11,"")</f>
        <v>-1.19778607181879</v>
      </c>
      <c r="BM11" s="27" t="n">
        <f aca="false">IF(BK11&gt;0,TDIST(ABS(BL11),MIN(BJ25,BJ26)-1,2),"")</f>
        <v>0.247434467596383</v>
      </c>
      <c r="BN11" s="26" t="n">
        <v>-0.0407238870715616</v>
      </c>
      <c r="BO11" s="26" t="n">
        <v>0.0427238343781244</v>
      </c>
      <c r="BP11" s="27" t="n">
        <f aca="false">IF(BO11&gt;0,BN11/BO11,"")</f>
        <v>-0.953188955633935</v>
      </c>
      <c r="BQ11" s="27" t="n">
        <f aca="false">IF(BO11&gt;0,TDIST(ABS(BP11),MIN(BN25,BN26)-1,2),"")</f>
        <v>0.353852040231</v>
      </c>
      <c r="BR11" s="26" t="n">
        <v>0.0163745125581745</v>
      </c>
      <c r="BS11" s="26" t="n">
        <v>0.0645605119677741</v>
      </c>
      <c r="BT11" s="27" t="n">
        <f aca="false">IF(BS11&gt;0,BR11/BS11,"")</f>
        <v>0.253630463252027</v>
      </c>
      <c r="BU11" s="27" t="n">
        <f aca="false">IF(BS11&gt;0,TDIST(ABS(BT11),MIN(BR25,BR26)-1,2),"")</f>
        <v>0.802823037804373</v>
      </c>
    </row>
    <row r="12" customFormat="false" ht="15" hidden="false" customHeight="false" outlineLevel="0" collapsed="false">
      <c r="A12" s="7" t="s">
        <v>17</v>
      </c>
      <c r="B12" s="26" t="n">
        <v>0.0434660926683232</v>
      </c>
      <c r="C12" s="26" t="n">
        <v>0.114815982630813</v>
      </c>
      <c r="D12" s="27" t="n">
        <f aca="false">IF(C12&gt;0,B12/C12,"")</f>
        <v>0.378571795253339</v>
      </c>
      <c r="E12" s="27" t="n">
        <f aca="false">IF(C12&gt;0,TDIST(ABS(D12),MIN(B25,B26)-1,2),"")</f>
        <v>0.709692040059331</v>
      </c>
      <c r="F12" s="26" t="n">
        <v>0.0473862478063623</v>
      </c>
      <c r="G12" s="26" t="n">
        <v>0.102298331690983</v>
      </c>
      <c r="H12" s="27" t="n">
        <f aca="false">IF(G12&gt;0,F12/G12,"")</f>
        <v>0.463216232592181</v>
      </c>
      <c r="I12" s="27" t="n">
        <f aca="false">IF(G12&gt;0,TDIST(ABS(H12),MIN(F25,F26)-1,2),"")</f>
        <v>0.649084374261575</v>
      </c>
      <c r="J12" s="26" t="n">
        <v>-0.678572810157923</v>
      </c>
      <c r="K12" s="26" t="n">
        <v>0.280406965132517</v>
      </c>
      <c r="L12" s="27" t="n">
        <f aca="false">IF(K12&gt;0,J12/K12,"")</f>
        <v>-2.41995704292594</v>
      </c>
      <c r="M12" s="27" t="n">
        <f aca="false">IF(K12&gt;0,TDIST(ABS(L12),MIN(J25,J26)-1,2),"")</f>
        <v>0.0270123652786952</v>
      </c>
      <c r="N12" s="26" t="n">
        <v>-0.648093984708525</v>
      </c>
      <c r="O12" s="26" t="n">
        <v>0.322610427935383</v>
      </c>
      <c r="P12" s="27" t="n">
        <f aca="false">IF(O12&gt;0,N12/O12,"")</f>
        <v>-2.0089058771477</v>
      </c>
      <c r="Q12" s="27" t="n">
        <f aca="false">IF(O12&gt;0,TDIST(ABS(P12),MIN(N25,N26)-1,2),"")</f>
        <v>0.0607011107489457</v>
      </c>
      <c r="R12" s="26" t="n">
        <v>-1.56607046884966</v>
      </c>
      <c r="S12" s="26" t="n">
        <v>0.456928881492731</v>
      </c>
      <c r="T12" s="27" t="n">
        <f aca="false">IF(S12&gt;0,R12/S12,"")</f>
        <v>-3.42738341190755</v>
      </c>
      <c r="U12" s="27" t="n">
        <f aca="false">IF(S12&gt;0,TDIST(ABS(T12),MIN(R25,R26)-1,2),"")</f>
        <v>0.00321163488434997</v>
      </c>
      <c r="V12" s="26" t="n">
        <v>-2.10076823717159</v>
      </c>
      <c r="W12" s="26" t="n">
        <v>0.582142768223444</v>
      </c>
      <c r="X12" s="27" t="n">
        <f aca="false">IF(W12&gt;0,V12/W12,"")</f>
        <v>-3.60868218561335</v>
      </c>
      <c r="Y12" s="27" t="n">
        <f aca="false">IF(W12&gt;0,TDIST(ABS(X12),MIN(V25,V26)-1,2),"")</f>
        <v>0.0021676681542542</v>
      </c>
      <c r="Z12" s="26" t="n">
        <v>-0.252590717100762</v>
      </c>
      <c r="AA12" s="26" t="n">
        <v>0.227938633830053</v>
      </c>
      <c r="AB12" s="27" t="n">
        <f aca="false">IF(AA12&gt;0,Z12/AA12,"")</f>
        <v>-1.10815228141223</v>
      </c>
      <c r="AC12" s="27" t="n">
        <f aca="false">IF(AA12&gt;0,TDIST(ABS(AB12),MIN(Z25,Z26)-1,2),"")</f>
        <v>0.283228642299265</v>
      </c>
      <c r="AD12" s="26" t="n">
        <v>-0.154325291075734</v>
      </c>
      <c r="AE12" s="26" t="n">
        <v>0.187286918662618</v>
      </c>
      <c r="AF12" s="27" t="n">
        <f aca="false">IF(AE12&gt;0,AD12/AE12,"")</f>
        <v>-0.824004645800908</v>
      </c>
      <c r="AG12" s="27" t="n">
        <f aca="false">IF(AE12&gt;0,TDIST(ABS(AF12),MIN(AD25,AD26)-1,2),"")</f>
        <v>0.421347736114523</v>
      </c>
      <c r="AH12" s="26" t="n">
        <v>-0.491451734601714</v>
      </c>
      <c r="AI12" s="26" t="n">
        <v>0.452995234244416</v>
      </c>
      <c r="AJ12" s="27" t="n">
        <f aca="false">IF(AI12&gt;0,AH12/AI12,"")</f>
        <v>-1.08489382989082</v>
      </c>
      <c r="AK12" s="27" t="n">
        <f aca="false">IF(AI12&gt;0,TDIST(ABS(AJ12),MIN(AH25,AH26)-1,2),"")</f>
        <v>0.293114886756964</v>
      </c>
      <c r="AL12" s="26" t="n">
        <v>-0.560485455464281</v>
      </c>
      <c r="AM12" s="26" t="n">
        <v>0.518619042904237</v>
      </c>
      <c r="AN12" s="27" t="n">
        <f aca="false">IF(AM12&gt;0,AL12/AM12,"")</f>
        <v>-1.08072671671598</v>
      </c>
      <c r="AO12" s="27" t="n">
        <f aca="false">IF(AM12&gt;0,TDIST(ABS(AN12),MIN(AL25,AL26)-1,2),"")</f>
        <v>0.294912537587111</v>
      </c>
      <c r="AP12" s="26" t="n">
        <v>-0.693999629113026</v>
      </c>
      <c r="AQ12" s="26" t="n">
        <v>0.480031870143282</v>
      </c>
      <c r="AR12" s="27" t="n">
        <f aca="false">IF(AQ12&gt;0,AP12/AQ12,"")</f>
        <v>-1.44573656933628</v>
      </c>
      <c r="AS12" s="27" t="n">
        <f aca="false">IF(AQ12&gt;0,TDIST(ABS(AR12),MIN(AP25,AP26)-1,2),"")</f>
        <v>0.166434867587042</v>
      </c>
      <c r="AT12" s="26" t="n">
        <v>-1.24309327352827</v>
      </c>
      <c r="AU12" s="26" t="n">
        <v>0.640012969110118</v>
      </c>
      <c r="AV12" s="27" t="n">
        <f aca="false">IF(AU12&gt;0,AT12/AU12,"")</f>
        <v>-1.94229388078914</v>
      </c>
      <c r="AW12" s="27" t="n">
        <f aca="false">IF(AU12&gt;0,TDIST(ABS(AV12),MIN(AT25,AT26)-1,2),"")</f>
        <v>0.0688568281358582</v>
      </c>
      <c r="AX12" s="26" t="n">
        <v>-0.0896874060282553</v>
      </c>
      <c r="AY12" s="26" t="n">
        <v>0.068177881007746</v>
      </c>
      <c r="AZ12" s="27" t="n">
        <f aca="false">IF(AY12&gt;0,AX12/AY12,"")</f>
        <v>-1.31549125174579</v>
      </c>
      <c r="BA12" s="27" t="n">
        <f aca="false">IF(AY12&gt;0,TDIST(ABS(AZ12),MIN(AX25,AX26)-1,2),"")</f>
        <v>0.20581159363145</v>
      </c>
      <c r="BB12" s="26" t="n">
        <v>-0.0475235545462806</v>
      </c>
      <c r="BC12" s="26" t="n">
        <v>0.0575471491154125</v>
      </c>
      <c r="BD12" s="27" t="n">
        <f aca="false">IF(BC12&gt;0,BB12/BC12,"")</f>
        <v>-0.825819441567309</v>
      </c>
      <c r="BE12" s="27" t="n">
        <f aca="false">IF(BC12&gt;0,TDIST(ABS(BD12),MIN(BB25,BB26)-1,2),"")</f>
        <v>0.420345480156576</v>
      </c>
      <c r="BF12" s="26" t="n">
        <v>-0.0791768022884559</v>
      </c>
      <c r="BG12" s="26" t="n">
        <v>0.0613264847924885</v>
      </c>
      <c r="BH12" s="27" t="n">
        <f aca="false">IF(BG12&gt;0,BF12/BG12,"")</f>
        <v>-1.29107028645728</v>
      </c>
      <c r="BI12" s="27" t="n">
        <f aca="false">IF(BG12&gt;0,TDIST(ABS(BH12),MIN(BF25,BF26)-1,2),"")</f>
        <v>0.213960497796618</v>
      </c>
      <c r="BJ12" s="26" t="n">
        <v>-0.0518266354834084</v>
      </c>
      <c r="BK12" s="26" t="n">
        <v>0.0270150395384045</v>
      </c>
      <c r="BL12" s="27" t="n">
        <f aca="false">IF(BK12&gt;0,BJ12/BK12,"")</f>
        <v>-1.91843641056796</v>
      </c>
      <c r="BM12" s="27" t="n">
        <f aca="false">IF(BK12&gt;0,TDIST(ABS(BL12),MIN(BJ25,BJ26)-1,2),"")</f>
        <v>0.0720085444282799</v>
      </c>
      <c r="BN12" s="26" t="n">
        <v>-0.0556093253278989</v>
      </c>
      <c r="BO12" s="26" t="n">
        <v>0.0432690851788798</v>
      </c>
      <c r="BP12" s="27" t="n">
        <f aca="false">IF(BO12&gt;0,BN12/BO12,"")</f>
        <v>-1.28519762084183</v>
      </c>
      <c r="BQ12" s="27" t="n">
        <f aca="false">IF(BO12&gt;0,TDIST(ABS(BP12),MIN(BN25,BN26)-1,2),"")</f>
        <v>0.215957494012966</v>
      </c>
      <c r="BR12" s="26" t="n">
        <v>-0.00321023489050073</v>
      </c>
      <c r="BS12" s="26" t="n">
        <v>0.0660511445613886</v>
      </c>
      <c r="BT12" s="27" t="n">
        <f aca="false">IF(BS12&gt;0,BR12/BS12,"")</f>
        <v>-0.0486022598369526</v>
      </c>
      <c r="BU12" s="27" t="n">
        <f aca="false">IF(BS12&gt;0,TDIST(ABS(BT12),MIN(BR25,BR26)-1,2),"")</f>
        <v>0.961802713799614</v>
      </c>
    </row>
    <row r="13" customFormat="false" ht="15" hidden="false" customHeight="false" outlineLevel="0" collapsed="false">
      <c r="A13" s="7" t="s">
        <v>18</v>
      </c>
      <c r="B13" s="26" t="n">
        <v>0.100577049819823</v>
      </c>
      <c r="C13" s="26" t="n">
        <v>0.130679498789811</v>
      </c>
      <c r="D13" s="27" t="n">
        <f aca="false">IF(C13&gt;0,B13/C13,"")</f>
        <v>0.769646736873355</v>
      </c>
      <c r="E13" s="27" t="n">
        <f aca="false">IF(C13&gt;0,TDIST(ABS(D13),MIN(B25,B26)-1,2),"")</f>
        <v>0.452071956925023</v>
      </c>
      <c r="F13" s="26" t="n">
        <v>0.136852072237567</v>
      </c>
      <c r="G13" s="26" t="n">
        <v>0.0842298758662448</v>
      </c>
      <c r="H13" s="27" t="n">
        <f aca="false">IF(G13&gt;0,F13/G13,"")</f>
        <v>1.6247450305505</v>
      </c>
      <c r="I13" s="27" t="n">
        <f aca="false">IF(G13&gt;0,TDIST(ABS(H13),MIN(F25,F26)-1,2),"")</f>
        <v>0.122611303000839</v>
      </c>
      <c r="J13" s="26" t="n">
        <v>-0.251503634374293</v>
      </c>
      <c r="K13" s="26" t="n">
        <v>0.796213287972009</v>
      </c>
      <c r="L13" s="27" t="n">
        <f aca="false">IF(K13&gt;0,J13/K13,"")</f>
        <v>-0.315874701130502</v>
      </c>
      <c r="M13" s="27" t="n">
        <f aca="false">IF(K13&gt;0,TDIST(ABS(L13),MIN(J25,J26)-1,2),"")</f>
        <v>0.75594269620804</v>
      </c>
      <c r="N13" s="26" t="n">
        <v>-0.310507782342522</v>
      </c>
      <c r="O13" s="26" t="n">
        <v>1.03084484330321</v>
      </c>
      <c r="P13" s="27" t="n">
        <f aca="false">IF(O13&gt;0,N13/O13,"")</f>
        <v>-0.301216797425633</v>
      </c>
      <c r="Q13" s="27" t="n">
        <f aca="false">IF(O13&gt;0,TDIST(ABS(P13),MIN(N25,N26)-1,2),"")</f>
        <v>0.766902373860876</v>
      </c>
      <c r="R13" s="26" t="n">
        <v>-1.69727229745289</v>
      </c>
      <c r="S13" s="26" t="n">
        <v>0.940294596475832</v>
      </c>
      <c r="T13" s="27" t="n">
        <f aca="false">IF(S13&gt;0,R13/S13,"")</f>
        <v>-1.80504312564824</v>
      </c>
      <c r="U13" s="27" t="n">
        <f aca="false">IF(S13&gt;0,TDIST(ABS(T13),MIN(R25,R26)-1,2),"")</f>
        <v>0.0888105730285162</v>
      </c>
      <c r="V13" s="26" t="n">
        <v>-2.53801667838741</v>
      </c>
      <c r="W13" s="26" t="n">
        <v>0.92578352647122</v>
      </c>
      <c r="X13" s="27" t="n">
        <f aca="false">IF(W13&gt;0,V13/W13,"")</f>
        <v>-2.74147962867895</v>
      </c>
      <c r="Y13" s="27" t="n">
        <f aca="false">IF(W13&gt;0,TDIST(ABS(X13),MIN(V25,V26)-1,2),"")</f>
        <v>0.0139142251346609</v>
      </c>
      <c r="Z13" s="26" t="n">
        <v>-0.313673879629147</v>
      </c>
      <c r="AA13" s="26" t="n">
        <v>0.231595879444064</v>
      </c>
      <c r="AB13" s="27" t="n">
        <f aca="false">IF(AA13&gt;0,Z13/AA13,"")</f>
        <v>-1.35440181570634</v>
      </c>
      <c r="AC13" s="27" t="n">
        <f aca="false">IF(AA13&gt;0,TDIST(ABS(AB13),MIN(Z25,Z26)-1,2),"")</f>
        <v>0.193337908204777</v>
      </c>
      <c r="AD13" s="26" t="n">
        <v>-0.165857772197875</v>
      </c>
      <c r="AE13" s="26" t="n">
        <v>0.202350580998272</v>
      </c>
      <c r="AF13" s="27" t="n">
        <f aca="false">IF(AE13&gt;0,AD13/AE13,"")</f>
        <v>-0.819655527449615</v>
      </c>
      <c r="AG13" s="27" t="n">
        <f aca="false">IF(AE13&gt;0,TDIST(ABS(AF13),MIN(AD25,AD26)-1,2),"")</f>
        <v>0.423755834284934</v>
      </c>
      <c r="AH13" s="26" t="n">
        <v>-0.262859295343034</v>
      </c>
      <c r="AI13" s="26" t="n">
        <v>0.540947948636776</v>
      </c>
      <c r="AJ13" s="27" t="n">
        <f aca="false">IF(AI13&gt;0,AH13/AI13,"")</f>
        <v>-0.485923453458797</v>
      </c>
      <c r="AK13" s="27" t="n">
        <f aca="false">IF(AI13&gt;0,TDIST(ABS(AJ13),MIN(AH25,AH26)-1,2),"")</f>
        <v>0.633225516221919</v>
      </c>
      <c r="AL13" s="26" t="n">
        <v>-0.0131272408411937</v>
      </c>
      <c r="AM13" s="26" t="n">
        <v>0.926244928412769</v>
      </c>
      <c r="AN13" s="27" t="n">
        <f aca="false">IF(AM13&gt;0,AL13/AM13,"")</f>
        <v>-0.0141725373478577</v>
      </c>
      <c r="AO13" s="27" t="n">
        <f aca="false">IF(AM13&gt;0,TDIST(ABS(AN13),MIN(AL25,AL26)-1,2),"")</f>
        <v>0.988857330161818</v>
      </c>
      <c r="AP13" s="26" t="n">
        <v>-0.222175497504591</v>
      </c>
      <c r="AQ13" s="26" t="n">
        <v>0.724163308935749</v>
      </c>
      <c r="AR13" s="27" t="n">
        <f aca="false">IF(AQ13&gt;0,AP13/AQ13,"")</f>
        <v>-0.30680303014952</v>
      </c>
      <c r="AS13" s="27" t="n">
        <f aca="false">IF(AQ13&gt;0,TDIST(ABS(AR13),MIN(AP25,AP26)-1,2),"")</f>
        <v>0.762719417190484</v>
      </c>
      <c r="AT13" s="26" t="n">
        <v>-0.61775969983255</v>
      </c>
      <c r="AU13" s="26" t="n">
        <v>1.03182343628396</v>
      </c>
      <c r="AV13" s="27" t="n">
        <f aca="false">IF(AU13&gt;0,AT13/AU13,"")</f>
        <v>-0.598706792372706</v>
      </c>
      <c r="AW13" s="27" t="n">
        <f aca="false">IF(AU13&gt;0,TDIST(ABS(AV13),MIN(AT25,AT26)-1,2),"")</f>
        <v>0.55726266994173</v>
      </c>
      <c r="AX13" s="26" t="n">
        <v>-0.0922685273839358</v>
      </c>
      <c r="AY13" s="26" t="n">
        <v>0.0707607293832224</v>
      </c>
      <c r="AZ13" s="27" t="n">
        <f aca="false">IF(AY13&gt;0,AX13/AY13,"")</f>
        <v>-1.30395105008362</v>
      </c>
      <c r="BA13" s="27" t="n">
        <f aca="false">IF(AY13&gt;0,TDIST(ABS(AZ13),MIN(AX25,AX26)-1,2),"")</f>
        <v>0.209631273942401</v>
      </c>
      <c r="BB13" s="26" t="n">
        <v>-0.0654899451319295</v>
      </c>
      <c r="BC13" s="26" t="n">
        <v>0.0622066247775856</v>
      </c>
      <c r="BD13" s="27" t="n">
        <f aca="false">IF(BC13&gt;0,BB13/BC13,"")</f>
        <v>-1.05278087930479</v>
      </c>
      <c r="BE13" s="27" t="n">
        <f aca="false">IF(BC13&gt;0,TDIST(ABS(BD13),MIN(BB25,BB26)-1,2),"")</f>
        <v>0.307176231176093</v>
      </c>
      <c r="BF13" s="26" t="n">
        <v>-0.081524835490868</v>
      </c>
      <c r="BG13" s="26" t="n">
        <v>0.0619046425906248</v>
      </c>
      <c r="BH13" s="27" t="n">
        <f aca="false">IF(BG13&gt;0,BF13/BG13,"")</f>
        <v>-1.31694218848805</v>
      </c>
      <c r="BI13" s="27" t="n">
        <f aca="false">IF(BG13&gt;0,TDIST(ABS(BH13),MIN(BF25,BF26)-1,2),"")</f>
        <v>0.205335272858121</v>
      </c>
      <c r="BJ13" s="26" t="n">
        <v>-0.0893361981793015</v>
      </c>
      <c r="BK13" s="26" t="n">
        <v>0.0476724589954317</v>
      </c>
      <c r="BL13" s="27" t="n">
        <f aca="false">IF(BK13&gt;0,BJ13/BK13,"")</f>
        <v>-1.87395825727937</v>
      </c>
      <c r="BM13" s="27" t="n">
        <f aca="false">IF(BK13&gt;0,TDIST(ABS(BL13),MIN(BJ25,BJ26)-1,2),"")</f>
        <v>0.0782295238279035</v>
      </c>
      <c r="BN13" s="26" t="n">
        <v>-0.104555727510661</v>
      </c>
      <c r="BO13" s="26" t="n">
        <v>0.0685247989977423</v>
      </c>
      <c r="BP13" s="27" t="n">
        <f aca="false">IF(BO13&gt;0,BN13/BO13,"")</f>
        <v>-1.52580859834563</v>
      </c>
      <c r="BQ13" s="27" t="n">
        <f aca="false">IF(BO13&gt;0,TDIST(ABS(BP13),MIN(BN25,BN26)-1,2),"")</f>
        <v>0.145446550690206</v>
      </c>
      <c r="BR13" s="26" t="n">
        <v>0.00492407273848452</v>
      </c>
      <c r="BS13" s="26" t="n">
        <v>0.0981454806861628</v>
      </c>
      <c r="BT13" s="27" t="n">
        <f aca="false">IF(BS13&gt;0,BR13/BS13,"")</f>
        <v>0.0501711612603956</v>
      </c>
      <c r="BU13" s="27" t="n">
        <f aca="false">IF(BS13&gt;0,TDIST(ABS(BT13),MIN(BR25,BR26)-1,2),"")</f>
        <v>0.960570767126586</v>
      </c>
    </row>
    <row r="14" customFormat="false" ht="15" hidden="false" customHeight="false" outlineLevel="0" collapsed="false">
      <c r="A14" s="7" t="s">
        <v>19</v>
      </c>
      <c r="B14" s="26" t="n">
        <v>-0.136168838016882</v>
      </c>
      <c r="C14" s="26" t="n">
        <v>0.145738788235253</v>
      </c>
      <c r="D14" s="27" t="n">
        <f aca="false">IF(C14&gt;0,B14/C14,"")</f>
        <v>-0.934334912933932</v>
      </c>
      <c r="E14" s="27" t="n">
        <f aca="false">IF(C14&gt;0,TDIST(ABS(D14),MIN(B25,B26)-1,2),"")</f>
        <v>0.363213826611203</v>
      </c>
      <c r="F14" s="26" t="n">
        <v>-0.0209502515864793</v>
      </c>
      <c r="G14" s="26" t="n">
        <v>0.107154036654747</v>
      </c>
      <c r="H14" s="27" t="n">
        <f aca="false">IF(G14&gt;0,F14/G14,"")</f>
        <v>-0.19551528099666</v>
      </c>
      <c r="I14" s="27" t="n">
        <f aca="false">IF(G14&gt;0,TDIST(ABS(H14),MIN(F25,F26)-1,2),"")</f>
        <v>0.847307417353024</v>
      </c>
      <c r="J14" s="26" t="n">
        <v>-0.683830340917965</v>
      </c>
      <c r="K14" s="26" t="n">
        <v>0.314605502615028</v>
      </c>
      <c r="L14" s="27" t="n">
        <f aca="false">IF(K14&gt;0,J14/K14,"")</f>
        <v>-2.17361214356999</v>
      </c>
      <c r="M14" s="27" t="n">
        <f aca="false">IF(K14&gt;0,TDIST(ABS(L14),MIN(J25,J26)-1,2),"")</f>
        <v>0.0441537859062929</v>
      </c>
      <c r="N14" s="26" t="n">
        <v>-0.701509899332099</v>
      </c>
      <c r="O14" s="26" t="n">
        <v>0.398046526579761</v>
      </c>
      <c r="P14" s="27" t="n">
        <f aca="false">IF(O14&gt;0,N14/O14,"")</f>
        <v>-1.76238166266608</v>
      </c>
      <c r="Q14" s="27" t="n">
        <f aca="false">IF(O14&gt;0,TDIST(ABS(P14),MIN(N25,N26)-1,2),"")</f>
        <v>0.0959734942945504</v>
      </c>
      <c r="R14" s="26" t="n">
        <v>-1.47171445613737</v>
      </c>
      <c r="S14" s="26" t="n">
        <v>0.410746063583045</v>
      </c>
      <c r="T14" s="27" t="n">
        <f aca="false">IF(S14&gt;0,R14/S14,"")</f>
        <v>-3.58302753603826</v>
      </c>
      <c r="U14" s="27" t="n">
        <f aca="false">IF(S14&gt;0,TDIST(ABS(T14),MIN(R25,R26)-1,2),"")</f>
        <v>0.00229178628036869</v>
      </c>
      <c r="V14" s="26" t="n">
        <v>-1.74404517107245</v>
      </c>
      <c r="W14" s="26" t="n">
        <v>0.446454397708387</v>
      </c>
      <c r="X14" s="27" t="n">
        <f aca="false">IF(W14&gt;0,V14/W14,"")</f>
        <v>-3.90643519254035</v>
      </c>
      <c r="Y14" s="27" t="n">
        <f aca="false">IF(W14&gt;0,TDIST(ABS(X14),MIN(V25,V26)-1,2),"")</f>
        <v>0.00113572886983087</v>
      </c>
      <c r="Z14" s="26" t="n">
        <v>-0.481902786459649</v>
      </c>
      <c r="AA14" s="26" t="n">
        <v>0.276537153997638</v>
      </c>
      <c r="AB14" s="27" t="n">
        <f aca="false">IF(AA14&gt;0,Z14/AA14,"")</f>
        <v>-1.74263305849949</v>
      </c>
      <c r="AC14" s="27" t="n">
        <f aca="false">IF(AA14&gt;0,TDIST(ABS(AB14),MIN(Z25,Z26)-1,2),"")</f>
        <v>0.0994566329169407</v>
      </c>
      <c r="AD14" s="26" t="n">
        <v>-0.238227510138564</v>
      </c>
      <c r="AE14" s="26" t="n">
        <v>0.223512300196737</v>
      </c>
      <c r="AF14" s="27" t="n">
        <f aca="false">IF(AE14&gt;0,AD14/AE14,"")</f>
        <v>-1.06583624225098</v>
      </c>
      <c r="AG14" s="27" t="n">
        <f aca="false">IF(AE14&gt;0,TDIST(ABS(AF14),MIN(AD25,AD26)-1,2),"")</f>
        <v>0.30140188459384</v>
      </c>
      <c r="AH14" s="26" t="n">
        <v>-0.467986535857956</v>
      </c>
      <c r="AI14" s="26" t="n">
        <v>0.50347812248636</v>
      </c>
      <c r="AJ14" s="27" t="n">
        <f aca="false">IF(AI14&gt;0,AH14/AI14,"")</f>
        <v>-0.929507191984561</v>
      </c>
      <c r="AK14" s="27" t="n">
        <f aca="false">IF(AI14&gt;0,TDIST(ABS(AJ14),MIN(AH25,AH26)-1,2),"")</f>
        <v>0.365637933031104</v>
      </c>
      <c r="AL14" s="26" t="n">
        <v>-0.44038614726655</v>
      </c>
      <c r="AM14" s="26" t="n">
        <v>0.550274878820372</v>
      </c>
      <c r="AN14" s="27" t="n">
        <f aca="false">IF(AM14&gt;0,AL14/AM14,"")</f>
        <v>-0.800302111211416</v>
      </c>
      <c r="AO14" s="27" t="n">
        <f aca="false">IF(AM14&gt;0,TDIST(ABS(AN14),MIN(AL25,AL26)-1,2),"")</f>
        <v>0.434577840466084</v>
      </c>
      <c r="AP14" s="26" t="n">
        <v>-0.58558535094575</v>
      </c>
      <c r="AQ14" s="26" t="n">
        <v>0.50589266477541</v>
      </c>
      <c r="AR14" s="27" t="n">
        <f aca="false">IF(AQ14&gt;0,AP14/AQ14,"")</f>
        <v>-1.15752884301202</v>
      </c>
      <c r="AS14" s="27" t="n">
        <f aca="false">IF(AQ14&gt;0,TDIST(ABS(AR14),MIN(AP25,AP26)-1,2),"")</f>
        <v>0.263061771421966</v>
      </c>
      <c r="AT14" s="26" t="n">
        <v>-0.909239503750136</v>
      </c>
      <c r="AU14" s="26" t="n">
        <v>0.632149958978838</v>
      </c>
      <c r="AV14" s="27" t="n">
        <f aca="false">IF(AU14&gt;0,AT14/AU14,"")</f>
        <v>-1.43832881871717</v>
      </c>
      <c r="AW14" s="27" t="n">
        <f aca="false">IF(AU14&gt;0,TDIST(ABS(AV14),MIN(AT25,AT26)-1,2),"")</f>
        <v>0.168496401282672</v>
      </c>
      <c r="AX14" s="26" t="n">
        <v>-0.0992057508123257</v>
      </c>
      <c r="AY14" s="26" t="n">
        <v>0.0721424643228932</v>
      </c>
      <c r="AZ14" s="27" t="n">
        <f aca="false">IF(AY14&gt;0,AX14/AY14,"")</f>
        <v>-1.37513670684028</v>
      </c>
      <c r="BA14" s="27" t="n">
        <f aca="false">IF(AY14&gt;0,TDIST(ABS(AZ14),MIN(AX25,AX26)-1,2),"")</f>
        <v>0.186942130709784</v>
      </c>
      <c r="BB14" s="26" t="n">
        <v>-0.0496020122862108</v>
      </c>
      <c r="BC14" s="26" t="n">
        <v>0.0638527767423916</v>
      </c>
      <c r="BD14" s="27" t="n">
        <f aca="false">IF(BC14&gt;0,BB14/BC14,"")</f>
        <v>-0.776818406603142</v>
      </c>
      <c r="BE14" s="27" t="n">
        <f aca="false">IF(BC14&gt;0,TDIST(ABS(BD14),MIN(BB25,BB26)-1,2),"")</f>
        <v>0.447940794838828</v>
      </c>
      <c r="BF14" s="26" t="n">
        <v>-0.0801613466877652</v>
      </c>
      <c r="BG14" s="26" t="n">
        <v>0.0634758809383462</v>
      </c>
      <c r="BH14" s="27" t="n">
        <f aca="false">IF(BG14&gt;0,BF14/BG14,"")</f>
        <v>-1.26286308283969</v>
      </c>
      <c r="BI14" s="27" t="n">
        <f aca="false">IF(BG14&gt;0,TDIST(ABS(BH14),MIN(BF25,BF26)-1,2),"")</f>
        <v>0.223686111673775</v>
      </c>
      <c r="BJ14" s="26" t="n">
        <v>-0.0964298453858127</v>
      </c>
      <c r="BK14" s="26" t="n">
        <v>0.032104445754175</v>
      </c>
      <c r="BL14" s="27" t="n">
        <f aca="false">IF(BK14&gt;0,BJ14/BK14,"")</f>
        <v>-3.00362903394065</v>
      </c>
      <c r="BM14" s="27" t="n">
        <f aca="false">IF(BK14&gt;0,TDIST(ABS(BL14),MIN(BJ25,BJ26)-1,2),"")</f>
        <v>0.00799261099589011</v>
      </c>
      <c r="BN14" s="26" t="n">
        <v>-0.103080487267982</v>
      </c>
      <c r="BO14" s="26" t="n">
        <v>0.0654632426434578</v>
      </c>
      <c r="BP14" s="27" t="n">
        <f aca="false">IF(BO14&gt;0,BN14/BO14,"")</f>
        <v>-1.57463155055432</v>
      </c>
      <c r="BQ14" s="27" t="n">
        <f aca="false">IF(BO14&gt;0,TDIST(ABS(BP14),MIN(BN25,BN26)-1,2),"")</f>
        <v>0.133767062867854</v>
      </c>
      <c r="BR14" s="26" t="n">
        <v>-0.0543812328178213</v>
      </c>
      <c r="BS14" s="26" t="n">
        <v>0.0749850896408975</v>
      </c>
      <c r="BT14" s="27" t="n">
        <f aca="false">IF(BS14&gt;0,BR14/BS14,"")</f>
        <v>-0.725227282893869</v>
      </c>
      <c r="BU14" s="27" t="n">
        <f aca="false">IF(BS14&gt;0,TDIST(ABS(BT14),MIN(BR25,BR26)-1,2),"")</f>
        <v>0.478177603511991</v>
      </c>
    </row>
    <row r="15" customFormat="false" ht="15" hidden="false" customHeight="false" outlineLevel="0" collapsed="false">
      <c r="A15" s="7" t="s">
        <v>20</v>
      </c>
      <c r="B15" s="26" t="n">
        <v>0.0798439673637778</v>
      </c>
      <c r="C15" s="26" t="n">
        <v>0.127165042890211</v>
      </c>
      <c r="D15" s="27" t="n">
        <f aca="false">IF(C15&gt;0,B15/C15,"")</f>
        <v>0.627876699044657</v>
      </c>
      <c r="E15" s="27" t="n">
        <f aca="false">IF(C15&gt;0,TDIST(ABS(D15),MIN(B25,B26)-1,2),"")</f>
        <v>0.538428497312275</v>
      </c>
      <c r="F15" s="26" t="n">
        <v>0.126211339372512</v>
      </c>
      <c r="G15" s="26" t="n">
        <v>0.150079561922918</v>
      </c>
      <c r="H15" s="27" t="n">
        <f aca="false">IF(G15&gt;0,F15/G15,"")</f>
        <v>0.840962871662267</v>
      </c>
      <c r="I15" s="27" t="n">
        <f aca="false">IF(G15&gt;0,TDIST(ABS(H15),MIN(F25,F26)-1,2),"")</f>
        <v>0.41204186878613</v>
      </c>
      <c r="J15" s="26" t="n">
        <v>-0.518458994896313</v>
      </c>
      <c r="K15" s="26" t="n">
        <v>0.339765104381991</v>
      </c>
      <c r="L15" s="27" t="n">
        <f aca="false">IF(K15&gt;0,J15/K15,"")</f>
        <v>-1.52593361769554</v>
      </c>
      <c r="M15" s="27" t="n">
        <f aca="false">IF(K15&gt;0,TDIST(ABS(L15),MIN(J25,J26)-1,2),"")</f>
        <v>0.145415588251077</v>
      </c>
      <c r="N15" s="26" t="n">
        <v>-0.504063420965369</v>
      </c>
      <c r="O15" s="26" t="n">
        <v>0.414804674152687</v>
      </c>
      <c r="P15" s="27" t="n">
        <f aca="false">IF(O15&gt;0,N15/O15,"")</f>
        <v>-1.21518259647148</v>
      </c>
      <c r="Q15" s="27" t="n">
        <f aca="false">IF(O15&gt;0,TDIST(ABS(P15),MIN(N25,N26)-1,2),"")</f>
        <v>0.240904538625897</v>
      </c>
      <c r="R15" s="26" t="n">
        <v>-1.42516690179072</v>
      </c>
      <c r="S15" s="26" t="n">
        <v>0.478162308375346</v>
      </c>
      <c r="T15" s="27" t="n">
        <f aca="false">IF(S15&gt;0,R15/S15,"")</f>
        <v>-2.98050866165721</v>
      </c>
      <c r="U15" s="27" t="n">
        <f aca="false">IF(S15&gt;0,TDIST(ABS(T15),MIN(R25,R26)-1,2),"")</f>
        <v>0.00839627735349614</v>
      </c>
      <c r="V15" s="26" t="n">
        <v>-2.20552358037313</v>
      </c>
      <c r="W15" s="26" t="n">
        <v>0.608338574019447</v>
      </c>
      <c r="X15" s="27" t="n">
        <f aca="false">IF(W15&gt;0,V15/W15,"")</f>
        <v>-3.62548698137072</v>
      </c>
      <c r="Y15" s="27" t="n">
        <f aca="false">IF(W15&gt;0,TDIST(ABS(X15),MIN(V25,V26)-1,2),"")</f>
        <v>0.00209002114585707</v>
      </c>
      <c r="Z15" s="26" t="n">
        <v>-0.325620859129463</v>
      </c>
      <c r="AA15" s="26" t="n">
        <v>0.223653438093943</v>
      </c>
      <c r="AB15" s="27" t="n">
        <f aca="false">IF(AA15&gt;0,Z15/AA15,"")</f>
        <v>-1.45591707377505</v>
      </c>
      <c r="AC15" s="27" t="n">
        <f aca="false">IF(AA15&gt;0,TDIST(ABS(AB15),MIN(Z25,Z26)-1,2),"")</f>
        <v>0.163635459859884</v>
      </c>
      <c r="AD15" s="26" t="n">
        <v>-0.190716684780925</v>
      </c>
      <c r="AE15" s="26" t="n">
        <v>0.20215329840778</v>
      </c>
      <c r="AF15" s="27" t="n">
        <f aca="false">IF(AE15&gt;0,AD15/AE15,"")</f>
        <v>-0.943426035009402</v>
      </c>
      <c r="AG15" s="27" t="n">
        <f aca="false">IF(AE15&gt;0,TDIST(ABS(AF15),MIN(AD25,AD26)-1,2),"")</f>
        <v>0.358678797922334</v>
      </c>
      <c r="AH15" s="26" t="n">
        <v>-0.446522127681811</v>
      </c>
      <c r="AI15" s="26" t="n">
        <v>0.475966188435657</v>
      </c>
      <c r="AJ15" s="27" t="n">
        <f aca="false">IF(AI15&gt;0,AH15/AI15,"")</f>
        <v>-0.938138335307768</v>
      </c>
      <c r="AK15" s="27" t="n">
        <f aca="false">IF(AI15&gt;0,TDIST(ABS(AJ15),MIN(AH25,AH26)-1,2),"")</f>
        <v>0.361311781030007</v>
      </c>
      <c r="AL15" s="26" t="n">
        <v>-0.441196636886749</v>
      </c>
      <c r="AM15" s="26" t="n">
        <v>0.53892679672675</v>
      </c>
      <c r="AN15" s="27" t="n">
        <f aca="false">IF(AM15&gt;0,AL15/AM15,"")</f>
        <v>-0.818657820628738</v>
      </c>
      <c r="AO15" s="27" t="n">
        <f aca="false">IF(AM15&gt;0,TDIST(ABS(AN15),MIN(AL25,AL26)-1,2),"")</f>
        <v>0.424309498210869</v>
      </c>
      <c r="AP15" s="26" t="n">
        <v>-0.588012100076984</v>
      </c>
      <c r="AQ15" s="26" t="n">
        <v>0.474039317567061</v>
      </c>
      <c r="AR15" s="27" t="n">
        <f aca="false">IF(AQ15&gt;0,AP15/AQ15,"")</f>
        <v>-1.24042896503791</v>
      </c>
      <c r="AS15" s="27" t="n">
        <f aca="false">IF(AQ15&gt;0,TDIST(ABS(AR15),MIN(AP25,AP26)-1,2),"")</f>
        <v>0.231664537919827</v>
      </c>
      <c r="AT15" s="26" t="n">
        <v>-0.999318869178127</v>
      </c>
      <c r="AU15" s="26" t="n">
        <v>0.629536261051492</v>
      </c>
      <c r="AV15" s="27" t="n">
        <f aca="false">IF(AU15&gt;0,AT15/AU15,"")</f>
        <v>-1.58738889402336</v>
      </c>
      <c r="AW15" s="27" t="n">
        <f aca="false">IF(AU15&gt;0,TDIST(ABS(AV15),MIN(AT25,AT26)-1,2),"")</f>
        <v>0.130848749986002</v>
      </c>
      <c r="AX15" s="26" t="n">
        <v>-0.0683630261095593</v>
      </c>
      <c r="AY15" s="26" t="n">
        <v>0.070270164325454</v>
      </c>
      <c r="AZ15" s="27" t="n">
        <f aca="false">IF(AY15&gt;0,AX15/AY15,"")</f>
        <v>-0.972859915239961</v>
      </c>
      <c r="BA15" s="27" t="n">
        <f aca="false">IF(AY15&gt;0,TDIST(ABS(AZ15),MIN(AX25,AX26)-1,2),"")</f>
        <v>0.344263249330931</v>
      </c>
      <c r="BB15" s="26" t="n">
        <v>-0.0289371568691009</v>
      </c>
      <c r="BC15" s="26" t="n">
        <v>0.0624594443200964</v>
      </c>
      <c r="BD15" s="27" t="n">
        <f aca="false">IF(BC15&gt;0,BB15/BC15,"")</f>
        <v>-0.463295137894628</v>
      </c>
      <c r="BE15" s="27" t="n">
        <f aca="false">IF(BC15&gt;0,TDIST(ABS(BD15),MIN(BB25,BB26)-1,2),"")</f>
        <v>0.649028958949825</v>
      </c>
      <c r="BF15" s="26" t="n">
        <v>-0.085581835336394</v>
      </c>
      <c r="BG15" s="26" t="n">
        <v>0.0597646364079533</v>
      </c>
      <c r="BH15" s="27" t="n">
        <f aca="false">IF(BG15&gt;0,BF15/BG15,"")</f>
        <v>-1.43198119289495</v>
      </c>
      <c r="BI15" s="27" t="n">
        <f aca="false">IF(BG15&gt;0,TDIST(ABS(BH15),MIN(BF25,BF26)-1,2),"")</f>
        <v>0.170279482338393</v>
      </c>
      <c r="BJ15" s="26" t="n">
        <v>-0.0661988507011102</v>
      </c>
      <c r="BK15" s="26" t="n">
        <v>0.030392227990652</v>
      </c>
      <c r="BL15" s="27" t="n">
        <f aca="false">IF(BK15&gt;0,BJ15/BK15,"")</f>
        <v>-2.17815063513842</v>
      </c>
      <c r="BM15" s="27" t="n">
        <f aca="false">IF(BK15&gt;0,TDIST(ABS(BL15),MIN(BJ25,BJ26)-1,2),"")</f>
        <v>0.0437627917653106</v>
      </c>
      <c r="BN15" s="26" t="n">
        <v>-0.0623375855541096</v>
      </c>
      <c r="BO15" s="26" t="n">
        <v>0.0459418965481473</v>
      </c>
      <c r="BP15" s="27" t="n">
        <f aca="false">IF(BO15&gt;0,BN15/BO15,"")</f>
        <v>-1.35687880209254</v>
      </c>
      <c r="BQ15" s="27" t="n">
        <f aca="false">IF(BO15&gt;0,TDIST(ABS(BP15),MIN(BN25,BN26)-1,2),"")</f>
        <v>0.192564769191023</v>
      </c>
      <c r="BR15" s="26" t="n">
        <v>0.00934246394646822</v>
      </c>
      <c r="BS15" s="26" t="n">
        <v>0.0646468990342484</v>
      </c>
      <c r="BT15" s="27" t="n">
        <f aca="false">IF(BS15&gt;0,BR15/BS15,"")</f>
        <v>0.144515268110831</v>
      </c>
      <c r="BU15" s="27" t="n">
        <f aca="false">IF(BS15&gt;0,TDIST(ABS(BT15),MIN(BR25,BR26)-1,2),"")</f>
        <v>0.886793042350494</v>
      </c>
    </row>
    <row r="16" customFormat="false" ht="15" hidden="false" customHeight="false" outlineLevel="0" collapsed="false">
      <c r="A16" s="7" t="s">
        <v>21</v>
      </c>
      <c r="B16" s="26" t="n">
        <v>0.488036492962324</v>
      </c>
      <c r="C16" s="26" t="n">
        <v>0.453319112093306</v>
      </c>
      <c r="D16" s="27" t="n">
        <f aca="false">IF(C16&gt;0,B16/C16,"")</f>
        <v>1.07658486029566</v>
      </c>
      <c r="E16" s="27" t="n">
        <f aca="false">IF(C16&gt;0,TDIST(ABS(D16),MIN(B25,B26)-1,2),"")</f>
        <v>0.296707258750552</v>
      </c>
      <c r="F16" s="26" t="n">
        <v>0.475397342814665</v>
      </c>
      <c r="G16" s="26" t="n">
        <v>0.33462758506414</v>
      </c>
      <c r="H16" s="27" t="n">
        <f aca="false">IF(G16&gt;0,F16/G16,"")</f>
        <v>1.42067589174856</v>
      </c>
      <c r="I16" s="27" t="n">
        <f aca="false">IF(G16&gt;0,TDIST(ABS(H16),MIN(F25,F26)-1,2),"")</f>
        <v>0.173493339311368</v>
      </c>
      <c r="Z16" s="26" t="n">
        <v>-0.18530127218581</v>
      </c>
      <c r="AA16" s="26" t="n">
        <v>0.435281167035206</v>
      </c>
      <c r="AB16" s="27" t="n">
        <f aca="false">IF(AA16&gt;0,Z16/AA16,"")</f>
        <v>-0.425704777093706</v>
      </c>
      <c r="AC16" s="27" t="n">
        <f aca="false">IF(AA16&gt;0,TDIST(ABS(AB16),MIN(Z25,Z26)-1,2),"")</f>
        <v>0.67566361703043</v>
      </c>
      <c r="AD16" s="26" t="n">
        <v>-0.291255032481908</v>
      </c>
      <c r="AE16" s="26" t="n">
        <v>0.295826430505369</v>
      </c>
      <c r="AF16" s="27" t="n">
        <f aca="false">IF(AE16&gt;0,AD16/AE16,"")</f>
        <v>-0.984547026390946</v>
      </c>
      <c r="AG16" s="27" t="n">
        <f aca="false">IF(AE16&gt;0,TDIST(ABS(AF16),MIN(AD25,AD26)-1,2),"")</f>
        <v>0.338652597236106</v>
      </c>
      <c r="AP16" s="26" t="n">
        <v>-2.01305429581559</v>
      </c>
      <c r="AQ16" s="26" t="n">
        <v>49088.0729882458</v>
      </c>
      <c r="AR16" s="27" t="n">
        <f aca="false">IF(AQ16&gt;0,AP16/AQ16,"")</f>
        <v>-4.10090307740869E-005</v>
      </c>
      <c r="AS16" s="27" t="n">
        <f aca="false">IF(AQ16&gt;0,TDIST(ABS(AR16),MIN(AP25,AP26)-1,2),"")</f>
        <v>0.999967756907888</v>
      </c>
      <c r="AX16" s="26" t="n">
        <v>0.0166292371135842</v>
      </c>
      <c r="AY16" s="26" t="n">
        <v>0.0477074126750211</v>
      </c>
      <c r="AZ16" s="27" t="n">
        <f aca="false">IF(AY16&gt;0,AX16/AY16,"")</f>
        <v>0.348567155105668</v>
      </c>
      <c r="BA16" s="27" t="n">
        <f aca="false">IF(AY16&gt;0,TDIST(ABS(AZ16),MIN(AX25,AX26)-1,2),"")</f>
        <v>0.731693778503195</v>
      </c>
      <c r="BB16" s="26" t="n">
        <v>0.0199858088197487</v>
      </c>
      <c r="BC16" s="26" t="n">
        <v>0.0501759758762601</v>
      </c>
      <c r="BD16" s="27" t="n">
        <f aca="false">IF(BC16&gt;0,BB16/BC16,"")</f>
        <v>0.398314302227745</v>
      </c>
      <c r="BE16" s="27" t="n">
        <f aca="false">IF(BC16&gt;0,TDIST(ABS(BD16),MIN(BB25,BB26)-1,2),"")</f>
        <v>0.695356500604748</v>
      </c>
    </row>
    <row r="17" customFormat="false" ht="15" hidden="false" customHeight="false" outlineLevel="0" collapsed="false">
      <c r="A17" s="7" t="s">
        <v>22</v>
      </c>
      <c r="F17" s="26" t="n">
        <v>-0.368798828987166</v>
      </c>
      <c r="G17" s="26" t="n">
        <v>0.835104297682765</v>
      </c>
      <c r="H17" s="27" t="n">
        <f aca="false">IF(G17&gt;0,F17/G17,"")</f>
        <v>-0.441620082677701</v>
      </c>
      <c r="I17" s="27" t="n">
        <f aca="false">IF(G17&gt;0,TDIST(ABS(H17),MIN(F25,F26)-1,2),"")</f>
        <v>0.664330063103318</v>
      </c>
      <c r="J17" s="26" t="n">
        <v>1.68510172223895</v>
      </c>
      <c r="K17" s="26" t="n">
        <v>1.56557874280747</v>
      </c>
      <c r="L17" s="27" t="n">
        <f aca="false">IF(K17&gt;0,J17/K17,"")</f>
        <v>1.07634427842138</v>
      </c>
      <c r="M17" s="27" t="n">
        <f aca="false">IF(K17&gt;0,TDIST(ABS(L17),MIN(J25,J26)-1,2),"")</f>
        <v>0.296811750285055</v>
      </c>
      <c r="N17" s="26" t="n">
        <v>0.857627442255397</v>
      </c>
      <c r="O17" s="26" t="n">
        <v>1.8621397602606</v>
      </c>
      <c r="P17" s="27" t="n">
        <f aca="false">IF(O17&gt;0,N17/O17,"")</f>
        <v>0.460560190248757</v>
      </c>
      <c r="Q17" s="27" t="n">
        <f aca="false">IF(O17&gt;0,TDIST(ABS(P17),MIN(N25,N26)-1,2),"")</f>
        <v>0.650950950552976</v>
      </c>
      <c r="AD17" s="26" t="n">
        <v>0.222431203428825</v>
      </c>
      <c r="AE17" s="26" t="n">
        <v>0.37725402463363</v>
      </c>
      <c r="AF17" s="27" t="n">
        <f aca="false">IF(AE17&gt;0,AD17/AE17,"")</f>
        <v>0.589605912474596</v>
      </c>
      <c r="AG17" s="27" t="n">
        <f aca="false">IF(AE17&gt;0,TDIST(ABS(AF17),MIN(AD25,AD26)-1,2),"")</f>
        <v>0.563209750132396</v>
      </c>
      <c r="AH17" s="26" t="n">
        <v>1.53159840956803</v>
      </c>
      <c r="AI17" s="26" t="n">
        <v>1.06693923006278</v>
      </c>
      <c r="AJ17" s="27" t="n">
        <f aca="false">IF(AI17&gt;0,AH17/AI17,"")</f>
        <v>1.43550669655094</v>
      </c>
      <c r="AK17" s="27" t="n">
        <f aca="false">IF(AI17&gt;0,TDIST(ABS(AJ17),MIN(AH25,AH26)-1,2),"")</f>
        <v>0.169287256226369</v>
      </c>
      <c r="AL17" s="26" t="n">
        <v>4.11792722875687</v>
      </c>
      <c r="AM17" s="26" t="n">
        <v>1.34237935779272</v>
      </c>
      <c r="AN17" s="27" t="n">
        <f aca="false">IF(AM17&gt;0,AL17/AM17,"")</f>
        <v>3.0676330091428</v>
      </c>
      <c r="AO17" s="27" t="n">
        <f aca="false">IF(AM17&gt;0,TDIST(ABS(AN17),MIN(AL25,AL26)-1,2),"")</f>
        <v>0.00697130919643226</v>
      </c>
      <c r="BB17" s="26" t="n">
        <v>0.0381947202776792</v>
      </c>
      <c r="BC17" s="26" t="n">
        <v>0.229954690250443</v>
      </c>
      <c r="BD17" s="27" t="n">
        <f aca="false">IF(BC17&gt;0,BB17/BC17,"")</f>
        <v>0.166096722080691</v>
      </c>
      <c r="BE17" s="27" t="n">
        <f aca="false">IF(BC17&gt;0,TDIST(ABS(BD17),MIN(BB25,BB26)-1,2),"")</f>
        <v>0.870040244658296</v>
      </c>
      <c r="BF17" s="26" t="n">
        <v>-0.205139111250512</v>
      </c>
      <c r="BG17" s="26" t="n">
        <v>0.193587872892914</v>
      </c>
      <c r="BH17" s="27" t="n">
        <f aca="false">IF(BG17&gt;0,BF17/BG17,"")</f>
        <v>-1.05966922506549</v>
      </c>
      <c r="BI17" s="27" t="n">
        <f aca="false">IF(BG17&gt;0,TDIST(ABS(BH17),MIN(BF25,BF26)-1,2),"")</f>
        <v>0.304119652923537</v>
      </c>
      <c r="BJ17" s="26" t="n">
        <v>-0.484460657698175</v>
      </c>
      <c r="BK17" s="26" t="n">
        <v>0.205047367673195</v>
      </c>
      <c r="BL17" s="27" t="n">
        <f aca="false">IF(BK17&gt;0,BJ17/BK17,"")</f>
        <v>-2.36267679607723</v>
      </c>
      <c r="BM17" s="27" t="n">
        <f aca="false">IF(BK17&gt;0,TDIST(ABS(BL17),MIN(BJ25,BJ26)-1,2),"")</f>
        <v>0.0303266732490418</v>
      </c>
    </row>
    <row r="18" customFormat="false" ht="15" hidden="false" customHeight="false" outlineLevel="0" collapsed="false">
      <c r="A18" s="7" t="s">
        <v>23</v>
      </c>
      <c r="F18" s="26" t="n">
        <v>0.0701399777977302</v>
      </c>
      <c r="G18" s="26" t="n">
        <v>0.170658363647756</v>
      </c>
      <c r="H18" s="27" t="n">
        <f aca="false">IF(G18&gt;0,F18/G18,"")</f>
        <v>0.410996427590863</v>
      </c>
      <c r="I18" s="27" t="n">
        <f aca="false">IF(G18&gt;0,TDIST(ABS(H18),MIN(F25,F26)-1,2),"")</f>
        <v>0.686209510525082</v>
      </c>
      <c r="J18" s="26" t="n">
        <v>-0.124015873966028</v>
      </c>
      <c r="K18" s="26" t="n">
        <v>0.275747896400478</v>
      </c>
      <c r="L18" s="27" t="n">
        <f aca="false">IF(K18&gt;0,J18/K18,"")</f>
        <v>-0.449743681039422</v>
      </c>
      <c r="M18" s="27" t="n">
        <f aca="false">IF(K18&gt;0,TDIST(ABS(L18),MIN(J25,J26)-1,2),"")</f>
        <v>0.658576993774531</v>
      </c>
      <c r="N18" s="26" t="n">
        <v>0.0062755555847548</v>
      </c>
      <c r="O18" s="26" t="n">
        <v>0.358324202263334</v>
      </c>
      <c r="P18" s="27" t="n">
        <f aca="false">IF(O18&gt;0,N18/O18,"")</f>
        <v>0.017513624659221</v>
      </c>
      <c r="Q18" s="27" t="n">
        <f aca="false">IF(O18&gt;0,TDIST(ABS(P18),MIN(N25,N26)-1,2),"")</f>
        <v>0.986230772455434</v>
      </c>
      <c r="AD18" s="26" t="n">
        <v>-0.113554705149412</v>
      </c>
      <c r="AE18" s="26" t="n">
        <v>0.234715683015223</v>
      </c>
      <c r="AF18" s="27" t="n">
        <f aca="false">IF(AE18&gt;0,AD18/AE18,"")</f>
        <v>-0.483796837478675</v>
      </c>
      <c r="AG18" s="27" t="n">
        <f aca="false">IF(AE18&gt;0,TDIST(ABS(AF18),MIN(AD25,AD26)-1,2),"")</f>
        <v>0.634703142118591</v>
      </c>
      <c r="AH18" s="26" t="n">
        <v>-0.251691738761505</v>
      </c>
      <c r="AI18" s="26" t="n">
        <v>0.261852624987534</v>
      </c>
      <c r="AJ18" s="27" t="n">
        <f aca="false">IF(AI18&gt;0,AH18/AI18,"")</f>
        <v>-0.961196164344305</v>
      </c>
      <c r="AK18" s="27" t="n">
        <f aca="false">IF(AI18&gt;0,TDIST(ABS(AJ18),MIN(AH25,AH26)-1,2),"")</f>
        <v>0.34992684233065</v>
      </c>
      <c r="AL18" s="26" t="n">
        <v>-0.817367016224902</v>
      </c>
      <c r="AM18" s="26" t="n">
        <v>0.366773308637696</v>
      </c>
      <c r="AN18" s="27" t="n">
        <f aca="false">IF(AM18&gt;0,AL18/AM18,"")</f>
        <v>-2.22853462063759</v>
      </c>
      <c r="AO18" s="27" t="n">
        <f aca="false">IF(AM18&gt;0,TDIST(ABS(AN18),MIN(AL25,AL26)-1,2),"")</f>
        <v>0.0396312409835027</v>
      </c>
      <c r="BB18" s="26" t="n">
        <v>-0.00113429387488889</v>
      </c>
      <c r="BC18" s="26" t="n">
        <v>0.0326624743727499</v>
      </c>
      <c r="BD18" s="27" t="n">
        <f aca="false">IF(BC18&gt;0,BB18/BC18,"")</f>
        <v>-0.0347277386870367</v>
      </c>
      <c r="BE18" s="27" t="n">
        <f aca="false">IF(BC18&gt;0,TDIST(ABS(BD18),MIN(BB25,BB26)-1,2),"")</f>
        <v>0.972701352446969</v>
      </c>
      <c r="BF18" s="26" t="n">
        <v>0.00690171712567039</v>
      </c>
      <c r="BG18" s="26" t="n">
        <v>0.023656843363197</v>
      </c>
      <c r="BH18" s="27" t="n">
        <f aca="false">IF(BG18&gt;0,BF18/BG18,"")</f>
        <v>0.291742943879293</v>
      </c>
      <c r="BI18" s="27" t="n">
        <f aca="false">IF(BG18&gt;0,TDIST(ABS(BH18),MIN(BF25,BF26)-1,2),"")</f>
        <v>0.774013267032788</v>
      </c>
      <c r="BJ18" s="26" t="n">
        <v>0.0636469934102798</v>
      </c>
      <c r="BK18" s="26" t="n">
        <v>0.0335309654957641</v>
      </c>
      <c r="BL18" s="27" t="n">
        <f aca="false">IF(BK18&gt;0,BJ18/BK18,"")</f>
        <v>1.89815570381712</v>
      </c>
      <c r="BM18" s="27" t="n">
        <f aca="false">IF(BK18&gt;0,TDIST(ABS(BL18),MIN(BJ25,BJ26)-1,2),"")</f>
        <v>0.0747883074842567</v>
      </c>
    </row>
    <row r="19" customFormat="false" ht="15" hidden="false" customHeight="false" outlineLevel="0" collapsed="false">
      <c r="A19" s="7" t="s">
        <v>24</v>
      </c>
      <c r="F19" s="26" t="n">
        <v>-0.0278149943518866</v>
      </c>
      <c r="G19" s="26" t="n">
        <v>0.221765512284031</v>
      </c>
      <c r="H19" s="27" t="n">
        <f aca="false">IF(G19&gt;0,F19/G19,"")</f>
        <v>-0.125425247890943</v>
      </c>
      <c r="I19" s="27" t="n">
        <f aca="false">IF(G19&gt;0,TDIST(ABS(H19),MIN(F25,F26)-1,2),"")</f>
        <v>0.901658229949127</v>
      </c>
      <c r="J19" s="26" t="n">
        <v>-0.278089785085663</v>
      </c>
      <c r="K19" s="26" t="n">
        <v>0.478004394990164</v>
      </c>
      <c r="L19" s="27" t="n">
        <f aca="false">IF(K19&gt;0,J19/K19,"")</f>
        <v>-0.58177244393618</v>
      </c>
      <c r="M19" s="27" t="n">
        <f aca="false">IF(K19&gt;0,TDIST(ABS(L19),MIN(J25,J26)-1,2),"")</f>
        <v>0.568355226152802</v>
      </c>
      <c r="N19" s="26" t="n">
        <v>-0.066791688683337</v>
      </c>
      <c r="O19" s="26" t="n">
        <v>0.934291978454493</v>
      </c>
      <c r="P19" s="27" t="n">
        <f aca="false">IF(O19&gt;0,N19/O19,"")</f>
        <v>-0.0714890957255395</v>
      </c>
      <c r="Q19" s="27" t="n">
        <f aca="false">IF(O19&gt;0,TDIST(ABS(P19),MIN(N25,N26)-1,2),"")</f>
        <v>0.943842813433011</v>
      </c>
      <c r="AD19" s="26" t="n">
        <v>0.0346442416427868</v>
      </c>
      <c r="AE19" s="26" t="n">
        <v>0.504884530493353</v>
      </c>
      <c r="AF19" s="27" t="n">
        <f aca="false">IF(AE19&gt;0,AD19/AE19,"")</f>
        <v>0.0686181484089715</v>
      </c>
      <c r="AG19" s="27" t="n">
        <f aca="false">IF(AE19&gt;0,TDIST(ABS(AF19),MIN(AD25,AD26)-1,2),"")</f>
        <v>0.946094220045088</v>
      </c>
      <c r="AH19" s="26" t="n">
        <v>-0.426380129871552</v>
      </c>
      <c r="AI19" s="26" t="n">
        <v>0.631080075153923</v>
      </c>
      <c r="AJ19" s="27" t="n">
        <f aca="false">IF(AI19&gt;0,AH19/AI19,"")</f>
        <v>-0.675635543979988</v>
      </c>
      <c r="AK19" s="27" t="n">
        <f aca="false">IF(AI19&gt;0,TDIST(ABS(AJ19),MIN(AH25,AH26)-1,2),"")</f>
        <v>0.508359273549356</v>
      </c>
      <c r="AL19" s="26" t="n">
        <v>-1.38100044772495</v>
      </c>
      <c r="AM19" s="26" t="n">
        <v>0.76689159029427</v>
      </c>
      <c r="AN19" s="27" t="n">
        <f aca="false">IF(AM19&gt;0,AL19/AM19,"")</f>
        <v>-1.80077662241026</v>
      </c>
      <c r="AO19" s="27" t="n">
        <f aca="false">IF(AM19&gt;0,TDIST(ABS(AN19),MIN(AL25,AL26)-1,2),"")</f>
        <v>0.0895051996027397</v>
      </c>
      <c r="BB19" s="26" t="n">
        <v>-0.210895113831563</v>
      </c>
      <c r="BC19" s="26" t="n">
        <v>0.055891241126421</v>
      </c>
      <c r="BD19" s="27" t="n">
        <f aca="false">IF(BC19&gt;0,BB19/BC19,"")</f>
        <v>-3.77331241141231</v>
      </c>
      <c r="BE19" s="27" t="n">
        <f aca="false">IF(BC19&gt;0,TDIST(ABS(BD19),MIN(BB25,BB26)-1,2),"")</f>
        <v>0.00151620141741618</v>
      </c>
      <c r="BF19" s="26" t="n">
        <v>-0.201736630919386</v>
      </c>
      <c r="BG19" s="26" t="n">
        <v>0.0877793795134981</v>
      </c>
      <c r="BH19" s="27" t="n">
        <f aca="false">IF(BG19&gt;0,BF19/BG19,"")</f>
        <v>-2.2982234784237</v>
      </c>
      <c r="BI19" s="27" t="n">
        <f aca="false">IF(BG19&gt;0,TDIST(ABS(BH19),MIN(BF25,BF26)-1,2),"")</f>
        <v>0.0345091834095737</v>
      </c>
      <c r="BJ19" s="26" t="n">
        <v>-0.0101473587112502</v>
      </c>
      <c r="BK19" s="26" t="n">
        <v>0.0774260414010997</v>
      </c>
      <c r="BL19" s="27" t="n">
        <f aca="false">IF(BK19&gt;0,BJ19/BK19,"")</f>
        <v>-0.131058730727076</v>
      </c>
      <c r="BM19" s="27" t="n">
        <f aca="false">IF(BK19&gt;0,TDIST(ABS(BL19),MIN(BJ25,BJ26)-1,2),"")</f>
        <v>0.897267325591278</v>
      </c>
    </row>
    <row r="20" customFormat="false" ht="15" hidden="false" customHeight="false" outlineLevel="0" collapsed="false">
      <c r="A20" s="7" t="s">
        <v>25</v>
      </c>
      <c r="F20" s="26" t="n">
        <v>-0.110455335252484</v>
      </c>
      <c r="G20" s="26" t="n">
        <v>0.144620143148958</v>
      </c>
      <c r="H20" s="27" t="n">
        <f aca="false">IF(G20&gt;0,F20/G20,"")</f>
        <v>-0.763761761310904</v>
      </c>
      <c r="I20" s="27" t="n">
        <f aca="false">IF(G20&gt;0,TDIST(ABS(H20),MIN(F25,F26)-1,2),"")</f>
        <v>0.455479412917689</v>
      </c>
      <c r="J20" s="26" t="n">
        <v>0.173289409153592</v>
      </c>
      <c r="K20" s="26" t="n">
        <v>0.432493445373696</v>
      </c>
      <c r="L20" s="27" t="n">
        <f aca="false">IF(K20&gt;0,J20/K20,"")</f>
        <v>0.400675226427677</v>
      </c>
      <c r="M20" s="27" t="n">
        <f aca="false">IF(K20&gt;0,TDIST(ABS(L20),MIN(J25,J26)-1,2),"")</f>
        <v>0.693649963434254</v>
      </c>
      <c r="N20" s="26" t="n">
        <v>0.127785719487513</v>
      </c>
      <c r="O20" s="26" t="n">
        <v>0.557186900835642</v>
      </c>
      <c r="P20" s="27" t="n">
        <f aca="false">IF(O20&gt;0,N20/O20,"")</f>
        <v>0.229340853663045</v>
      </c>
      <c r="Q20" s="27" t="n">
        <f aca="false">IF(O20&gt;0,TDIST(ABS(P20),MIN(N25,N26)-1,2),"")</f>
        <v>0.821340528488603</v>
      </c>
      <c r="AD20" s="26" t="n">
        <v>-0.466177388690215</v>
      </c>
      <c r="AE20" s="26" t="n">
        <v>0.270281884878398</v>
      </c>
      <c r="AF20" s="27" t="n">
        <f aca="false">IF(AE20&gt;0,AD20/AE20,"")</f>
        <v>-1.72478221727643</v>
      </c>
      <c r="AG20" s="27" t="n">
        <f aca="false">IF(AE20&gt;0,TDIST(ABS(AF20),MIN(AD25,AD26)-1,2),"")</f>
        <v>0.102699091365831</v>
      </c>
      <c r="AH20" s="26" t="n">
        <v>-0.105000675230739</v>
      </c>
      <c r="AI20" s="26" t="n">
        <v>0.473304437388462</v>
      </c>
      <c r="AJ20" s="27" t="n">
        <f aca="false">IF(AI20&gt;0,AH20/AI20,"")</f>
        <v>-0.221845955660375</v>
      </c>
      <c r="AK20" s="27" t="n">
        <f aca="false">IF(AI20&gt;0,TDIST(ABS(AJ20),MIN(AH25,AH26)-1,2),"")</f>
        <v>0.827076910112573</v>
      </c>
      <c r="AL20" s="26" t="n">
        <v>-0.00524259073384371</v>
      </c>
      <c r="AM20" s="26" t="n">
        <v>0.456306145943574</v>
      </c>
      <c r="AN20" s="27" t="n">
        <f aca="false">IF(AM20&gt;0,AL20/AM20,"")</f>
        <v>-0.011489195971715</v>
      </c>
      <c r="AO20" s="27" t="n">
        <f aca="false">IF(AM20&gt;0,TDIST(ABS(AN20),MIN(AL25,AL26)-1,2),"")</f>
        <v>0.990966905226953</v>
      </c>
      <c r="BB20" s="26" t="n">
        <v>-0.0703720850293864</v>
      </c>
      <c r="BC20" s="26" t="n">
        <v>0.0548764795985016</v>
      </c>
      <c r="BD20" s="27" t="n">
        <f aca="false">IF(BC20&gt;0,BB20/BC20,"")</f>
        <v>-1.28237243978216</v>
      </c>
      <c r="BE20" s="27" t="n">
        <f aca="false">IF(BC20&gt;0,TDIST(ABS(BD20),MIN(BB25,BB26)-1,2),"")</f>
        <v>0.216923392726149</v>
      </c>
      <c r="BF20" s="26" t="n">
        <v>-0.0919779890506496</v>
      </c>
      <c r="BG20" s="26" t="n">
        <v>0.0579314001228326</v>
      </c>
      <c r="BH20" s="27" t="n">
        <f aca="false">IF(BG20&gt;0,BF20/BG20,"")</f>
        <v>-1.5877052661532</v>
      </c>
      <c r="BI20" s="27" t="n">
        <f aca="false">IF(BG20&gt;0,TDIST(ABS(BH20),MIN(BF25,BF26)-1,2),"")</f>
        <v>0.130777067011094</v>
      </c>
      <c r="BJ20" s="26" t="n">
        <v>-0.11539311105708</v>
      </c>
      <c r="BK20" s="26" t="n">
        <v>0.0530700095774465</v>
      </c>
      <c r="BL20" s="27" t="n">
        <f aca="false">IF(BK20&gt;0,BJ20/BK20,"")</f>
        <v>-2.17435632621629</v>
      </c>
      <c r="BM20" s="27" t="n">
        <f aca="false">IF(BK20&gt;0,TDIST(ABS(BL20),MIN(BJ25,BJ26)-1,2),"")</f>
        <v>0.0440894547132273</v>
      </c>
    </row>
    <row r="21" customFormat="false" ht="15" hidden="false" customHeight="false" outlineLevel="0" collapsed="false">
      <c r="A21" s="7" t="s">
        <v>26</v>
      </c>
      <c r="F21" s="26" t="n">
        <v>0.204906124288591</v>
      </c>
      <c r="G21" s="26" t="n">
        <v>0.338579207566094</v>
      </c>
      <c r="H21" s="27" t="n">
        <f aca="false">IF(G21&gt;0,F21/G21,"")</f>
        <v>0.605194057135334</v>
      </c>
      <c r="I21" s="27" t="n">
        <f aca="false">IF(G21&gt;0,TDIST(ABS(H21),MIN(F25,F26)-1,2),"")</f>
        <v>0.553043925470849</v>
      </c>
      <c r="AD21" s="26" t="n">
        <v>0.241762422506652</v>
      </c>
      <c r="AE21" s="26" t="n">
        <v>0.262001081893375</v>
      </c>
      <c r="AF21" s="27" t="n">
        <f aca="false">IF(AE21&gt;0,AD21/AE21,"")</f>
        <v>0.922753527426429</v>
      </c>
      <c r="AG21" s="27" t="n">
        <f aca="false">IF(AE21&gt;0,TDIST(ABS(AF21),MIN(AD25,AD26)-1,2),"")</f>
        <v>0.369047531748718</v>
      </c>
      <c r="BB21" s="26" t="n">
        <v>0.0559302038531926</v>
      </c>
      <c r="BC21" s="26" t="n">
        <v>0.0588917923349023</v>
      </c>
      <c r="BD21" s="27" t="n">
        <f aca="false">IF(BC21&gt;0,BB21/BC21,"")</f>
        <v>0.949711354260235</v>
      </c>
      <c r="BE21" s="27" t="n">
        <f aca="false">IF(BC21&gt;0,TDIST(ABS(BD21),MIN(BB25,BB26)-1,2),"")</f>
        <v>0.355566202858061</v>
      </c>
    </row>
    <row r="22" customFormat="false" ht="15" hidden="false" customHeight="false" outlineLevel="0" collapsed="false">
      <c r="A22" s="7" t="s">
        <v>27</v>
      </c>
      <c r="F22" s="26" t="n">
        <v>-0.125728160178178</v>
      </c>
      <c r="G22" s="26" t="n">
        <v>0.717724609138232</v>
      </c>
      <c r="H22" s="27" t="n">
        <f aca="false">IF(G22&gt;0,F22/G22,"")</f>
        <v>-0.1751760474385</v>
      </c>
      <c r="I22" s="27" t="n">
        <f aca="false">IF(G22&gt;0,TDIST(ABS(H22),MIN(F25,F26)-1,2),"")</f>
        <v>0.863010811879273</v>
      </c>
      <c r="J22" s="26" t="n">
        <v>1.44059101396455</v>
      </c>
      <c r="K22" s="26" t="n">
        <v>4.20596075967782</v>
      </c>
      <c r="L22" s="27" t="n">
        <f aca="false">IF(K22&gt;0,J22/K22,"")</f>
        <v>0.342511758020991</v>
      </c>
      <c r="M22" s="27" t="n">
        <f aca="false">IF(K22&gt;0,TDIST(ABS(L22),MIN(J25,J26)-1,2),"")</f>
        <v>0.736164144461921</v>
      </c>
      <c r="N22" s="26" t="n">
        <v>2.00381444414728</v>
      </c>
      <c r="O22" s="26" t="n">
        <v>4.81967751545817</v>
      </c>
      <c r="P22" s="27" t="n">
        <f aca="false">IF(O22&gt;0,N22/O22,"")</f>
        <v>0.415756954219537</v>
      </c>
      <c r="Q22" s="27" t="n">
        <f aca="false">IF(O22&gt;0,TDIST(ABS(P22),MIN(N25,N26)-1,2),"")</f>
        <v>0.682788779323602</v>
      </c>
      <c r="AD22" s="26" t="n">
        <v>-0.23588158068631</v>
      </c>
      <c r="AE22" s="26" t="n">
        <v>0.55649301158146</v>
      </c>
      <c r="AF22" s="27" t="n">
        <f aca="false">IF(AE22&gt;0,AD22/AE22,"")</f>
        <v>-0.423871595468871</v>
      </c>
      <c r="AG22" s="27" t="n">
        <f aca="false">IF(AE22&gt;0,TDIST(ABS(AF22),MIN(AD25,AD26)-1,2),"")</f>
        <v>0.67697428626671</v>
      </c>
      <c r="AH22" s="26" t="n">
        <v>-3.49255234372649</v>
      </c>
      <c r="AI22" s="26" t="n">
        <v>4.16089978908907</v>
      </c>
      <c r="AJ22" s="27" t="n">
        <f aca="false">IF(AI22&gt;0,AH22/AI22,"")</f>
        <v>-0.83937429901216</v>
      </c>
      <c r="AK22" s="27" t="n">
        <f aca="false">IF(AI22&gt;0,TDIST(ABS(AJ22),MIN(AH25,AH26)-1,2),"")</f>
        <v>0.412907924923723</v>
      </c>
      <c r="AL22" s="26" t="n">
        <v>-4.54739053456777</v>
      </c>
      <c r="AM22" s="26" t="n">
        <v>2.48368083153659</v>
      </c>
      <c r="AN22" s="27" t="n">
        <f aca="false">IF(AM22&gt;0,AL22/AM22,"")</f>
        <v>-1.83090777076796</v>
      </c>
      <c r="AO22" s="27" t="n">
        <f aca="false">IF(AM22&gt;0,TDIST(ABS(AN22),MIN(AL25,AL26)-1,2),"")</f>
        <v>0.0847000750898268</v>
      </c>
      <c r="BB22" s="26" t="n">
        <v>-0.0300120258371916</v>
      </c>
      <c r="BC22" s="26" t="n">
        <v>0.0797323755814979</v>
      </c>
      <c r="BD22" s="27" t="n">
        <f aca="false">IF(BC22&gt;0,BB22/BC22,"")</f>
        <v>-0.376409527727102</v>
      </c>
      <c r="BE22" s="27" t="n">
        <f aca="false">IF(BC22&gt;0,TDIST(ABS(BD22),MIN(BB25,BB26)-1,2),"")</f>
        <v>0.711269068223912</v>
      </c>
      <c r="BF22" s="26" t="n">
        <v>0.0407084425148505</v>
      </c>
      <c r="BG22" s="26" t="n">
        <v>0.416053670637668</v>
      </c>
      <c r="BH22" s="27" t="n">
        <f aca="false">IF(BG22&gt;0,BF22/BG22,"")</f>
        <v>0.0978442095041688</v>
      </c>
      <c r="BI22" s="27" t="n">
        <f aca="false">IF(BG22&gt;0,TDIST(ABS(BH22),MIN(BF25,BF26)-1,2),"")</f>
        <v>0.923200378428532</v>
      </c>
      <c r="BJ22" s="26" t="n">
        <v>1.13025151850177</v>
      </c>
      <c r="BK22" s="26" t="n">
        <v>0.614572971221901</v>
      </c>
      <c r="BL22" s="27" t="n">
        <f aca="false">IF(BK22&gt;0,BJ22/BK22,"")</f>
        <v>1.8390843259094</v>
      </c>
      <c r="BM22" s="27" t="n">
        <f aca="false">IF(BK22&gt;0,TDIST(ABS(BL22),MIN(BJ25,BJ26)-1,2),"")</f>
        <v>0.0834359611883597</v>
      </c>
    </row>
    <row r="24" customFormat="false" ht="15" hidden="false" customHeight="false" outlineLevel="0" collapsed="false">
      <c r="A24" s="7" t="s">
        <v>28</v>
      </c>
      <c r="B24" s="20" t="n">
        <v>306</v>
      </c>
      <c r="F24" s="20" t="n">
        <v>280</v>
      </c>
      <c r="J24" s="20" t="n">
        <v>278</v>
      </c>
      <c r="N24" s="20" t="n">
        <v>278</v>
      </c>
      <c r="R24" s="20" t="n">
        <v>289</v>
      </c>
      <c r="V24" s="20" t="n">
        <v>197</v>
      </c>
      <c r="Z24" s="20" t="n">
        <v>277</v>
      </c>
      <c r="AD24" s="20" t="n">
        <v>255</v>
      </c>
      <c r="AH24" s="20" t="n">
        <v>251</v>
      </c>
      <c r="AL24" s="20" t="n">
        <v>251</v>
      </c>
      <c r="AP24" s="20" t="n">
        <v>261</v>
      </c>
      <c r="AT24" s="20" t="n">
        <v>177</v>
      </c>
      <c r="AX24" s="20" t="n">
        <v>273</v>
      </c>
      <c r="BB24" s="20" t="n">
        <v>257</v>
      </c>
      <c r="BF24" s="20" t="n">
        <v>255</v>
      </c>
      <c r="BJ24" s="20" t="n">
        <v>255</v>
      </c>
      <c r="BN24" s="20" t="n">
        <v>257</v>
      </c>
      <c r="BR24" s="20" t="n">
        <v>169</v>
      </c>
    </row>
    <row r="25" customFormat="false" ht="15" hidden="false" customHeight="false" outlineLevel="0" collapsed="false">
      <c r="A25" s="7" t="s">
        <v>116</v>
      </c>
      <c r="B25" s="20" t="n">
        <v>18</v>
      </c>
      <c r="F25" s="20" t="n">
        <v>18</v>
      </c>
      <c r="J25" s="20" t="n">
        <v>18</v>
      </c>
      <c r="N25" s="20" t="n">
        <v>18</v>
      </c>
      <c r="R25" s="20" t="n">
        <v>18</v>
      </c>
      <c r="V25" s="20" t="n">
        <v>18</v>
      </c>
      <c r="Z25" s="20" t="n">
        <v>18</v>
      </c>
      <c r="AD25" s="20" t="n">
        <v>18</v>
      </c>
      <c r="AH25" s="20" t="n">
        <v>18</v>
      </c>
      <c r="AL25" s="20" t="n">
        <v>18</v>
      </c>
      <c r="AP25" s="20" t="n">
        <v>18</v>
      </c>
      <c r="AT25" s="20" t="n">
        <v>18</v>
      </c>
      <c r="AX25" s="20" t="n">
        <v>18</v>
      </c>
      <c r="BB25" s="20" t="n">
        <v>18</v>
      </c>
      <c r="BF25" s="20" t="n">
        <v>18</v>
      </c>
      <c r="BJ25" s="20" t="n">
        <v>18</v>
      </c>
      <c r="BN25" s="20" t="n">
        <v>18</v>
      </c>
      <c r="BR25" s="20" t="n">
        <v>18</v>
      </c>
    </row>
    <row r="26" customFormat="false" ht="15" hidden="false" customHeight="false" outlineLevel="0" collapsed="false">
      <c r="A26" s="7" t="s">
        <v>117</v>
      </c>
      <c r="B26" s="20" t="n">
        <v>18</v>
      </c>
      <c r="F26" s="20" t="n">
        <v>18</v>
      </c>
      <c r="J26" s="20" t="n">
        <v>18</v>
      </c>
      <c r="N26" s="20" t="n">
        <v>18</v>
      </c>
      <c r="R26" s="20" t="n">
        <v>18</v>
      </c>
      <c r="V26" s="20" t="n">
        <v>18</v>
      </c>
      <c r="Z26" s="20" t="n">
        <v>18</v>
      </c>
      <c r="AD26" s="20" t="n">
        <v>18</v>
      </c>
      <c r="AH26" s="20" t="n">
        <v>18</v>
      </c>
      <c r="AL26" s="20" t="n">
        <v>18</v>
      </c>
      <c r="AP26" s="20" t="n">
        <v>18</v>
      </c>
      <c r="AT26" s="20" t="n">
        <v>18</v>
      </c>
      <c r="AX26" s="20" t="n">
        <v>18</v>
      </c>
      <c r="BB26" s="20" t="n">
        <v>18</v>
      </c>
      <c r="BF26" s="20" t="n">
        <v>18</v>
      </c>
      <c r="BJ26" s="20" t="n">
        <v>18</v>
      </c>
      <c r="BN26" s="20" t="n">
        <v>18</v>
      </c>
      <c r="BR26" s="20" t="n">
        <v>18</v>
      </c>
    </row>
    <row r="27" customFormat="false" ht="15" hidden="false" customHeight="false" outlineLevel="0" collapsed="false">
      <c r="A27" s="7" t="s">
        <v>29</v>
      </c>
      <c r="B27" s="20" t="n">
        <v>0.10380089644835</v>
      </c>
      <c r="F27" s="20" t="n">
        <v>0.0523772858330219</v>
      </c>
      <c r="J27" s="20" t="n">
        <v>0.0268647562803273</v>
      </c>
      <c r="N27" s="20" t="n">
        <v>0.0196082491774481</v>
      </c>
      <c r="R27" s="20" t="n">
        <v>0.139174378968396</v>
      </c>
      <c r="V27" s="20" t="n">
        <v>0.104339387399832</v>
      </c>
      <c r="Z27" s="20" t="n">
        <v>0.206147244146489</v>
      </c>
      <c r="AD27" s="20" t="n">
        <v>0.136536723657642</v>
      </c>
      <c r="AH27" s="20" t="n">
        <v>-0.00909827166984867</v>
      </c>
      <c r="AL27" s="20" t="n">
        <v>0.171019602180883</v>
      </c>
      <c r="AP27" s="20" t="n">
        <v>0.535997860985176</v>
      </c>
      <c r="AT27" s="20" t="n">
        <v>0.513809750635405</v>
      </c>
      <c r="AX27" s="20" t="n">
        <v>0.469528115061934</v>
      </c>
      <c r="BB27" s="20" t="n">
        <v>0.546340101264371</v>
      </c>
      <c r="BF27" s="20" t="n">
        <v>0.547393161713767</v>
      </c>
      <c r="BJ27" s="20" t="n">
        <v>0.722049927937861</v>
      </c>
      <c r="BN27" s="20" t="n">
        <v>0.78672006891885</v>
      </c>
      <c r="BR27" s="20" t="n">
        <v>0.816117035276705</v>
      </c>
    </row>
    <row r="28" customFormat="false" ht="15" hidden="false" customHeight="false" outlineLevel="0" collapsed="false">
      <c r="A28" s="7" t="s">
        <v>45</v>
      </c>
      <c r="B28" s="20" t="n">
        <v>43</v>
      </c>
      <c r="F28" s="20" t="n">
        <v>41</v>
      </c>
      <c r="J28" s="20" t="n">
        <v>41</v>
      </c>
      <c r="N28" s="20" t="n">
        <v>41</v>
      </c>
      <c r="R28" s="20" t="n">
        <v>43</v>
      </c>
      <c r="V28" s="20" t="n">
        <v>24</v>
      </c>
      <c r="Z28" s="20" t="n">
        <v>42</v>
      </c>
      <c r="AD28" s="20" t="n">
        <v>40</v>
      </c>
      <c r="AH28" s="20" t="n">
        <v>40</v>
      </c>
      <c r="AL28" s="20" t="n">
        <v>40</v>
      </c>
      <c r="AP28" s="20" t="n">
        <v>42</v>
      </c>
      <c r="AT28" s="20" t="n">
        <v>23</v>
      </c>
      <c r="AX28" s="20" t="n">
        <v>40</v>
      </c>
      <c r="BB28" s="20" t="n">
        <v>37</v>
      </c>
      <c r="BF28" s="20" t="n">
        <v>37</v>
      </c>
      <c r="BJ28" s="20" t="n">
        <v>37</v>
      </c>
      <c r="BN28" s="20" t="n">
        <v>40</v>
      </c>
      <c r="BR28" s="20" t="n">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2026-10-16T16:50:51Z</dcterms:created>
  <dc:creator>openpyxl</dc:creator>
  <dc:description/>
  <dc:language>en-US</dc:language>
  <cp:lastModifiedBy/>
  <dcterms:modified xsi:type="dcterms:W3CDTF">2026-10-16T16:50:54Z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