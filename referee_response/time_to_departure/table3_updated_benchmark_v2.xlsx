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III (updated)" sheetId="1" state="visible" r:id="rId3"/>
    <sheet name="Benchmark versions" sheetId="2" state="visible" r:id="rId4"/>
    <sheet name="Estima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<sst xmlns="http://schemas.openxmlformats.org/spreadsheetml/2006/main" count="896" uniqueCount="69">
  <si>
    <t xml:space="preserve">Table III: Conflicted CIO and Plan Performance Regressions (updated policy benchmark, file of Oct 16)</t>
  </si>
  <si>
    <t xml:space="preserve">This table reports results of tests that regress the returns of public pension plans on an indicator variable, Conflicted CIO, which is equal to 1 for all years prior to the plan's investment officer (CIO) departure for a position in a private asset management firm and 0 otherwise. The performance measure in Panel A is Peer-Adjusted Return, which is the difference of a plan's return and the average pension plan return each year. The performance measure in Panel B is Benchmark-Adjusted Return, which is calculated as the plan's return minus the return of its policy benchmark, when available. Policy benchmark returns are collected from plans' financial reports; where a report does not state the one-year benchmark return, it is inferred from the plan's reported multi-year benchmark returns or from its policy weights and component index returns (estimates graded A or B only). The other independent variables are as defined in Table I. Columns 5 and 6 redefine Conflicted CIO to equal 1 only in the last 5 or 10 years before departure. The standard errors are double clustered by plan and year. Coefficients marked with ***, **, and * are significant at the 1%, 5%, and 10% level, respectively.</t>
  </si>
  <si>
    <t xml:space="preserve">Panel A. Peer-Adjusted Returns</t>
  </si>
  <si>
    <t xml:space="preserve">(1)</t>
  </si>
  <si>
    <t xml:space="preserve">(2)</t>
  </si>
  <si>
    <t xml:space="preserve">(3)</t>
  </si>
  <si>
    <t xml:space="preserve">(4)</t>
  </si>
  <si>
    <t xml:space="preserve">(5)</t>
  </si>
  <si>
    <t xml:space="preserve">(6)</t>
  </si>
  <si>
    <t xml:space="preserve">Peer-adj. Ret. (t)</t>
  </si>
  <si>
    <t xml:space="preserve">Conflicted CIO (0/1)</t>
  </si>
  <si>
    <t xml:space="preserve">Investment Return (t - 1)</t>
  </si>
  <si>
    <t xml:space="preserve">Log (Plan Size) (t-1)</t>
  </si>
  <si>
    <t xml:space="preserve">Funding Ratio (t-1)</t>
  </si>
  <si>
    <t xml:space="preserve">Equity Allocation (%)</t>
  </si>
  <si>
    <t xml:space="preserve">Fixed Income Allocation (%)</t>
  </si>
  <si>
    <t xml:space="preserve">Real Estate Allocation (%)</t>
  </si>
  <si>
    <t xml:space="preserve">Private Equity Allocation (%)</t>
  </si>
  <si>
    <t xml:space="preserve">Hedge Fund Allocation (%)</t>
  </si>
  <si>
    <t xml:space="preserve">Misc. Alternatives Allocation (%)</t>
  </si>
  <si>
    <t xml:space="preserve">Commodities Allocation (%)</t>
  </si>
  <si>
    <t xml:space="preserve">Cash Allocation (%)</t>
  </si>
  <si>
    <t xml:space="preserve">Financial Center (0/1)</t>
  </si>
  <si>
    <t xml:space="preserve">Log (CIO Age) (t-1)</t>
  </si>
  <si>
    <t xml:space="preserve">Log (CIO Tenure) (t-1)</t>
  </si>
  <si>
    <t xml:space="preserve">CIO Prior Private Experience (0/1)</t>
  </si>
  <si>
    <t xml:space="preserve">CIO Attended Elite College (0/1)</t>
  </si>
  <si>
    <t xml:space="preserve">Separate Investment Board (0/1)</t>
  </si>
  <si>
    <t xml:space="preserve">% Political Appointees on Board</t>
  </si>
  <si>
    <t xml:space="preserve">Observations</t>
  </si>
  <si>
    <t xml:space="preserve">Adjusted R-squared</t>
  </si>
  <si>
    <t xml:space="preserve">Plan FE</t>
  </si>
  <si>
    <t xml:space="preserve">No</t>
  </si>
  <si>
    <t xml:space="preserve">Yes</t>
  </si>
  <si>
    <t xml:space="preserve">Year FE</t>
  </si>
  <si>
    <t xml:space="preserve">Last n years</t>
  </si>
  <si>
    <t xml:space="preserve">5</t>
  </si>
  <si>
    <t xml:space="preserve">10</t>
  </si>
  <si>
    <t xml:space="preserve">Panel B. Benchmark-Adjusted Returns (updated benchmark)</t>
  </si>
  <si>
    <t xml:space="preserve">Bench-adj. Ret. (t)</t>
  </si>
  <si>
    <t xml:space="preserve">Conflicted CIO coefficient in Table III under alternative benchmark-adjusted returns (same specifications as Table III columns 1-6)</t>
  </si>
  <si>
    <t xml:space="preserve">Each row re-estimates the six Table III columns with a different dependent variable; only the Conflicted CIO coefficient is shown, with all controls, fixed effects and clustering as in Table III. 'PPD return' is the plan's investment return in the Public Plans Database (the return used in the paper). 'Document return' is the total-fund return reported on the same page of the plan's financial report as the policy benchmark. 'Reported' benchmarks are stated in the report; 'inferred grade A/B' adds benchmark returns inferred from multi-year benchmark returns or from policy weights and component index returns, using only estimates graded A or B. The row marked 'agree within 0.5 pp' keeps only plan-years in which the PPD and document returns differ by at most 0.5 percentage points, removing fiscal-year misalignments between the two sources.</t>
  </si>
  <si>
    <t xml:space="preserve">Dependent variable</t>
  </si>
  <si>
    <t xml:space="preserve">Peer-adjusted return (Panel A, unchanged)</t>
  </si>
  <si>
    <t xml:space="preserve">   Observations</t>
  </si>
  <si>
    <t xml:space="preserve">Original benchmark-adjusted return (paper Panel B)</t>
  </si>
  <si>
    <t xml:space="preserve">PPD return minus updated reported benchmark</t>
  </si>
  <si>
    <t xml:space="preserve">PPD return minus updated benchmark (reported + inferred grade A/B)</t>
  </si>
  <si>
    <t xml:space="preserve">PPD return minus updated benchmark (A/B), rows where PPD and document returns agree within 0.5 pp</t>
  </si>
  <si>
    <t xml:space="preserve">Document return minus updated benchmark (reported + inferred grade A/B)</t>
  </si>
  <si>
    <t xml:space="preserve">Note on t-statistics: coefficients and observations match reghdfe exactly. In the year-FE-only columns (1), (2), (5) and (6), these two-way clustered t-statistics run about 4 to 17 percent larger than reghdfe reports for the published Table III (for example, original Panel B column 1: -2.65 here, -2.27 published); plan-FE columns (3) and (4) match to within 0.06. Use the attached Stata code for the exact figures.</t>
  </si>
  <si>
    <t xml:space="preserve">Estimates behind the tables. Blue = regression output (coefficient, SE, minimum cluster count). t and p are formulas; p uses the t distribution with (min clusters - 1) df. SE double clustered by plan and fiscal year (Cameron-Gelbach-Miller, with the eigenvalue fix).</t>
  </si>
  <si>
    <t xml:space="preserve">Version</t>
  </si>
  <si>
    <t xml:space="preserve">Column</t>
  </si>
  <si>
    <t xml:space="preserve">Variable</t>
  </si>
  <si>
    <t xml:space="preserve">Coefficient</t>
  </si>
  <si>
    <t xml:space="preserve">SE</t>
  </si>
  <si>
    <t xml:space="preserve">Clusters (min)</t>
  </si>
  <si>
    <t xml:space="preserve">t</t>
  </si>
  <si>
    <t xml:space="preserve">p</t>
  </si>
  <si>
    <t xml:space="preserve">peer</t>
  </si>
  <si>
    <t xml:space="preserve">b_AB</t>
  </si>
  <si>
    <t xml:space="preserve">peer (summary)</t>
  </si>
  <si>
    <t xml:space="preserve">Conflicted CIO</t>
  </si>
  <si>
    <t xml:space="preserve">b_orig (summary)</t>
  </si>
  <si>
    <t xml:space="preserve">b_rep (summary)</t>
  </si>
  <si>
    <t xml:space="preserve">b_AB (summary)</t>
  </si>
  <si>
    <t xml:space="preserve">b_AB_ok (summary)</t>
  </si>
  <si>
    <t xml:space="preserve">b_docAB (summary)</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</si>
</sst>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7" min="2" style="0" width="15"/>
  </cols>
  <sheetData>
    <row r="1" customFormat="false" ht="15" hidden="false" customHeight="false" outlineLevel="0" collapsed="false">
      <c r="A1" s="1" t="s">
        <v>0</v>
      </c>
    </row>
    <row r="2" customFormat="false" ht="150" hidden="false" customHeight="true" outlineLevel="0" collapsed="false">
      <c r="A2" s="2" t="s">
        <v>1</v>
      </c>
      <c r="B2" s="2"/>
      <c r="C2" s="2"/>
      <c r="D2" s="2"/>
      <c r="E2" s="2"/>
      <c r="F2" s="2"/>
      <c r="G2" s="2"/>
    </row>
    <row r="4" customFormat="false" ht="15" hidden="false" customHeight="false" outlineLevel="0" collapsed="false">
      <c r="A4" s="1" t="s">
        <v>2</v>
      </c>
    </row>
    <row r="5" customFormat="false" ht="15" hidden="false" customHeight="false" outlineLevel="0" collapsed="false">
      <c r="A5" s="3"/>
      <c r="B5" s="4" t="s">
        <v>3</v>
      </c>
      <c r="C5" s="4" t="s">
        <v>4</v>
      </c>
      <c r="D5" s="4" t="s">
        <v>5</v>
      </c>
      <c r="E5" s="4" t="s">
        <v>6</v>
      </c>
      <c r="F5" s="4" t="s">
        <v>7</v>
      </c>
      <c r="G5" s="4" t="s">
        <v>8</v>
      </c>
    </row>
    <row r="6" customFormat="false" ht="15" hidden="false" customHeight="false" outlineLevel="0" collapsed="false">
      <c r="A6" s="5"/>
      <c r="B6" s="6" t="s">
        <v>9</v>
      </c>
      <c r="C6" s="6" t="s">
        <v>9</v>
      </c>
      <c r="D6" s="6" t="s">
        <v>9</v>
      </c>
      <c r="E6" s="6" t="s">
        <v>9</v>
      </c>
      <c r="F6" s="6" t="s">
        <v>9</v>
      </c>
      <c r="G6" s="6" t="s">
        <v>9</v>
      </c>
    </row>
    <row r="7" customFormat="false" ht="15" hidden="false" customHeight="false" outlineLevel="0" collapsed="false">
      <c r="A7" s="7" t="s">
        <v>10</v>
      </c>
      <c r="B7" s="8" t="str">
        <f aca="false">IF(Estimates!H4="","n/a",TEXT(Estimates!D4,"0.000")&amp;IF(Estimates!H4&lt;0.01,"***",IF(Estimates!H4&lt;0.05,"**",IF(Estimates!H4&lt;0.1,"*",""))))</f>
        <v>-0.557***</v>
      </c>
      <c r="C7" s="8" t="str">
        <f aca="false">IF(Estimates!H5="","n/a",TEXT(Estimates!D5,"0.000")&amp;IF(Estimates!H5&lt;0.01,"***",IF(Estimates!H5&lt;0.05,"**",IF(Estimates!H5&lt;0.1,"*",""))))</f>
        <v>-0.582***</v>
      </c>
      <c r="D7" s="8" t="str">
        <f aca="false">IF(Estimates!H6="","n/a",TEXT(Estimates!D6,"0.000")&amp;IF(Estimates!H6&lt;0.01,"***",IF(Estimates!H6&lt;0.05,"**",IF(Estimates!H6&lt;0.1,"*",""))))</f>
        <v>-0.641**</v>
      </c>
      <c r="E7" s="8" t="str">
        <f aca="false">IF(Estimates!H7="","n/a",TEXT(Estimates!D7,"0.000")&amp;IF(Estimates!H7&lt;0.01,"***",IF(Estimates!H7&lt;0.05,"**",IF(Estimates!H7&lt;0.1,"*",""))))</f>
        <v>-0.698**</v>
      </c>
      <c r="F7" s="8" t="str">
        <f aca="false">IF(Estimates!H8="","n/a",TEXT(Estimates!D8,"0.000")&amp;IF(Estimates!H8&lt;0.01,"***",IF(Estimates!H8&lt;0.05,"**",IF(Estimates!H8&lt;0.1,"*",""))))</f>
        <v>-0.475*</v>
      </c>
      <c r="G7" s="8" t="str">
        <f aca="false">IF(Estimates!H9="","n/a",TEXT(Estimates!D9,"0.000")&amp;IF(Estimates!H9&lt;0.01,"***",IF(Estimates!H9&lt;0.05,"**",IF(Estimates!H9&lt;0.1,"*",""))))</f>
        <v>-0.508**</v>
      </c>
    </row>
    <row r="8" customFormat="false" ht="15" hidden="false" customHeight="false" outlineLevel="0" collapsed="false">
      <c r="B8" s="8" t="str">
        <f aca="false">IF(Estimates!G4="","","("&amp;TEXT(Estimates!G4,"0.00")&amp;")")</f>
        <v>(-3.68)</v>
      </c>
      <c r="C8" s="8" t="str">
        <f aca="false">IF(Estimates!G5="","","("&amp;TEXT(Estimates!G5,"0.00")&amp;")")</f>
        <v>(-3.13)</v>
      </c>
      <c r="D8" s="8" t="str">
        <f aca="false">IF(Estimates!G6="","","("&amp;TEXT(Estimates!G6,"0.00")&amp;")")</f>
        <v>(-2.21)</v>
      </c>
      <c r="E8" s="8" t="str">
        <f aca="false">IF(Estimates!G7="","","("&amp;TEXT(Estimates!G7,"0.00")&amp;")")</f>
        <v>(-2.38)</v>
      </c>
      <c r="F8" s="8" t="str">
        <f aca="false">IF(Estimates!G8="","","("&amp;TEXT(Estimates!G8,"0.00")&amp;")")</f>
        <v>(-2.10)</v>
      </c>
      <c r="G8" s="8" t="str">
        <f aca="false">IF(Estimates!G9="","","("&amp;TEXT(Estimates!G9,"0.00")&amp;")")</f>
        <v>(-2.78)</v>
      </c>
    </row>
    <row r="9" customFormat="false" ht="15" hidden="false" customHeight="false" outlineLevel="0" collapsed="false">
      <c r="A9" s="7" t="s">
        <v>11</v>
      </c>
      <c r="B9" s="8" t="str">
        <f aca="false">IF(Estimates!H10="","n/a",TEXT(Estimates!D10,"0.000")&amp;IF(Estimates!H10&lt;0.01,"***",IF(Estimates!H10&lt;0.05,"**",IF(Estimates!H10&lt;0.1,"*",""))))</f>
        <v>0.014</v>
      </c>
      <c r="C9" s="8" t="str">
        <f aca="false">IF(Estimates!H11="","n/a",TEXT(Estimates!D11,"0.000")&amp;IF(Estimates!H11&lt;0.01,"***",IF(Estimates!H11&lt;0.05,"**",IF(Estimates!H11&lt;0.1,"*",""))))</f>
        <v>0.004</v>
      </c>
      <c r="D9" s="8" t="str">
        <f aca="false">IF(Estimates!H12="","n/a",TEXT(Estimates!D12,"0.000")&amp;IF(Estimates!H12&lt;0.01,"***",IF(Estimates!H12&lt;0.05,"**",IF(Estimates!H12&lt;0.1,"*",""))))</f>
        <v>0.011</v>
      </c>
      <c r="E9" s="8" t="str">
        <f aca="false">IF(Estimates!H13="","n/a",TEXT(Estimates!D13,"0.000")&amp;IF(Estimates!H13&lt;0.01,"***",IF(Estimates!H13&lt;0.05,"**",IF(Estimates!H13&lt;0.1,"*",""))))</f>
        <v>0.000</v>
      </c>
      <c r="F9" s="8" t="str">
        <f aca="false">IF(Estimates!H14="","n/a",TEXT(Estimates!D14,"0.000")&amp;IF(Estimates!H14&lt;0.01,"***",IF(Estimates!H14&lt;0.05,"**",IF(Estimates!H14&lt;0.1,"*",""))))</f>
        <v>0.004</v>
      </c>
      <c r="G9" s="8" t="str">
        <f aca="false">IF(Estimates!H15="","n/a",TEXT(Estimates!D15,"0.000")&amp;IF(Estimates!H15&lt;0.01,"***",IF(Estimates!H15&lt;0.05,"**",IF(Estimates!H15&lt;0.1,"*",""))))</f>
        <v>0.004</v>
      </c>
    </row>
    <row r="10" customFormat="false" ht="15" hidden="false" customHeight="false" outlineLevel="0" collapsed="false">
      <c r="B10" s="8" t="str">
        <f aca="false">IF(Estimates!G10="","","("&amp;TEXT(Estimates!G10,"0.00")&amp;")")</f>
        <v>(0.71)</v>
      </c>
      <c r="C10" s="8" t="str">
        <f aca="false">IF(Estimates!G11="","","("&amp;TEXT(Estimates!G11,"0.00")&amp;")")</f>
        <v>(0.20)</v>
      </c>
      <c r="D10" s="8" t="str">
        <f aca="false">IF(Estimates!G12="","","("&amp;TEXT(Estimates!G12,"0.00")&amp;")")</f>
        <v>(1.19)</v>
      </c>
      <c r="E10" s="8" t="str">
        <f aca="false">IF(Estimates!G13="","","("&amp;TEXT(Estimates!G13,"0.00")&amp;")")</f>
        <v>(0.03)</v>
      </c>
      <c r="F10" s="8" t="str">
        <f aca="false">IF(Estimates!G14="","","("&amp;TEXT(Estimates!G14,"0.00")&amp;")")</f>
        <v>(0.21)</v>
      </c>
      <c r="G10" s="8" t="str">
        <f aca="false">IF(Estimates!G15="","","("&amp;TEXT(Estimates!G15,"0.00")&amp;")")</f>
        <v>(0.20)</v>
      </c>
    </row>
    <row r="11" customFormat="false" ht="15" hidden="false" customHeight="false" outlineLevel="0" collapsed="false">
      <c r="A11" s="7" t="s">
        <v>12</v>
      </c>
      <c r="B11" s="8" t="str">
        <f aca="false">IF(Estimates!H16="","n/a",TEXT(Estimates!D16,"0.000")&amp;IF(Estimates!H16&lt;0.01,"***",IF(Estimates!H16&lt;0.05,"**",IF(Estimates!H16&lt;0.1,"*",""))))</f>
        <v>0.008</v>
      </c>
      <c r="C11" s="8" t="str">
        <f aca="false">IF(Estimates!H17="","n/a",TEXT(Estimates!D17,"0.000")&amp;IF(Estimates!H17&lt;0.01,"***",IF(Estimates!H17&lt;0.05,"**",IF(Estimates!H17&lt;0.1,"*",""))))</f>
        <v>0.070</v>
      </c>
      <c r="D11" s="8" t="str">
        <f aca="false">IF(Estimates!H18="","n/a",TEXT(Estimates!D18,"0.000")&amp;IF(Estimates!H18&lt;0.01,"***",IF(Estimates!H18&lt;0.05,"**",IF(Estimates!H18&lt;0.1,"*",""))))</f>
        <v>-0.943**</v>
      </c>
      <c r="E11" s="8" t="str">
        <f aca="false">IF(Estimates!H19="","n/a",TEXT(Estimates!D19,"0.000")&amp;IF(Estimates!H19&lt;0.01,"***",IF(Estimates!H19&lt;0.05,"**",IF(Estimates!H19&lt;0.1,"*",""))))</f>
        <v>-1.430*</v>
      </c>
      <c r="F11" s="8" t="str">
        <f aca="false">IF(Estimates!H20="","n/a",TEXT(Estimates!D20,"0.000")&amp;IF(Estimates!H20&lt;0.01,"***",IF(Estimates!H20&lt;0.05,"**",IF(Estimates!H20&lt;0.1,"*",""))))</f>
        <v>0.079</v>
      </c>
      <c r="G11" s="8" t="str">
        <f aca="false">IF(Estimates!H21="","n/a",TEXT(Estimates!D21,"0.000")&amp;IF(Estimates!H21&lt;0.01,"***",IF(Estimates!H21&lt;0.05,"**",IF(Estimates!H21&lt;0.1,"*",""))))</f>
        <v>0.075</v>
      </c>
    </row>
    <row r="12" customFormat="false" ht="15" hidden="false" customHeight="false" outlineLevel="0" collapsed="false">
      <c r="B12" s="8" t="str">
        <f aca="false">IF(Estimates!G16="","","("&amp;TEXT(Estimates!G16,"0.00")&amp;")")</f>
        <v>(0.15)</v>
      </c>
      <c r="C12" s="8" t="str">
        <f aca="false">IF(Estimates!G17="","","("&amp;TEXT(Estimates!G17,"0.00")&amp;")")</f>
        <v>(1.14)</v>
      </c>
      <c r="D12" s="8" t="str">
        <f aca="false">IF(Estimates!G18="","","("&amp;TEXT(Estimates!G18,"0.00")&amp;")")</f>
        <v>(-2.48)</v>
      </c>
      <c r="E12" s="8" t="str">
        <f aca="false">IF(Estimates!G19="","","("&amp;TEXT(Estimates!G19,"0.00")&amp;")")</f>
        <v>(-1.95)</v>
      </c>
      <c r="F12" s="8" t="str">
        <f aca="false">IF(Estimates!G20="","","("&amp;TEXT(Estimates!G20,"0.00")&amp;")")</f>
        <v>(1.28)</v>
      </c>
      <c r="G12" s="8" t="str">
        <f aca="false">IF(Estimates!G21="","","("&amp;TEXT(Estimates!G21,"0.00")&amp;")")</f>
        <v>(1.23)</v>
      </c>
    </row>
    <row r="13" customFormat="false" ht="15" hidden="false" customHeight="false" outlineLevel="0" collapsed="false">
      <c r="A13" s="7" t="s">
        <v>13</v>
      </c>
      <c r="B13" s="8" t="str">
        <f aca="false">IF(Estimates!H22="","n/a",TEXT(Estimates!D22,"0.000")&amp;IF(Estimates!H22&lt;0.01,"***",IF(Estimates!H22&lt;0.05,"**",IF(Estimates!H22&lt;0.1,"*",""))))</f>
        <v>-0.005</v>
      </c>
      <c r="C13" s="8" t="str">
        <f aca="false">IF(Estimates!H23="","n/a",TEXT(Estimates!D23,"0.000")&amp;IF(Estimates!H23&lt;0.01,"***",IF(Estimates!H23&lt;0.05,"**",IF(Estimates!H23&lt;0.1,"*",""))))</f>
        <v>-0.006</v>
      </c>
      <c r="D13" s="8" t="str">
        <f aca="false">IF(Estimates!H24="","n/a",TEXT(Estimates!D24,"0.000")&amp;IF(Estimates!H24&lt;0.01,"***",IF(Estimates!H24&lt;0.05,"**",IF(Estimates!H24&lt;0.1,"*",""))))</f>
        <v>-0.027***</v>
      </c>
      <c r="E13" s="8" t="str">
        <f aca="false">IF(Estimates!H25="","n/a",TEXT(Estimates!D25,"0.000")&amp;IF(Estimates!H25&lt;0.01,"***",IF(Estimates!H25&lt;0.05,"**",IF(Estimates!H25&lt;0.1,"*",""))))</f>
        <v>-0.030***</v>
      </c>
      <c r="F13" s="8" t="str">
        <f aca="false">IF(Estimates!H26="","n/a",TEXT(Estimates!D26,"0.000")&amp;IF(Estimates!H26&lt;0.01,"***",IF(Estimates!H26&lt;0.05,"**",IF(Estimates!H26&lt;0.1,"*",""))))</f>
        <v>-0.005</v>
      </c>
      <c r="G13" s="8" t="str">
        <f aca="false">IF(Estimates!H27="","n/a",TEXT(Estimates!D27,"0.000")&amp;IF(Estimates!H27&lt;0.01,"***",IF(Estimates!H27&lt;0.05,"**",IF(Estimates!H27&lt;0.1,"*",""))))</f>
        <v>-0.005</v>
      </c>
    </row>
    <row r="14" customFormat="false" ht="15" hidden="false" customHeight="false" outlineLevel="0" collapsed="false">
      <c r="B14" s="8" t="str">
        <f aca="false">IF(Estimates!G22="","","("&amp;TEXT(Estimates!G22,"0.00")&amp;")")</f>
        <v>(-1.17)</v>
      </c>
      <c r="C14" s="8" t="str">
        <f aca="false">IF(Estimates!G23="","","("&amp;TEXT(Estimates!G23,"0.00")&amp;")")</f>
        <v>(-1.13)</v>
      </c>
      <c r="D14" s="8" t="str">
        <f aca="false">IF(Estimates!G24="","","("&amp;TEXT(Estimates!G24,"0.00")&amp;")")</f>
        <v>(-3.16)</v>
      </c>
      <c r="E14" s="8" t="str">
        <f aca="false">IF(Estimates!G25="","","("&amp;TEXT(Estimates!G25,"0.00")&amp;")")</f>
        <v>(-3.03)</v>
      </c>
      <c r="F14" s="8" t="str">
        <f aca="false">IF(Estimates!G26="","","("&amp;TEXT(Estimates!G26,"0.00")&amp;")")</f>
        <v>(-1.01)</v>
      </c>
      <c r="G14" s="8" t="str">
        <f aca="false">IF(Estimates!G27="","","("&amp;TEXT(Estimates!G27,"0.00")&amp;")")</f>
        <v>(-1.04)</v>
      </c>
    </row>
    <row r="15" customFormat="false" ht="15" hidden="false" customHeight="false" outlineLevel="0" collapsed="false">
      <c r="A15" s="7" t="s">
        <v>14</v>
      </c>
      <c r="B15" s="8" t="str">
        <f aca="false">IF(Estimates!H28="","n/a",TEXT(Estimates!D28,"0.000")&amp;IF(Estimates!H28&lt;0.01,"***",IF(Estimates!H28&lt;0.05,"**",IF(Estimates!H28&lt;0.1,"*",""))))</f>
        <v>-0.079</v>
      </c>
      <c r="C15" s="8" t="str">
        <f aca="false">IF(Estimates!H29="","n/a",TEXT(Estimates!D29,"0.000")&amp;IF(Estimates!H29&lt;0.01,"***",IF(Estimates!H29&lt;0.05,"**",IF(Estimates!H29&lt;0.1,"*",""))))</f>
        <v>0.004</v>
      </c>
      <c r="D15" s="8" t="str">
        <f aca="false">IF(Estimates!H30="","n/a",TEXT(Estimates!D30,"0.000")&amp;IF(Estimates!H30&lt;0.01,"***",IF(Estimates!H30&lt;0.05,"**",IF(Estimates!H30&lt;0.1,"*",""))))</f>
        <v>-0.059</v>
      </c>
      <c r="E15" s="8" t="str">
        <f aca="false">IF(Estimates!H31="","n/a",TEXT(Estimates!D31,"0.000")&amp;IF(Estimates!H31&lt;0.01,"***",IF(Estimates!H31&lt;0.05,"**",IF(Estimates!H31&lt;0.1,"*",""))))</f>
        <v>-0.040</v>
      </c>
      <c r="F15" s="8" t="str">
        <f aca="false">IF(Estimates!H32="","n/a",TEXT(Estimates!D32,"0.000")&amp;IF(Estimates!H32&lt;0.01,"***",IF(Estimates!H32&lt;0.05,"**",IF(Estimates!H32&lt;0.1,"*",""))))</f>
        <v>0.038</v>
      </c>
      <c r="G15" s="8" t="str">
        <f aca="false">IF(Estimates!H33="","n/a",TEXT(Estimates!D33,"0.000")&amp;IF(Estimates!H33&lt;0.01,"***",IF(Estimates!H33&lt;0.05,"**",IF(Estimates!H33&lt;0.1,"*",""))))</f>
        <v>0.040</v>
      </c>
    </row>
    <row r="16" customFormat="false" ht="15" hidden="false" customHeight="false" outlineLevel="0" collapsed="false">
      <c r="B16" s="8" t="str">
        <f aca="false">IF(Estimates!G28="","","("&amp;TEXT(Estimates!G28,"0.00")&amp;")")</f>
        <v>(-0.58)</v>
      </c>
      <c r="C16" s="8" t="str">
        <f aca="false">IF(Estimates!G29="","","("&amp;TEXT(Estimates!G29,"0.00")&amp;")")</f>
        <v>(0.06)</v>
      </c>
      <c r="D16" s="8" t="str">
        <f aca="false">IF(Estimates!G30="","","("&amp;TEXT(Estimates!G30,"0.00")&amp;")")</f>
        <v>(-0.79)</v>
      </c>
      <c r="E16" s="8" t="str">
        <f aca="false">IF(Estimates!G31="","","("&amp;TEXT(Estimates!G31,"0.00")&amp;")")</f>
        <v>(-0.49)</v>
      </c>
      <c r="F16" s="8" t="str">
        <f aca="false">IF(Estimates!G32="","","("&amp;TEXT(Estimates!G32,"0.00")&amp;")")</f>
        <v>(0.58)</v>
      </c>
      <c r="G16" s="8" t="str">
        <f aca="false">IF(Estimates!G33="","","("&amp;TEXT(Estimates!G33,"0.00")&amp;")")</f>
        <v>(0.61)</v>
      </c>
    </row>
    <row r="17" customFormat="false" ht="15" hidden="false" customHeight="false" outlineLevel="0" collapsed="false">
      <c r="A17" s="7" t="s">
        <v>15</v>
      </c>
      <c r="B17" s="8" t="str">
        <f aca="false">IF(Estimates!H34="","n/a",TEXT(Estimates!D34,"0.000")&amp;IF(Estimates!H34&lt;0.01,"***",IF(Estimates!H34&lt;0.05,"**",IF(Estimates!H34&lt;0.1,"*",""))))</f>
        <v>-0.088</v>
      </c>
      <c r="C17" s="8" t="str">
        <f aca="false">IF(Estimates!H35="","n/a",TEXT(Estimates!D35,"0.000")&amp;IF(Estimates!H35&lt;0.01,"***",IF(Estimates!H35&lt;0.05,"**",IF(Estimates!H35&lt;0.1,"*",""))))</f>
        <v>-0.001</v>
      </c>
      <c r="D17" s="8" t="str">
        <f aca="false">IF(Estimates!H36="","n/a",TEXT(Estimates!D36,"0.000")&amp;IF(Estimates!H36&lt;0.01,"***",IF(Estimates!H36&lt;0.05,"**",IF(Estimates!H36&lt;0.1,"*",""))))</f>
        <v>-0.069</v>
      </c>
      <c r="E17" s="8" t="str">
        <f aca="false">IF(Estimates!H37="","n/a",TEXT(Estimates!D37,"0.000")&amp;IF(Estimates!H37&lt;0.01,"***",IF(Estimates!H37&lt;0.05,"**",IF(Estimates!H37&lt;0.1,"*",""))))</f>
        <v>-0.047</v>
      </c>
      <c r="F17" s="8" t="str">
        <f aca="false">IF(Estimates!H38="","n/a",TEXT(Estimates!D38,"0.000")&amp;IF(Estimates!H38&lt;0.01,"***",IF(Estimates!H38&lt;0.05,"**",IF(Estimates!H38&lt;0.1,"*",""))))</f>
        <v>0.033</v>
      </c>
      <c r="G17" s="8" t="str">
        <f aca="false">IF(Estimates!H39="","n/a",TEXT(Estimates!D39,"0.000")&amp;IF(Estimates!H39&lt;0.01,"***",IF(Estimates!H39&lt;0.05,"**",IF(Estimates!H39&lt;0.1,"*",""))))</f>
        <v>0.036</v>
      </c>
    </row>
    <row r="18" customFormat="false" ht="15" hidden="false" customHeight="false" outlineLevel="0" collapsed="false">
      <c r="B18" s="8" t="str">
        <f aca="false">IF(Estimates!G34="","","("&amp;TEXT(Estimates!G34,"0.00")&amp;")")</f>
        <v>(-0.60)</v>
      </c>
      <c r="C18" s="8" t="str">
        <f aca="false">IF(Estimates!G35="","","("&amp;TEXT(Estimates!G35,"0.00")&amp;")")</f>
        <v>(-0.01)</v>
      </c>
      <c r="D18" s="8" t="str">
        <f aca="false">IF(Estimates!G36="","","("&amp;TEXT(Estimates!G36,"0.00")&amp;")")</f>
        <v>(-0.80)</v>
      </c>
      <c r="E18" s="8" t="str">
        <f aca="false">IF(Estimates!G37="","","("&amp;TEXT(Estimates!G37,"0.00")&amp;")")</f>
        <v>(-0.51)</v>
      </c>
      <c r="F18" s="8" t="str">
        <f aca="false">IF(Estimates!G38="","","("&amp;TEXT(Estimates!G38,"0.00")&amp;")")</f>
        <v>(0.45)</v>
      </c>
      <c r="G18" s="8" t="str">
        <f aca="false">IF(Estimates!G39="","","("&amp;TEXT(Estimates!G39,"0.00")&amp;")")</f>
        <v>(0.48)</v>
      </c>
    </row>
    <row r="19" customFormat="false" ht="15" hidden="false" customHeight="false" outlineLevel="0" collapsed="false">
      <c r="A19" s="7" t="s">
        <v>16</v>
      </c>
      <c r="B19" s="8" t="str">
        <f aca="false">IF(Estimates!H40="","n/a",TEXT(Estimates!D40,"0.000")&amp;IF(Estimates!H40&lt;0.01,"***",IF(Estimates!H40&lt;0.05,"**",IF(Estimates!H40&lt;0.1,"*",""))))</f>
        <v>-0.059</v>
      </c>
      <c r="C19" s="8" t="str">
        <f aca="false">IF(Estimates!H41="","n/a",TEXT(Estimates!D41,"0.000")&amp;IF(Estimates!H41&lt;0.01,"***",IF(Estimates!H41&lt;0.05,"**",IF(Estimates!H41&lt;0.1,"*",""))))</f>
        <v>0.026</v>
      </c>
      <c r="D19" s="8" t="str">
        <f aca="false">IF(Estimates!H42="","n/a",TEXT(Estimates!D42,"0.000")&amp;IF(Estimates!H42&lt;0.01,"***",IF(Estimates!H42&lt;0.05,"**",IF(Estimates!H42&lt;0.1,"*",""))))</f>
        <v>-0.100</v>
      </c>
      <c r="E19" s="8" t="str">
        <f aca="false">IF(Estimates!H43="","n/a",TEXT(Estimates!D43,"0.000")&amp;IF(Estimates!H43&lt;0.01,"***",IF(Estimates!H43&lt;0.05,"**",IF(Estimates!H43&lt;0.1,"*",""))))</f>
        <v>-0.089</v>
      </c>
      <c r="F19" s="8" t="str">
        <f aca="false">IF(Estimates!H44="","n/a",TEXT(Estimates!D44,"0.000")&amp;IF(Estimates!H44&lt;0.01,"***",IF(Estimates!H44&lt;0.05,"**",IF(Estimates!H44&lt;0.1,"*",""))))</f>
        <v>0.062</v>
      </c>
      <c r="G19" s="8" t="str">
        <f aca="false">IF(Estimates!H45="","n/a",TEXT(Estimates!D45,"0.000")&amp;IF(Estimates!H45&lt;0.01,"***",IF(Estimates!H45&lt;0.05,"**",IF(Estimates!H45&lt;0.1,"*",""))))</f>
        <v>0.063</v>
      </c>
    </row>
    <row r="20" customFormat="false" ht="15" hidden="false" customHeight="false" outlineLevel="0" collapsed="false">
      <c r="B20" s="8" t="str">
        <f aca="false">IF(Estimates!G40="","","("&amp;TEXT(Estimates!G40,"0.00")&amp;")")</f>
        <v>(-0.43)</v>
      </c>
      <c r="C20" s="8" t="str">
        <f aca="false">IF(Estimates!G41="","","("&amp;TEXT(Estimates!G41,"0.00")&amp;")")</f>
        <v>(0.45)</v>
      </c>
      <c r="D20" s="8" t="str">
        <f aca="false">IF(Estimates!G42="","","("&amp;TEXT(Estimates!G42,"0.00")&amp;")")</f>
        <v>(-1.41)</v>
      </c>
      <c r="E20" s="8" t="str">
        <f aca="false">IF(Estimates!G43="","","("&amp;TEXT(Estimates!G43,"0.00")&amp;")")</f>
        <v>(-1.17)</v>
      </c>
      <c r="F20" s="8" t="str">
        <f aca="false">IF(Estimates!G44="","","("&amp;TEXT(Estimates!G44,"0.00")&amp;")")</f>
        <v>(1.04)</v>
      </c>
      <c r="G20" s="8" t="str">
        <f aca="false">IF(Estimates!G45="","","("&amp;TEXT(Estimates!G45,"0.00")&amp;")")</f>
        <v>(1.01)</v>
      </c>
    </row>
    <row r="21" customFormat="false" ht="15" hidden="false" customHeight="false" outlineLevel="0" collapsed="false">
      <c r="A21" s="7" t="s">
        <v>17</v>
      </c>
      <c r="B21" s="8" t="str">
        <f aca="false">IF(Estimates!H46="","n/a",TEXT(Estimates!D46,"0.000")&amp;IF(Estimates!H46&lt;0.01,"***",IF(Estimates!H46&lt;0.05,"**",IF(Estimates!H46&lt;0.1,"*",""))))</f>
        <v>-0.070</v>
      </c>
      <c r="C21" s="8" t="str">
        <f aca="false">IF(Estimates!H47="","n/a",TEXT(Estimates!D47,"0.000")&amp;IF(Estimates!H47&lt;0.01,"***",IF(Estimates!H47&lt;0.05,"**",IF(Estimates!H47&lt;0.1,"*",""))))</f>
        <v>0.024</v>
      </c>
      <c r="D21" s="8" t="str">
        <f aca="false">IF(Estimates!H48="","n/a",TEXT(Estimates!D48,"0.000")&amp;IF(Estimates!H48&lt;0.01,"***",IF(Estimates!H48&lt;0.05,"**",IF(Estimates!H48&lt;0.1,"*",""))))</f>
        <v>-0.053</v>
      </c>
      <c r="E21" s="8" t="str">
        <f aca="false">IF(Estimates!H49="","n/a",TEXT(Estimates!D49,"0.000")&amp;IF(Estimates!H49&lt;0.01,"***",IF(Estimates!H49&lt;0.05,"**",IF(Estimates!H49&lt;0.1,"*",""))))</f>
        <v>-0.001</v>
      </c>
      <c r="F21" s="8" t="str">
        <f aca="false">IF(Estimates!H50="","n/a",TEXT(Estimates!D50,"0.000")&amp;IF(Estimates!H50&lt;0.01,"***",IF(Estimates!H50&lt;0.05,"**",IF(Estimates!H50&lt;0.1,"*",""))))</f>
        <v>0.056</v>
      </c>
      <c r="G21" s="8" t="str">
        <f aca="false">IF(Estimates!H51="","n/a",TEXT(Estimates!D51,"0.000")&amp;IF(Estimates!H51&lt;0.01,"***",IF(Estimates!H51&lt;0.05,"**",IF(Estimates!H51&lt;0.1,"*",""))))</f>
        <v>0.059</v>
      </c>
    </row>
    <row r="22" customFormat="false" ht="15" hidden="false" customHeight="false" outlineLevel="0" collapsed="false">
      <c r="B22" s="8" t="str">
        <f aca="false">IF(Estimates!G46="","","("&amp;TEXT(Estimates!G46,"0.00")&amp;")")</f>
        <v>(-0.48)</v>
      </c>
      <c r="C22" s="8" t="str">
        <f aca="false">IF(Estimates!G47="","","("&amp;TEXT(Estimates!G47,"0.00")&amp;")")</f>
        <v>(0.36)</v>
      </c>
      <c r="D22" s="8" t="str">
        <f aca="false">IF(Estimates!G48="","","("&amp;TEXT(Estimates!G48,"0.00")&amp;")")</f>
        <v>(-0.64)</v>
      </c>
      <c r="E22" s="8" t="str">
        <f aca="false">IF(Estimates!G49="","","("&amp;TEXT(Estimates!G49,"0.00")&amp;")")</f>
        <v>(-0.02)</v>
      </c>
      <c r="F22" s="8" t="str">
        <f aca="false">IF(Estimates!G50="","","("&amp;TEXT(Estimates!G50,"0.00")&amp;")")</f>
        <v>(0.81)</v>
      </c>
      <c r="G22" s="8" t="str">
        <f aca="false">IF(Estimates!G51="","","("&amp;TEXT(Estimates!G51,"0.00")&amp;")")</f>
        <v>(0.84)</v>
      </c>
    </row>
    <row r="23" customFormat="false" ht="15" hidden="false" customHeight="false" outlineLevel="0" collapsed="false">
      <c r="A23" s="7" t="s">
        <v>18</v>
      </c>
      <c r="B23" s="8" t="str">
        <f aca="false">IF(Estimates!H52="","n/a",TEXT(Estimates!D52,"0.000")&amp;IF(Estimates!H52&lt;0.01,"***",IF(Estimates!H52&lt;0.05,"**",IF(Estimates!H52&lt;0.1,"*",""))))</f>
        <v>-0.126</v>
      </c>
      <c r="C23" s="8" t="str">
        <f aca="false">IF(Estimates!H53="","n/a",TEXT(Estimates!D53,"0.000")&amp;IF(Estimates!H53&lt;0.01,"***",IF(Estimates!H53&lt;0.05,"**",IF(Estimates!H53&lt;0.1,"*",""))))</f>
        <v>-0.039</v>
      </c>
      <c r="D23" s="8" t="str">
        <f aca="false">IF(Estimates!H54="","n/a",TEXT(Estimates!D54,"0.000")&amp;IF(Estimates!H54&lt;0.01,"***",IF(Estimates!H54&lt;0.05,"**",IF(Estimates!H54&lt;0.1,"*",""))))</f>
        <v>-0.107</v>
      </c>
      <c r="E23" s="8" t="str">
        <f aca="false">IF(Estimates!H55="","n/a",TEXT(Estimates!D55,"0.000")&amp;IF(Estimates!H55&lt;0.01,"***",IF(Estimates!H55&lt;0.05,"**",IF(Estimates!H55&lt;0.1,"*",""))))</f>
        <v>-0.094</v>
      </c>
      <c r="F23" s="8" t="str">
        <f aca="false">IF(Estimates!H56="","n/a",TEXT(Estimates!D56,"0.000")&amp;IF(Estimates!H56&lt;0.01,"***",IF(Estimates!H56&lt;0.05,"**",IF(Estimates!H56&lt;0.1,"*",""))))</f>
        <v>-0.004</v>
      </c>
      <c r="G23" s="8" t="str">
        <f aca="false">IF(Estimates!H57="","n/a",TEXT(Estimates!D57,"0.000")&amp;IF(Estimates!H57&lt;0.01,"***",IF(Estimates!H57&lt;0.05,"**",IF(Estimates!H57&lt;0.1,"*",""))))</f>
        <v>-0.001</v>
      </c>
    </row>
    <row r="24" customFormat="false" ht="15" hidden="false" customHeight="false" outlineLevel="0" collapsed="false">
      <c r="B24" s="8" t="str">
        <f aca="false">IF(Estimates!G52="","","("&amp;TEXT(Estimates!G52,"0.00")&amp;")")</f>
        <v>(-0.92)</v>
      </c>
      <c r="C24" s="8" t="str">
        <f aca="false">IF(Estimates!G53="","","("&amp;TEXT(Estimates!G53,"0.00")&amp;")")</f>
        <v>(-0.60)</v>
      </c>
      <c r="D24" s="8" t="str">
        <f aca="false">IF(Estimates!G54="","","("&amp;TEXT(Estimates!G54,"0.00")&amp;")")</f>
        <v>(-1.61)</v>
      </c>
      <c r="E24" s="8" t="str">
        <f aca="false">IF(Estimates!G55="","","("&amp;TEXT(Estimates!G55,"0.00")&amp;")")</f>
        <v>(-1.38)</v>
      </c>
      <c r="F24" s="8" t="str">
        <f aca="false">IF(Estimates!G56="","","("&amp;TEXT(Estimates!G56,"0.00")&amp;")")</f>
        <v>(-0.05)</v>
      </c>
      <c r="G24" s="8" t="str">
        <f aca="false">IF(Estimates!G57="","","("&amp;TEXT(Estimates!G57,"0.00")&amp;")")</f>
        <v>(-0.02)</v>
      </c>
    </row>
    <row r="25" customFormat="false" ht="15" hidden="false" customHeight="false" outlineLevel="0" collapsed="false">
      <c r="A25" s="7" t="s">
        <v>19</v>
      </c>
      <c r="B25" s="8" t="str">
        <f aca="false">IF(Estimates!H58="","n/a",TEXT(Estimates!D58,"0.000")&amp;IF(Estimates!H58&lt;0.01,"***",IF(Estimates!H58&lt;0.05,"**",IF(Estimates!H58&lt;0.1,"*",""))))</f>
        <v>-0.093</v>
      </c>
      <c r="C25" s="8" t="str">
        <f aca="false">IF(Estimates!H59="","n/a",TEXT(Estimates!D59,"0.000")&amp;IF(Estimates!H59&lt;0.01,"***",IF(Estimates!H59&lt;0.05,"**",IF(Estimates!H59&lt;0.1,"*",""))))</f>
        <v>-0.011</v>
      </c>
      <c r="D25" s="8" t="str">
        <f aca="false">IF(Estimates!H60="","n/a",TEXT(Estimates!D60,"0.000")&amp;IF(Estimates!H60&lt;0.01,"***",IF(Estimates!H60&lt;0.05,"**",IF(Estimates!H60&lt;0.1,"*",""))))</f>
        <v>-0.125</v>
      </c>
      <c r="E25" s="8" t="str">
        <f aca="false">IF(Estimates!H61="","n/a",TEXT(Estimates!D61,"0.000")&amp;IF(Estimates!H61&lt;0.01,"***",IF(Estimates!H61&lt;0.05,"**",IF(Estimates!H61&lt;0.1,"*",""))))</f>
        <v>-0.087</v>
      </c>
      <c r="F25" s="8" t="str">
        <f aca="false">IF(Estimates!H62="","n/a",TEXT(Estimates!D62,"0.000")&amp;IF(Estimates!H62&lt;0.01,"***",IF(Estimates!H62&lt;0.05,"**",IF(Estimates!H62&lt;0.1,"*",""))))</f>
        <v>0.024</v>
      </c>
      <c r="G25" s="8" t="str">
        <f aca="false">IF(Estimates!H63="","n/a",TEXT(Estimates!D63,"0.000")&amp;IF(Estimates!H63&lt;0.01,"***",IF(Estimates!H63&lt;0.05,"**",IF(Estimates!H63&lt;0.1,"*",""))))</f>
        <v>0.027</v>
      </c>
    </row>
    <row r="26" customFormat="false" ht="15" hidden="false" customHeight="false" outlineLevel="0" collapsed="false">
      <c r="B26" s="8" t="str">
        <f aca="false">IF(Estimates!G58="","","("&amp;TEXT(Estimates!G58,"0.00")&amp;")")</f>
        <v>(-0.65)</v>
      </c>
      <c r="C26" s="8" t="str">
        <f aca="false">IF(Estimates!G59="","","("&amp;TEXT(Estimates!G59,"0.00")&amp;")")</f>
        <v>(-0.17)</v>
      </c>
      <c r="D26" s="8" t="str">
        <f aca="false">IF(Estimates!G60="","","("&amp;TEXT(Estimates!G60,"0.00")&amp;")")</f>
        <v>(-1.56)</v>
      </c>
      <c r="E26" s="8" t="str">
        <f aca="false">IF(Estimates!G61="","","("&amp;TEXT(Estimates!G61,"0.00")&amp;")")</f>
        <v>(-1.03)</v>
      </c>
      <c r="F26" s="8" t="str">
        <f aca="false">IF(Estimates!G62="","","("&amp;TEXT(Estimates!G62,"0.00")&amp;")")</f>
        <v>(0.38)</v>
      </c>
      <c r="G26" s="8" t="str">
        <f aca="false">IF(Estimates!G63="","","("&amp;TEXT(Estimates!G63,"0.00")&amp;")")</f>
        <v>(0.42)</v>
      </c>
    </row>
    <row r="27" customFormat="false" ht="15" hidden="false" customHeight="false" outlineLevel="0" collapsed="false">
      <c r="A27" s="7" t="s">
        <v>20</v>
      </c>
      <c r="B27" s="8" t="str">
        <f aca="false">IF(Estimates!H64="","n/a",TEXT(Estimates!D64,"0.000")&amp;IF(Estimates!H64&lt;0.01,"***",IF(Estimates!H64&lt;0.05,"**",IF(Estimates!H64&lt;0.1,"*",""))))</f>
        <v>-0.140</v>
      </c>
      <c r="C27" s="8" t="str">
        <f aca="false">IF(Estimates!H65="","n/a",TEXT(Estimates!D65,"0.000")&amp;IF(Estimates!H65&lt;0.01,"***",IF(Estimates!H65&lt;0.05,"**",IF(Estimates!H65&lt;0.1,"*",""))))</f>
        <v>-0.048</v>
      </c>
      <c r="D27" s="8" t="str">
        <f aca="false">IF(Estimates!H66="","n/a",TEXT(Estimates!D66,"0.000")&amp;IF(Estimates!H66&lt;0.01,"***",IF(Estimates!H66&lt;0.05,"**",IF(Estimates!H66&lt;0.1,"*",""))))</f>
        <v>-0.149</v>
      </c>
      <c r="E27" s="8" t="str">
        <f aca="false">IF(Estimates!H67="","n/a",TEXT(Estimates!D67,"0.000")&amp;IF(Estimates!H67&lt;0.01,"***",IF(Estimates!H67&lt;0.05,"**",IF(Estimates!H67&lt;0.1,"*",""))))</f>
        <v>-0.135</v>
      </c>
      <c r="F27" s="8" t="str">
        <f aca="false">IF(Estimates!H68="","n/a",TEXT(Estimates!D68,"0.000")&amp;IF(Estimates!H68&lt;0.01,"***",IF(Estimates!H68&lt;0.05,"**",IF(Estimates!H68&lt;0.1,"*",""))))</f>
        <v>-0.014</v>
      </c>
      <c r="G27" s="8" t="str">
        <f aca="false">IF(Estimates!H69="","n/a",TEXT(Estimates!D69,"0.000")&amp;IF(Estimates!H69&lt;0.01,"***",IF(Estimates!H69&lt;0.05,"**",IF(Estimates!H69&lt;0.1,"*",""))))</f>
        <v>-0.012</v>
      </c>
    </row>
    <row r="28" customFormat="false" ht="15" hidden="false" customHeight="false" outlineLevel="0" collapsed="false">
      <c r="B28" s="8" t="str">
        <f aca="false">IF(Estimates!G64="","","("&amp;TEXT(Estimates!G64,"0.00")&amp;")")</f>
        <v>(-0.99)</v>
      </c>
      <c r="C28" s="8" t="str">
        <f aca="false">IF(Estimates!G65="","","("&amp;TEXT(Estimates!G65,"0.00")&amp;")")</f>
        <v>(-0.78)</v>
      </c>
      <c r="D28" s="8" t="str">
        <f aca="false">IF(Estimates!G66="","","("&amp;TEXT(Estimates!G66,"0.00")&amp;")")</f>
        <v>(-1.70)</v>
      </c>
      <c r="E28" s="8" t="str">
        <f aca="false">IF(Estimates!G67="","","("&amp;TEXT(Estimates!G67,"0.00")&amp;")")</f>
        <v>(-1.51)</v>
      </c>
      <c r="F28" s="8" t="str">
        <f aca="false">IF(Estimates!G68="","","("&amp;TEXT(Estimates!G68,"0.00")&amp;")")</f>
        <v>(-0.22)</v>
      </c>
      <c r="G28" s="8" t="str">
        <f aca="false">IF(Estimates!G69="","","("&amp;TEXT(Estimates!G69,"0.00")&amp;")")</f>
        <v>(-0.19)</v>
      </c>
    </row>
    <row r="29" customFormat="false" ht="15" hidden="false" customHeight="false" outlineLevel="0" collapsed="false">
      <c r="A29" s="7" t="s">
        <v>21</v>
      </c>
      <c r="B29" s="8" t="str">
        <f aca="false">IF(Estimates!H70="","n/a",TEXT(Estimates!D70,"0.000")&amp;IF(Estimates!H70&lt;0.01,"***",IF(Estimates!H70&lt;0.05,"**",IF(Estimates!H70&lt;0.1,"*",""))))</f>
        <v>-0.099</v>
      </c>
      <c r="C29" s="8" t="str">
        <f aca="false">IF(Estimates!H71="","n/a",TEXT(Estimates!D71,"0.000")&amp;IF(Estimates!H71&lt;0.01,"***",IF(Estimates!H71&lt;0.05,"**",IF(Estimates!H71&lt;0.1,"*",""))))</f>
        <v>-0.019</v>
      </c>
      <c r="D29" s="8" t="str">
        <f aca="false">IF(Estimates!H72="","n/a",TEXT(Estimates!D72,"0.000")&amp;IF(Estimates!H72&lt;0.01,"***",IF(Estimates!H72&lt;0.05,"**",IF(Estimates!H72&lt;0.1,"*",""))))</f>
        <v>-0.078</v>
      </c>
      <c r="E29" s="8" t="str">
        <f aca="false">IF(Estimates!H73="","n/a",TEXT(Estimates!D73,"0.000")&amp;IF(Estimates!H73&lt;0.01,"***",IF(Estimates!H73&lt;0.05,"**",IF(Estimates!H73&lt;0.1,"*",""))))</f>
        <v>-0.057</v>
      </c>
      <c r="F29" s="8" t="str">
        <f aca="false">IF(Estimates!H74="","n/a",TEXT(Estimates!D74,"0.000")&amp;IF(Estimates!H74&lt;0.01,"***",IF(Estimates!H74&lt;0.05,"**",IF(Estimates!H74&lt;0.1,"*",""))))</f>
        <v>0.018</v>
      </c>
      <c r="G29" s="8" t="str">
        <f aca="false">IF(Estimates!H75="","n/a",TEXT(Estimates!D75,"0.000")&amp;IF(Estimates!H75&lt;0.01,"***",IF(Estimates!H75&lt;0.05,"**",IF(Estimates!H75&lt;0.1,"*",""))))</f>
        <v>0.020</v>
      </c>
    </row>
    <row r="30" customFormat="false" ht="15" hidden="false" customHeight="false" outlineLevel="0" collapsed="false">
      <c r="B30" s="8" t="str">
        <f aca="false">IF(Estimates!G70="","","("&amp;TEXT(Estimates!G70,"0.00")&amp;")")</f>
        <v>(-0.66)</v>
      </c>
      <c r="C30" s="8" t="str">
        <f aca="false">IF(Estimates!G71="","","("&amp;TEXT(Estimates!G71,"0.00")&amp;")")</f>
        <v>(-0.24)</v>
      </c>
      <c r="D30" s="8" t="str">
        <f aca="false">IF(Estimates!G72="","","("&amp;TEXT(Estimates!G72,"0.00")&amp;")")</f>
        <v>(-0.76)</v>
      </c>
      <c r="E30" s="8" t="str">
        <f aca="false">IF(Estimates!G73="","","("&amp;TEXT(Estimates!G73,"0.00")&amp;")")</f>
        <v>(-0.54)</v>
      </c>
      <c r="F30" s="8" t="str">
        <f aca="false">IF(Estimates!G74="","","("&amp;TEXT(Estimates!G74,"0.00")&amp;")")</f>
        <v>(0.24)</v>
      </c>
      <c r="G30" s="8" t="str">
        <f aca="false">IF(Estimates!G75="","","("&amp;TEXT(Estimates!G75,"0.00")&amp;")")</f>
        <v>(0.26)</v>
      </c>
    </row>
    <row r="31" customFormat="false" ht="15" hidden="false" customHeight="false" outlineLevel="0" collapsed="false">
      <c r="A31" s="7" t="s">
        <v>22</v>
      </c>
      <c r="B31" s="8" t="str">
        <f aca="false">IF(Estimates!H76="","n/a",TEXT(Estimates!D76,"0.000")&amp;IF(Estimates!H76&lt;0.01,"***",IF(Estimates!H76&lt;0.05,"**",IF(Estimates!H76&lt;0.1,"*",""))))</f>
        <v>0.113</v>
      </c>
      <c r="C31" s="8" t="str">
        <f aca="false">IF(Estimates!H77="","n/a",TEXT(Estimates!D77,"0.000")&amp;IF(Estimates!H77&lt;0.01,"***",IF(Estimates!H77&lt;0.05,"**",IF(Estimates!H77&lt;0.1,"*",""))))</f>
        <v>0.142</v>
      </c>
      <c r="F31" s="8" t="str">
        <f aca="false">IF(Estimates!H78="","n/a",TEXT(Estimates!D78,"0.000")&amp;IF(Estimates!H78&lt;0.01,"***",IF(Estimates!H78&lt;0.05,"**",IF(Estimates!H78&lt;0.1,"*",""))))</f>
        <v>0.153</v>
      </c>
      <c r="G31" s="8" t="str">
        <f aca="false">IF(Estimates!H79="","n/a",TEXT(Estimates!D79,"0.000")&amp;IF(Estimates!H79&lt;0.01,"***",IF(Estimates!H79&lt;0.05,"**",IF(Estimates!H79&lt;0.1,"*",""))))</f>
        <v>0.139</v>
      </c>
    </row>
    <row r="32" customFormat="false" ht="15" hidden="false" customHeight="false" outlineLevel="0" collapsed="false">
      <c r="B32" s="8" t="str">
        <f aca="false">IF(Estimates!G76="","","("&amp;TEXT(Estimates!G76,"0.00")&amp;")")</f>
        <v>(0.76)</v>
      </c>
      <c r="C32" s="8" t="str">
        <f aca="false">IF(Estimates!G77="","","("&amp;TEXT(Estimates!G77,"0.00")&amp;")")</f>
        <v>(1.00)</v>
      </c>
      <c r="F32" s="8" t="str">
        <f aca="false">IF(Estimates!G78="","","("&amp;TEXT(Estimates!G78,"0.00")&amp;")")</f>
        <v>(1.11)</v>
      </c>
      <c r="G32" s="8" t="str">
        <f aca="false">IF(Estimates!G79="","","("&amp;TEXT(Estimates!G79,"0.00")&amp;")")</f>
        <v>(1.02)</v>
      </c>
    </row>
    <row r="33" customFormat="false" ht="15" hidden="false" customHeight="false" outlineLevel="0" collapsed="false">
      <c r="A33" s="7" t="s">
        <v>23</v>
      </c>
      <c r="C33" s="8" t="str">
        <f aca="false">IF(Estimates!H80="","n/a",TEXT(Estimates!D80,"0.000")&amp;IF(Estimates!H80&lt;0.01,"***",IF(Estimates!H80&lt;0.05,"**",IF(Estimates!H80&lt;0.1,"*",""))))</f>
        <v>-0.402</v>
      </c>
      <c r="D33" s="8" t="str">
        <f aca="false">IF(Estimates!H81="","n/a",TEXT(Estimates!D81,"0.000")&amp;IF(Estimates!H81&lt;0.01,"***",IF(Estimates!H81&lt;0.05,"**",IF(Estimates!H81&lt;0.1,"*",""))))</f>
        <v>0.786</v>
      </c>
      <c r="E33" s="8" t="str">
        <f aca="false">IF(Estimates!H82="","n/a",TEXT(Estimates!D82,"0.000")&amp;IF(Estimates!H82&lt;0.01,"***",IF(Estimates!H82&lt;0.05,"**",IF(Estimates!H82&lt;0.1,"*",""))))</f>
        <v>0.855</v>
      </c>
      <c r="F33" s="8" t="str">
        <f aca="false">IF(Estimates!H83="","n/a",TEXT(Estimates!D83,"0.000")&amp;IF(Estimates!H83&lt;0.01,"***",IF(Estimates!H83&lt;0.05,"**",IF(Estimates!H83&lt;0.1,"*",""))))</f>
        <v>-0.293</v>
      </c>
      <c r="G33" s="8" t="str">
        <f aca="false">IF(Estimates!H84="","n/a",TEXT(Estimates!D84,"0.000")&amp;IF(Estimates!H84&lt;0.01,"***",IF(Estimates!H84&lt;0.05,"**",IF(Estimates!H84&lt;0.1,"*",""))))</f>
        <v>-0.338</v>
      </c>
    </row>
    <row r="34" customFormat="false" ht="15" hidden="false" customHeight="false" outlineLevel="0" collapsed="false">
      <c r="C34" s="8" t="str">
        <f aca="false">IF(Estimates!G80="","","("&amp;TEXT(Estimates!G80,"0.00")&amp;")")</f>
        <v>(-0.76)</v>
      </c>
      <c r="D34" s="8" t="str">
        <f aca="false">IF(Estimates!G81="","","("&amp;TEXT(Estimates!G81,"0.00")&amp;")")</f>
        <v>(1.24)</v>
      </c>
      <c r="E34" s="8" t="str">
        <f aca="false">IF(Estimates!G82="","","("&amp;TEXT(Estimates!G82,"0.00")&amp;")")</f>
        <v>(1.28)</v>
      </c>
      <c r="F34" s="8" t="str">
        <f aca="false">IF(Estimates!G83="","","("&amp;TEXT(Estimates!G83,"0.00")&amp;")")</f>
        <v>(-0.54)</v>
      </c>
      <c r="G34" s="8" t="str">
        <f aca="false">IF(Estimates!G84="","","("&amp;TEXT(Estimates!G84,"0.00")&amp;")")</f>
        <v>(-0.62)</v>
      </c>
    </row>
    <row r="35" customFormat="false" ht="15" hidden="false" customHeight="false" outlineLevel="0" collapsed="false">
      <c r="A35" s="7" t="s">
        <v>24</v>
      </c>
      <c r="C35" s="8" t="str">
        <f aca="false">IF(Estimates!H85="","n/a",TEXT(Estimates!D85,"0.000")&amp;IF(Estimates!H85&lt;0.01,"***",IF(Estimates!H85&lt;0.05,"**",IF(Estimates!H85&lt;0.1,"*",""))))</f>
        <v>0.038</v>
      </c>
      <c r="D35" s="8" t="str">
        <f aca="false">IF(Estimates!H86="","n/a",TEXT(Estimates!D86,"0.000")&amp;IF(Estimates!H86&lt;0.01,"***",IF(Estimates!H86&lt;0.05,"**",IF(Estimates!H86&lt;0.1,"*",""))))</f>
        <v>0.007</v>
      </c>
      <c r="E35" s="8" t="str">
        <f aca="false">IF(Estimates!H87="","n/a",TEXT(Estimates!D87,"0.000")&amp;IF(Estimates!H87&lt;0.01,"***",IF(Estimates!H87&lt;0.05,"**",IF(Estimates!H87&lt;0.1,"*",""))))</f>
        <v>-0.012</v>
      </c>
      <c r="F35" s="8" t="str">
        <f aca="false">IF(Estimates!H88="","n/a",TEXT(Estimates!D88,"0.000")&amp;IF(Estimates!H88&lt;0.01,"***",IF(Estimates!H88&lt;0.05,"**",IF(Estimates!H88&lt;0.1,"*",""))))</f>
        <v>0.056</v>
      </c>
      <c r="G35" s="8" t="str">
        <f aca="false">IF(Estimates!H89="","n/a",TEXT(Estimates!D89,"0.000")&amp;IF(Estimates!H89&lt;0.01,"***",IF(Estimates!H89&lt;0.05,"**",IF(Estimates!H89&lt;0.1,"*",""))))</f>
        <v>0.057</v>
      </c>
    </row>
    <row r="36" customFormat="false" ht="15" hidden="false" customHeight="false" outlineLevel="0" collapsed="false">
      <c r="C36" s="8" t="str">
        <f aca="false">IF(Estimates!G85="","","("&amp;TEXT(Estimates!G85,"0.00")&amp;")")</f>
        <v>(0.40)</v>
      </c>
      <c r="D36" s="8" t="str">
        <f aca="false">IF(Estimates!G86="","","("&amp;TEXT(Estimates!G86,"0.00")&amp;")")</f>
        <v>(0.07)</v>
      </c>
      <c r="E36" s="8" t="str">
        <f aca="false">IF(Estimates!G87="","","("&amp;TEXT(Estimates!G87,"0.00")&amp;")")</f>
        <v>(-0.10)</v>
      </c>
      <c r="F36" s="8" t="str">
        <f aca="false">IF(Estimates!G88="","","("&amp;TEXT(Estimates!G88,"0.00")&amp;")")</f>
        <v>(0.61)</v>
      </c>
      <c r="G36" s="8" t="str">
        <f aca="false">IF(Estimates!G89="","","("&amp;TEXT(Estimates!G89,"0.00")&amp;")")</f>
        <v>(0.62)</v>
      </c>
    </row>
    <row r="37" customFormat="false" ht="15" hidden="false" customHeight="false" outlineLevel="0" collapsed="false">
      <c r="A37" s="7" t="s">
        <v>25</v>
      </c>
      <c r="C37" s="8" t="str">
        <f aca="false">IF(Estimates!H90="","n/a",TEXT(Estimates!D90,"0.000")&amp;IF(Estimates!H90&lt;0.01,"***",IF(Estimates!H90&lt;0.05,"**",IF(Estimates!H90&lt;0.1,"*",""))))</f>
        <v>0.037</v>
      </c>
      <c r="D37" s="8" t="str">
        <f aca="false">IF(Estimates!H91="","n/a",TEXT(Estimates!D91,"0.000")&amp;IF(Estimates!H91&lt;0.01,"***",IF(Estimates!H91&lt;0.05,"**",IF(Estimates!H91&lt;0.1,"*",""))))</f>
        <v>-0.043</v>
      </c>
      <c r="E37" s="8" t="str">
        <f aca="false">IF(Estimates!H92="","n/a",TEXT(Estimates!D92,"0.000")&amp;IF(Estimates!H92&lt;0.01,"***",IF(Estimates!H92&lt;0.05,"**",IF(Estimates!H92&lt;0.1,"*",""))))</f>
        <v>-0.006</v>
      </c>
      <c r="F37" s="8" t="str">
        <f aca="false">IF(Estimates!H93="","n/a",TEXT(Estimates!D93,"0.000")&amp;IF(Estimates!H93&lt;0.01,"***",IF(Estimates!H93&lt;0.05,"**",IF(Estimates!H93&lt;0.1,"*",""))))</f>
        <v>-0.064</v>
      </c>
      <c r="G37" s="8" t="str">
        <f aca="false">IF(Estimates!H94="","n/a",TEXT(Estimates!D94,"0.000")&amp;IF(Estimates!H94&lt;0.01,"***",IF(Estimates!H94&lt;0.05,"**",IF(Estimates!H94&lt;0.1,"*",""))))</f>
        <v>-0.036</v>
      </c>
    </row>
    <row r="38" customFormat="false" ht="15" hidden="false" customHeight="false" outlineLevel="0" collapsed="false">
      <c r="C38" s="8" t="str">
        <f aca="false">IF(Estimates!G90="","","("&amp;TEXT(Estimates!G90,"0.00")&amp;")")</f>
        <v>(0.36)</v>
      </c>
      <c r="D38" s="8" t="str">
        <f aca="false">IF(Estimates!G91="","","("&amp;TEXT(Estimates!G91,"0.00")&amp;")")</f>
        <v>(-0.26)</v>
      </c>
      <c r="E38" s="8" t="str">
        <f aca="false">IF(Estimates!G92="","","("&amp;TEXT(Estimates!G92,"0.00")&amp;")")</f>
        <v>(-0.04)</v>
      </c>
      <c r="F38" s="8" t="str">
        <f aca="false">IF(Estimates!G93="","","("&amp;TEXT(Estimates!G93,"0.00")&amp;")")</f>
        <v>(-0.79)</v>
      </c>
      <c r="G38" s="8" t="str">
        <f aca="false">IF(Estimates!G94="","","("&amp;TEXT(Estimates!G94,"0.00")&amp;")")</f>
        <v>(-0.48)</v>
      </c>
    </row>
    <row r="39" customFormat="false" ht="15" hidden="false" customHeight="false" outlineLevel="0" collapsed="false">
      <c r="A39" s="7" t="s">
        <v>26</v>
      </c>
      <c r="C39" s="8" t="str">
        <f aca="false">IF(Estimates!H95="","n/a",TEXT(Estimates!D95,"0.000")&amp;IF(Estimates!H95&lt;0.01,"***",IF(Estimates!H95&lt;0.05,"**",IF(Estimates!H95&lt;0.1,"*",""))))</f>
        <v>-0.116</v>
      </c>
      <c r="D39" s="8" t="str">
        <f aca="false">IF(Estimates!H96="","n/a",TEXT(Estimates!D96,"0.000")&amp;IF(Estimates!H96&lt;0.01,"***",IF(Estimates!H96&lt;0.05,"**",IF(Estimates!H96&lt;0.1,"*",""))))</f>
        <v>0.258</v>
      </c>
      <c r="E39" s="8" t="str">
        <f aca="false">IF(Estimates!H97="","n/a",TEXT(Estimates!D97,"0.000")&amp;IF(Estimates!H97&lt;0.01,"***",IF(Estimates!H97&lt;0.05,"**",IF(Estimates!H97&lt;0.1,"*",""))))</f>
        <v>0.310</v>
      </c>
      <c r="F39" s="8" t="str">
        <f aca="false">IF(Estimates!H98="","n/a",TEXT(Estimates!D98,"0.000")&amp;IF(Estimates!H98&lt;0.01,"***",IF(Estimates!H98&lt;0.05,"**",IF(Estimates!H98&lt;0.1,"*",""))))</f>
        <v>-0.074</v>
      </c>
      <c r="G39" s="8" t="str">
        <f aca="false">IF(Estimates!H99="","n/a",TEXT(Estimates!D99,"0.000")&amp;IF(Estimates!H99&lt;0.01,"***",IF(Estimates!H99&lt;0.05,"**",IF(Estimates!H99&lt;0.1,"*",""))))</f>
        <v>-0.082</v>
      </c>
    </row>
    <row r="40" customFormat="false" ht="15" hidden="false" customHeight="false" outlineLevel="0" collapsed="false">
      <c r="C40" s="8" t="str">
        <f aca="false">IF(Estimates!G95="","","("&amp;TEXT(Estimates!G95,"0.00")&amp;")")</f>
        <v>(-0.83)</v>
      </c>
      <c r="D40" s="8" t="str">
        <f aca="false">IF(Estimates!G96="","","("&amp;TEXT(Estimates!G96,"0.00")&amp;")")</f>
        <v>(1.12)</v>
      </c>
      <c r="E40" s="8" t="str">
        <f aca="false">IF(Estimates!G97="","","("&amp;TEXT(Estimates!G97,"0.00")&amp;")")</f>
        <v>(1.37)</v>
      </c>
      <c r="F40" s="8" t="str">
        <f aca="false">IF(Estimates!G98="","","("&amp;TEXT(Estimates!G98,"0.00")&amp;")")</f>
        <v>(-0.58)</v>
      </c>
      <c r="G40" s="8" t="str">
        <f aca="false">IF(Estimates!G99="","","("&amp;TEXT(Estimates!G99,"0.00")&amp;")")</f>
        <v>(-0.63)</v>
      </c>
    </row>
    <row r="41" customFormat="false" ht="15" hidden="false" customHeight="false" outlineLevel="0" collapsed="false">
      <c r="A41" s="7" t="s">
        <v>27</v>
      </c>
      <c r="C41" s="8" t="str">
        <f aca="false">IF(Estimates!H100="","n/a",TEXT(Estimates!D100,"0.000")&amp;IF(Estimates!H100&lt;0.01,"***",IF(Estimates!H100&lt;0.05,"**",IF(Estimates!H100&lt;0.1,"*",""))))</f>
        <v>0.267*</v>
      </c>
      <c r="D41" s="8" t="str">
        <f aca="false">IF(Estimates!H101="","n/a",TEXT(Estimates!D101,"0.000")&amp;IF(Estimates!H101&lt;0.01,"***",IF(Estimates!H101&lt;0.05,"**",IF(Estimates!H101&lt;0.1,"*",""))))</f>
        <v>-0.277</v>
      </c>
      <c r="E41" s="8" t="str">
        <f aca="false">IF(Estimates!H102="","n/a",TEXT(Estimates!D102,"0.000")&amp;IF(Estimates!H102&lt;0.01,"***",IF(Estimates!H102&lt;0.05,"**",IF(Estimates!H102&lt;0.1,"*",""))))</f>
        <v>-0.199</v>
      </c>
      <c r="F41" s="8" t="str">
        <f aca="false">IF(Estimates!H103="","n/a",TEXT(Estimates!D103,"0.000")&amp;IF(Estimates!H103&lt;0.01,"***",IF(Estimates!H103&lt;0.05,"**",IF(Estimates!H103&lt;0.1,"*",""))))</f>
        <v>0.276**</v>
      </c>
      <c r="G41" s="8" t="str">
        <f aca="false">IF(Estimates!H104="","n/a",TEXT(Estimates!D104,"0.000")&amp;IF(Estimates!H104&lt;0.01,"***",IF(Estimates!H104&lt;0.05,"**",IF(Estimates!H104&lt;0.1,"*",""))))</f>
        <v>0.272**</v>
      </c>
    </row>
    <row r="42" customFormat="false" ht="15" hidden="false" customHeight="false" outlineLevel="0" collapsed="false">
      <c r="C42" s="8" t="str">
        <f aca="false">IF(Estimates!G100="","","("&amp;TEXT(Estimates!G100,"0.00")&amp;")")</f>
        <v>(2.04)</v>
      </c>
      <c r="D42" s="8" t="str">
        <f aca="false">IF(Estimates!G101="","","("&amp;TEXT(Estimates!G101,"0.00")&amp;")")</f>
        <v>(-0.33)</v>
      </c>
      <c r="E42" s="8" t="str">
        <f aca="false">IF(Estimates!G102="","","("&amp;TEXT(Estimates!G102,"0.00")&amp;")")</f>
        <v>(-0.20)</v>
      </c>
      <c r="F42" s="8" t="str">
        <f aca="false">IF(Estimates!G103="","","("&amp;TEXT(Estimates!G103,"0.00")&amp;")")</f>
        <v>(2.20)</v>
      </c>
      <c r="G42" s="8" t="str">
        <f aca="false">IF(Estimates!G104="","","("&amp;TEXT(Estimates!G104,"0.00")&amp;")")</f>
        <v>(2.16)</v>
      </c>
    </row>
    <row r="43" customFormat="false" ht="15" hidden="false" customHeight="false" outlineLevel="0" collapsed="false">
      <c r="A43" s="7" t="s">
        <v>28</v>
      </c>
      <c r="C43" s="8" t="str">
        <f aca="false">IF(Estimates!H105="","n/a",TEXT(Estimates!D105,"0.000")&amp;IF(Estimates!H105&lt;0.01,"***",IF(Estimates!H105&lt;0.05,"**",IF(Estimates!H105&lt;0.1,"*",""))))</f>
        <v>-0.357</v>
      </c>
      <c r="D43" s="8" t="str">
        <f aca="false">IF(Estimates!H106="","n/a",TEXT(Estimates!D106,"0.000")&amp;IF(Estimates!H106&lt;0.01,"***",IF(Estimates!H106&lt;0.05,"**",IF(Estimates!H106&lt;0.1,"*",""))))</f>
        <v>-0.065</v>
      </c>
      <c r="E43" s="8" t="str">
        <f aca="false">IF(Estimates!H107="","n/a",TEXT(Estimates!D107,"0.000")&amp;IF(Estimates!H107&lt;0.01,"***",IF(Estimates!H107&lt;0.05,"**",IF(Estimates!H107&lt;0.1,"*",""))))</f>
        <v>-0.448</v>
      </c>
      <c r="F43" s="8" t="str">
        <f aca="false">IF(Estimates!H108="","n/a",TEXT(Estimates!D108,"0.000")&amp;IF(Estimates!H108&lt;0.01,"***",IF(Estimates!H108&lt;0.05,"**",IF(Estimates!H108&lt;0.1,"*",""))))</f>
        <v>-0.353</v>
      </c>
      <c r="G43" s="8" t="str">
        <f aca="false">IF(Estimates!H109="","n/a",TEXT(Estimates!D109,"0.000")&amp;IF(Estimates!H109&lt;0.01,"***",IF(Estimates!H109&lt;0.05,"**",IF(Estimates!H109&lt;0.1,"*",""))))</f>
        <v>-0.355</v>
      </c>
    </row>
    <row r="44" customFormat="false" ht="15" hidden="false" customHeight="false" outlineLevel="0" collapsed="false">
      <c r="C44" s="8" t="str">
        <f aca="false">IF(Estimates!G105="","","("&amp;TEXT(Estimates!G105,"0.00")&amp;")")</f>
        <v>(-1.50)</v>
      </c>
      <c r="D44" s="8" t="str">
        <f aca="false">IF(Estimates!G106="","","("&amp;TEXT(Estimates!G106,"0.00")&amp;")")</f>
        <v>(-0.04)</v>
      </c>
      <c r="E44" s="8" t="str">
        <f aca="false">IF(Estimates!G107="","","("&amp;TEXT(Estimates!G107,"0.00")&amp;")")</f>
        <v>(-0.27)</v>
      </c>
      <c r="F44" s="8" t="str">
        <f aca="false">IF(Estimates!G108="","","("&amp;TEXT(Estimates!G108,"0.00")&amp;")")</f>
        <v>(-1.48)</v>
      </c>
      <c r="G44" s="8" t="str">
        <f aca="false">IF(Estimates!G109="","","("&amp;TEXT(Estimates!G109,"0.00")&amp;")")</f>
        <v>(-1.47)</v>
      </c>
    </row>
    <row r="46" customFormat="false" ht="15" hidden="false" customHeight="false" outlineLevel="0" collapsed="false">
      <c r="A46" s="7" t="s">
        <v>29</v>
      </c>
      <c r="B46" s="9" t="n">
        <v>1727</v>
      </c>
      <c r="C46" s="9" t="n">
        <v>1483</v>
      </c>
      <c r="D46" s="9" t="n">
        <v>1482</v>
      </c>
      <c r="E46" s="9" t="n">
        <v>1482</v>
      </c>
      <c r="F46" s="9" t="n">
        <v>1483</v>
      </c>
      <c r="G46" s="9" t="n">
        <v>1483</v>
      </c>
    </row>
    <row r="47" customFormat="false" ht="15" hidden="false" customHeight="false" outlineLevel="0" collapsed="false">
      <c r="A47" s="7" t="s">
        <v>30</v>
      </c>
      <c r="B47" s="10" t="n">
        <v>0.0496840356224031</v>
      </c>
      <c r="C47" s="10" t="n">
        <v>0.0593981013806633</v>
      </c>
      <c r="D47" s="10" t="n">
        <v>0.0811821814459482</v>
      </c>
      <c r="E47" s="10" t="n">
        <v>0.0956420677668662</v>
      </c>
      <c r="F47" s="10" t="n">
        <v>0.0555249057485127</v>
      </c>
      <c r="G47" s="10" t="n">
        <v>0.0567094976727539</v>
      </c>
    </row>
    <row r="48" customFormat="false" ht="15" hidden="false" customHeight="false" outlineLevel="0" collapsed="false">
      <c r="A48" s="7" t="s">
        <v>31</v>
      </c>
      <c r="B48" s="11" t="s">
        <v>32</v>
      </c>
      <c r="C48" s="11" t="s">
        <v>32</v>
      </c>
      <c r="D48" s="11" t="s">
        <v>33</v>
      </c>
      <c r="E48" s="11" t="s">
        <v>33</v>
      </c>
      <c r="F48" s="11" t="s">
        <v>32</v>
      </c>
      <c r="G48" s="11" t="s">
        <v>32</v>
      </c>
    </row>
    <row r="49" customFormat="false" ht="15" hidden="false" customHeight="false" outlineLevel="0" collapsed="false">
      <c r="A49" s="7" t="s">
        <v>34</v>
      </c>
      <c r="B49" s="11" t="s">
        <v>33</v>
      </c>
      <c r="C49" s="11" t="s">
        <v>33</v>
      </c>
      <c r="D49" s="11" t="s">
        <v>32</v>
      </c>
      <c r="E49" s="11" t="s">
        <v>33</v>
      </c>
      <c r="F49" s="11" t="s">
        <v>33</v>
      </c>
      <c r="G49" s="11" t="s">
        <v>33</v>
      </c>
    </row>
    <row r="50" customFormat="false" ht="15" hidden="false" customHeight="false" outlineLevel="0" collapsed="false">
      <c r="A50" s="12" t="s">
        <v>35</v>
      </c>
      <c r="B50" s="6"/>
      <c r="C50" s="6"/>
      <c r="D50" s="6"/>
      <c r="E50" s="6"/>
      <c r="F50" s="6" t="s">
        <v>36</v>
      </c>
      <c r="G50" s="6" t="s">
        <v>37</v>
      </c>
    </row>
    <row r="53" customFormat="false" ht="15" hidden="false" customHeight="false" outlineLevel="0" collapsed="false">
      <c r="A53" s="1" t="s">
        <v>38</v>
      </c>
    </row>
    <row r="54" customFormat="false" ht="15" hidden="false" customHeight="false" outlineLevel="0" collapsed="false">
      <c r="A54" s="3"/>
      <c r="B54" s="4" t="s">
        <v>3</v>
      </c>
      <c r="C54" s="4" t="s">
        <v>4</v>
      </c>
      <c r="D54" s="4" t="s">
        <v>5</v>
      </c>
      <c r="E54" s="4" t="s">
        <v>6</v>
      </c>
      <c r="F54" s="4" t="s">
        <v>7</v>
      </c>
      <c r="G54" s="4" t="s">
        <v>8</v>
      </c>
    </row>
    <row r="55" customFormat="false" ht="23.85" hidden="false" customHeight="false" outlineLevel="0" collapsed="false">
      <c r="A55" s="5"/>
      <c r="B55" s="6" t="s">
        <v>39</v>
      </c>
      <c r="C55" s="6" t="s">
        <v>39</v>
      </c>
      <c r="D55" s="6" t="s">
        <v>39</v>
      </c>
      <c r="E55" s="6" t="s">
        <v>39</v>
      </c>
      <c r="F55" s="6" t="s">
        <v>39</v>
      </c>
      <c r="G55" s="6" t="s">
        <v>39</v>
      </c>
    </row>
    <row r="56" customFormat="false" ht="15" hidden="false" customHeight="false" outlineLevel="0" collapsed="false">
      <c r="A56" s="7" t="s">
        <v>10</v>
      </c>
      <c r="B56" s="8" t="str">
        <f aca="false">IF(Estimates!H110="","n/a",TEXT(Estimates!D110,"0.000")&amp;IF(Estimates!H110&lt;0.01,"***",IF(Estimates!H110&lt;0.05,"**",IF(Estimates!H110&lt;0.1,"*",""))))</f>
        <v>-0.385**</v>
      </c>
      <c r="C56" s="8" t="str">
        <f aca="false">IF(Estimates!H111="","n/a",TEXT(Estimates!D111,"0.000")&amp;IF(Estimates!H111&lt;0.01,"***",IF(Estimates!H111&lt;0.05,"**",IF(Estimates!H111&lt;0.1,"*",""))))</f>
        <v>-0.491***</v>
      </c>
      <c r="D56" s="8" t="str">
        <f aca="false">IF(Estimates!H112="","n/a",TEXT(Estimates!D112,"0.000")&amp;IF(Estimates!H112&lt;0.01,"***",IF(Estimates!H112&lt;0.05,"**",IF(Estimates!H112&lt;0.1,"*",""))))</f>
        <v>-0.373**</v>
      </c>
      <c r="E56" s="8" t="str">
        <f aca="false">IF(Estimates!H113="","n/a",TEXT(Estimates!D113,"0.000")&amp;IF(Estimates!H113&lt;0.01,"***",IF(Estimates!H113&lt;0.05,"**",IF(Estimates!H113&lt;0.1,"*",""))))</f>
        <v>-0.411**</v>
      </c>
      <c r="F56" s="8" t="str">
        <f aca="false">IF(Estimates!H114="","n/a",TEXT(Estimates!D114,"0.000")&amp;IF(Estimates!H114&lt;0.01,"***",IF(Estimates!H114&lt;0.05,"**",IF(Estimates!H114&lt;0.1,"*",""))))</f>
        <v>-0.384*</v>
      </c>
      <c r="G56" s="8" t="str">
        <f aca="false">IF(Estimates!H115="","n/a",TEXT(Estimates!D115,"0.000")&amp;IF(Estimates!H115&lt;0.01,"***",IF(Estimates!H115&lt;0.05,"**",IF(Estimates!H115&lt;0.1,"*",""))))</f>
        <v>-0.441**</v>
      </c>
    </row>
    <row r="57" customFormat="false" ht="15" hidden="false" customHeight="false" outlineLevel="0" collapsed="false">
      <c r="B57" s="8" t="str">
        <f aca="false">IF(Estimates!G110="","","("&amp;TEXT(Estimates!G110,"0.00")&amp;")")</f>
        <v>(-2.46)</v>
      </c>
      <c r="C57" s="8" t="str">
        <f aca="false">IF(Estimates!G111="","","("&amp;TEXT(Estimates!G111,"0.00")&amp;")")</f>
        <v>(-4.15)</v>
      </c>
      <c r="D57" s="8" t="str">
        <f aca="false">IF(Estimates!G112="","","("&amp;TEXT(Estimates!G112,"0.00")&amp;")")</f>
        <v>(-2.23)</v>
      </c>
      <c r="E57" s="8" t="str">
        <f aca="false">IF(Estimates!G113="","","("&amp;TEXT(Estimates!G113,"0.00")&amp;")")</f>
        <v>(-2.15)</v>
      </c>
      <c r="F57" s="8" t="str">
        <f aca="false">IF(Estimates!G114="","","("&amp;TEXT(Estimates!G114,"0.00")&amp;")")</f>
        <v>(-1.84)</v>
      </c>
      <c r="G57" s="8" t="str">
        <f aca="false">IF(Estimates!G115="","","("&amp;TEXT(Estimates!G115,"0.00")&amp;")")</f>
        <v>(-2.36)</v>
      </c>
    </row>
    <row r="58" customFormat="false" ht="15" hidden="false" customHeight="false" outlineLevel="0" collapsed="false">
      <c r="A58" s="7" t="s">
        <v>11</v>
      </c>
      <c r="B58" s="8" t="str">
        <f aca="false">IF(Estimates!H116="","n/a",TEXT(Estimates!D116,"0.000")&amp;IF(Estimates!H116&lt;0.01,"***",IF(Estimates!H116&lt;0.05,"**",IF(Estimates!H116&lt;0.1,"*",""))))</f>
        <v>-0.003</v>
      </c>
      <c r="C58" s="8" t="str">
        <f aca="false">IF(Estimates!H117="","n/a",TEXT(Estimates!D117,"0.000")&amp;IF(Estimates!H117&lt;0.01,"***",IF(Estimates!H117&lt;0.05,"**",IF(Estimates!H117&lt;0.1,"*",""))))</f>
        <v>-0.012</v>
      </c>
      <c r="D58" s="8" t="str">
        <f aca="false">IF(Estimates!H118="","n/a",TEXT(Estimates!D118,"0.000")&amp;IF(Estimates!H118&lt;0.01,"***",IF(Estimates!H118&lt;0.05,"**",IF(Estimates!H118&lt;0.1,"*",""))))</f>
        <v>0.006</v>
      </c>
      <c r="E58" s="8" t="str">
        <f aca="false">IF(Estimates!H119="","n/a",TEXT(Estimates!D119,"0.000")&amp;IF(Estimates!H119&lt;0.01,"***",IF(Estimates!H119&lt;0.05,"**",IF(Estimates!H119&lt;0.1,"*",""))))</f>
        <v>-0.017</v>
      </c>
      <c r="F58" s="8" t="str">
        <f aca="false">IF(Estimates!H120="","n/a",TEXT(Estimates!D120,"0.000")&amp;IF(Estimates!H120&lt;0.01,"***",IF(Estimates!H120&lt;0.05,"**",IF(Estimates!H120&lt;0.1,"*",""))))</f>
        <v>-0.012</v>
      </c>
      <c r="G58" s="8" t="str">
        <f aca="false">IF(Estimates!H121="","n/a",TEXT(Estimates!D121,"0.000")&amp;IF(Estimates!H121&lt;0.01,"***",IF(Estimates!H121&lt;0.05,"**",IF(Estimates!H121&lt;0.1,"*",""))))</f>
        <v>-0.012</v>
      </c>
    </row>
    <row r="59" customFormat="false" ht="15" hidden="false" customHeight="false" outlineLevel="0" collapsed="false">
      <c r="B59" s="8" t="str">
        <f aca="false">IF(Estimates!G116="","","("&amp;TEXT(Estimates!G116,"0.00")&amp;")")</f>
        <v>(-0.20)</v>
      </c>
      <c r="C59" s="8" t="str">
        <f aca="false">IF(Estimates!G117="","","("&amp;TEXT(Estimates!G117,"0.00")&amp;")")</f>
        <v>(-0.59)</v>
      </c>
      <c r="D59" s="8" t="str">
        <f aca="false">IF(Estimates!G118="","","("&amp;TEXT(Estimates!G118,"0.00")&amp;")")</f>
        <v>(0.34)</v>
      </c>
      <c r="E59" s="8" t="str">
        <f aca="false">IF(Estimates!G119="","","("&amp;TEXT(Estimates!G119,"0.00")&amp;")")</f>
        <v>(-1.01)</v>
      </c>
      <c r="F59" s="8" t="str">
        <f aca="false">IF(Estimates!G120="","","("&amp;TEXT(Estimates!G120,"0.00")&amp;")")</f>
        <v>(-0.64)</v>
      </c>
      <c r="G59" s="8" t="str">
        <f aca="false">IF(Estimates!G121="","","("&amp;TEXT(Estimates!G121,"0.00")&amp;")")</f>
        <v>(-0.64)</v>
      </c>
    </row>
    <row r="60" customFormat="false" ht="15" hidden="false" customHeight="false" outlineLevel="0" collapsed="false">
      <c r="A60" s="7" t="s">
        <v>12</v>
      </c>
      <c r="B60" s="8" t="str">
        <f aca="false">IF(Estimates!H122="","n/a",TEXT(Estimates!D122,"0.000")&amp;IF(Estimates!H122&lt;0.01,"***",IF(Estimates!H122&lt;0.05,"**",IF(Estimates!H122&lt;0.1,"*",""))))</f>
        <v>-0.045</v>
      </c>
      <c r="C60" s="8" t="str">
        <f aca="false">IF(Estimates!H123="","n/a",TEXT(Estimates!D123,"0.000")&amp;IF(Estimates!H123&lt;0.01,"***",IF(Estimates!H123&lt;0.05,"**",IF(Estimates!H123&lt;0.1,"*",""))))</f>
        <v>0.005</v>
      </c>
      <c r="D60" s="8" t="str">
        <f aca="false">IF(Estimates!H124="","n/a",TEXT(Estimates!D124,"0.000")&amp;IF(Estimates!H124&lt;0.01,"***",IF(Estimates!H124&lt;0.05,"**",IF(Estimates!H124&lt;0.1,"*",""))))</f>
        <v>-1.142*</v>
      </c>
      <c r="E60" s="8" t="str">
        <f aca="false">IF(Estimates!H125="","n/a",TEXT(Estimates!D125,"0.000")&amp;IF(Estimates!H125&lt;0.01,"***",IF(Estimates!H125&lt;0.05,"**",IF(Estimates!H125&lt;0.1,"*",""))))</f>
        <v>-0.288</v>
      </c>
      <c r="F60" s="8" t="str">
        <f aca="false">IF(Estimates!H126="","n/a",TEXT(Estimates!D126,"0.000")&amp;IF(Estimates!H126&lt;0.01,"***",IF(Estimates!H126&lt;0.05,"**",IF(Estimates!H126&lt;0.1,"*",""))))</f>
        <v>0.010</v>
      </c>
      <c r="G60" s="8" t="str">
        <f aca="false">IF(Estimates!H127="","n/a",TEXT(Estimates!D127,"0.000")&amp;IF(Estimates!H127&lt;0.01,"***",IF(Estimates!H127&lt;0.05,"**",IF(Estimates!H127&lt;0.1,"*",""))))</f>
        <v>0.007</v>
      </c>
    </row>
    <row r="61" customFormat="false" ht="15" hidden="false" customHeight="false" outlineLevel="0" collapsed="false">
      <c r="B61" s="8" t="str">
        <f aca="false">IF(Estimates!G122="","","("&amp;TEXT(Estimates!G122,"0.00")&amp;")")</f>
        <v>(-1.15)</v>
      </c>
      <c r="C61" s="8" t="str">
        <f aca="false">IF(Estimates!G123="","","("&amp;TEXT(Estimates!G123,"0.00")&amp;")")</f>
        <v>(0.10)</v>
      </c>
      <c r="D61" s="8" t="str">
        <f aca="false">IF(Estimates!G124="","","("&amp;TEXT(Estimates!G124,"0.00")&amp;")")</f>
        <v>(-1.82)</v>
      </c>
      <c r="E61" s="8" t="str">
        <f aca="false">IF(Estimates!G125="","","("&amp;TEXT(Estimates!G125,"0.00")&amp;")")</f>
        <v>(-0.40)</v>
      </c>
      <c r="F61" s="8" t="str">
        <f aca="false">IF(Estimates!G126="","","("&amp;TEXT(Estimates!G126,"0.00")&amp;")")</f>
        <v>(0.20)</v>
      </c>
      <c r="G61" s="8" t="str">
        <f aca="false">IF(Estimates!G127="","","("&amp;TEXT(Estimates!G127,"0.00")&amp;")")</f>
        <v>(0.15)</v>
      </c>
    </row>
    <row r="62" customFormat="false" ht="15" hidden="false" customHeight="false" outlineLevel="0" collapsed="false">
      <c r="A62" s="7" t="s">
        <v>13</v>
      </c>
      <c r="B62" s="8" t="str">
        <f aca="false">IF(Estimates!H128="","n/a",TEXT(Estimates!D128,"0.000")&amp;IF(Estimates!H128&lt;0.01,"***",IF(Estimates!H128&lt;0.05,"**",IF(Estimates!H128&lt;0.1,"*",""))))</f>
        <v>0.003</v>
      </c>
      <c r="C62" s="8" t="str">
        <f aca="false">IF(Estimates!H129="","n/a",TEXT(Estimates!D129,"0.000")&amp;IF(Estimates!H129&lt;0.01,"***",IF(Estimates!H129&lt;0.05,"**",IF(Estimates!H129&lt;0.1,"*",""))))</f>
        <v>0.004</v>
      </c>
      <c r="D62" s="8" t="str">
        <f aca="false">IF(Estimates!H130="","n/a",TEXT(Estimates!D130,"0.000")&amp;IF(Estimates!H130&lt;0.01,"***",IF(Estimates!H130&lt;0.05,"**",IF(Estimates!H130&lt;0.1,"*",""))))</f>
        <v>-0.020</v>
      </c>
      <c r="E62" s="8" t="str">
        <f aca="false">IF(Estimates!H131="","n/a",TEXT(Estimates!D131,"0.000")&amp;IF(Estimates!H131&lt;0.01,"***",IF(Estimates!H131&lt;0.05,"**",IF(Estimates!H131&lt;0.1,"*",""))))</f>
        <v>-0.017</v>
      </c>
      <c r="F62" s="8" t="str">
        <f aca="false">IF(Estimates!H132="","n/a",TEXT(Estimates!D132,"0.000")&amp;IF(Estimates!H132&lt;0.01,"***",IF(Estimates!H132&lt;0.05,"**",IF(Estimates!H132&lt;0.1,"*",""))))</f>
        <v>0.004</v>
      </c>
      <c r="G62" s="8" t="str">
        <f aca="false">IF(Estimates!H133="","n/a",TEXT(Estimates!D133,"0.000")&amp;IF(Estimates!H133&lt;0.01,"***",IF(Estimates!H133&lt;0.05,"**",IF(Estimates!H133&lt;0.1,"*",""))))</f>
        <v>0.004</v>
      </c>
    </row>
    <row r="63" customFormat="false" ht="15" hidden="false" customHeight="false" outlineLevel="0" collapsed="false">
      <c r="B63" s="8" t="str">
        <f aca="false">IF(Estimates!G128="","","("&amp;TEXT(Estimates!G128,"0.00")&amp;")")</f>
        <v>(0.78)</v>
      </c>
      <c r="C63" s="8" t="str">
        <f aca="false">IF(Estimates!G129="","","("&amp;TEXT(Estimates!G129,"0.00")&amp;")")</f>
        <v>(0.81)</v>
      </c>
      <c r="D63" s="8" t="str">
        <f aca="false">IF(Estimates!G130="","","("&amp;TEXT(Estimates!G130,"0.00")&amp;")")</f>
        <v>(-1.54)</v>
      </c>
      <c r="E63" s="8" t="str">
        <f aca="false">IF(Estimates!G131="","","("&amp;TEXT(Estimates!G131,"0.00")&amp;")")</f>
        <v>(-1.52)</v>
      </c>
      <c r="F63" s="8" t="str">
        <f aca="false">IF(Estimates!G132="","","("&amp;TEXT(Estimates!G132,"0.00")&amp;")")</f>
        <v>(0.96)</v>
      </c>
      <c r="G63" s="8" t="str">
        <f aca="false">IF(Estimates!G133="","","("&amp;TEXT(Estimates!G133,"0.00")&amp;")")</f>
        <v>(0.96)</v>
      </c>
    </row>
    <row r="64" customFormat="false" ht="15" hidden="false" customHeight="false" outlineLevel="0" collapsed="false">
      <c r="A64" s="7" t="s">
        <v>14</v>
      </c>
      <c r="B64" s="8" t="str">
        <f aca="false">IF(Estimates!H134="","n/a",TEXT(Estimates!D134,"0.000")&amp;IF(Estimates!H134&lt;0.01,"***",IF(Estimates!H134&lt;0.05,"**",IF(Estimates!H134&lt;0.1,"*",""))))</f>
        <v>-0.174</v>
      </c>
      <c r="C64" s="8" t="str">
        <f aca="false">IF(Estimates!H135="","n/a",TEXT(Estimates!D135,"0.000")&amp;IF(Estimates!H135&lt;0.01,"***",IF(Estimates!H135&lt;0.05,"**",IF(Estimates!H135&lt;0.1,"*",""))))</f>
        <v>-0.017</v>
      </c>
      <c r="D64" s="8" t="str">
        <f aca="false">IF(Estimates!H136="","n/a",TEXT(Estimates!D136,"0.000")&amp;IF(Estimates!H136&lt;0.01,"***",IF(Estimates!H136&lt;0.05,"**",IF(Estimates!H136&lt;0.1,"*",""))))</f>
        <v>-0.019</v>
      </c>
      <c r="E64" s="8" t="str">
        <f aca="false">IF(Estimates!H137="","n/a",TEXT(Estimates!D137,"0.000")&amp;IF(Estimates!H137&lt;0.01,"***",IF(Estimates!H137&lt;0.05,"**",IF(Estimates!H137&lt;0.1,"*",""))))</f>
        <v>0.004</v>
      </c>
      <c r="F64" s="8" t="str">
        <f aca="false">IF(Estimates!H138="","n/a",TEXT(Estimates!D138,"0.000")&amp;IF(Estimates!H138&lt;0.01,"***",IF(Estimates!H138&lt;0.05,"**",IF(Estimates!H138&lt;0.1,"*",""))))</f>
        <v>0.013</v>
      </c>
      <c r="G64" s="8" t="str">
        <f aca="false">IF(Estimates!H139="","n/a",TEXT(Estimates!D139,"0.000")&amp;IF(Estimates!H139&lt;0.01,"***",IF(Estimates!H139&lt;0.05,"**",IF(Estimates!H139&lt;0.1,"*",""))))</f>
        <v>0.015</v>
      </c>
    </row>
    <row r="65" customFormat="false" ht="15" hidden="false" customHeight="false" outlineLevel="0" collapsed="false">
      <c r="B65" s="8" t="str">
        <f aca="false">IF(Estimates!G134="","","("&amp;TEXT(Estimates!G134,"0.00")&amp;")")</f>
        <v>(-1.31)</v>
      </c>
      <c r="C65" s="8" t="str">
        <f aca="false">IF(Estimates!G135="","","("&amp;TEXT(Estimates!G135,"0.00")&amp;")")</f>
        <v>(-0.14)</v>
      </c>
      <c r="D65" s="8" t="str">
        <f aca="false">IF(Estimates!G136="","","("&amp;TEXT(Estimates!G136,"0.00")&amp;")")</f>
        <v>(-0.11)</v>
      </c>
      <c r="E65" s="8" t="str">
        <f aca="false">IF(Estimates!G137="","","("&amp;TEXT(Estimates!G137,"0.00")&amp;")")</f>
        <v>(0.02)</v>
      </c>
      <c r="F65" s="8" t="str">
        <f aca="false">IF(Estimates!G138="","","("&amp;TEXT(Estimates!G138,"0.00")&amp;")")</f>
        <v>(0.12)</v>
      </c>
      <c r="G65" s="8" t="str">
        <f aca="false">IF(Estimates!G139="","","("&amp;TEXT(Estimates!G139,"0.00")&amp;")")</f>
        <v>(0.13)</v>
      </c>
    </row>
    <row r="66" customFormat="false" ht="15" hidden="false" customHeight="false" outlineLevel="0" collapsed="false">
      <c r="A66" s="7" t="s">
        <v>15</v>
      </c>
      <c r="B66" s="8" t="str">
        <f aca="false">IF(Estimates!H140="","n/a",TEXT(Estimates!D140,"0.000")&amp;IF(Estimates!H140&lt;0.01,"***",IF(Estimates!H140&lt;0.05,"**",IF(Estimates!H140&lt;0.1,"*",""))))</f>
        <v>-0.162</v>
      </c>
      <c r="C66" s="8" t="str">
        <f aca="false">IF(Estimates!H141="","n/a",TEXT(Estimates!D141,"0.000")&amp;IF(Estimates!H141&lt;0.01,"***",IF(Estimates!H141&lt;0.05,"**",IF(Estimates!H141&lt;0.1,"*",""))))</f>
        <v>-0.013</v>
      </c>
      <c r="D66" s="8" t="str">
        <f aca="false">IF(Estimates!H142="","n/a",TEXT(Estimates!D142,"0.000")&amp;IF(Estimates!H142&lt;0.01,"***",IF(Estimates!H142&lt;0.05,"**",IF(Estimates!H142&lt;0.1,"*",""))))</f>
        <v>-0.036</v>
      </c>
      <c r="E66" s="8" t="str">
        <f aca="false">IF(Estimates!H143="","n/a",TEXT(Estimates!D143,"0.000")&amp;IF(Estimates!H143&lt;0.01,"***",IF(Estimates!H143&lt;0.05,"**",IF(Estimates!H143&lt;0.1,"*",""))))</f>
        <v>0.001</v>
      </c>
      <c r="F66" s="8" t="str">
        <f aca="false">IF(Estimates!H144="","n/a",TEXT(Estimates!D144,"0.000")&amp;IF(Estimates!H144&lt;0.01,"***",IF(Estimates!H144&lt;0.05,"**",IF(Estimates!H144&lt;0.1,"*",""))))</f>
        <v>0.017</v>
      </c>
      <c r="G66" s="8" t="str">
        <f aca="false">IF(Estimates!H145="","n/a",TEXT(Estimates!D145,"0.000")&amp;IF(Estimates!H145&lt;0.01,"***",IF(Estimates!H145&lt;0.05,"**",IF(Estimates!H145&lt;0.1,"*",""))))</f>
        <v>0.019</v>
      </c>
    </row>
    <row r="67" customFormat="false" ht="15" hidden="false" customHeight="false" outlineLevel="0" collapsed="false">
      <c r="B67" s="8" t="str">
        <f aca="false">IF(Estimates!G140="","","("&amp;TEXT(Estimates!G140,"0.00")&amp;")")</f>
        <v>(-1.21)</v>
      </c>
      <c r="C67" s="8" t="str">
        <f aca="false">IF(Estimates!G141="","","("&amp;TEXT(Estimates!G141,"0.00")&amp;")")</f>
        <v>(-0.11)</v>
      </c>
      <c r="D67" s="8" t="str">
        <f aca="false">IF(Estimates!G142="","","("&amp;TEXT(Estimates!G142,"0.00")&amp;")")</f>
        <v>(-0.20)</v>
      </c>
      <c r="E67" s="8" t="str">
        <f aca="false">IF(Estimates!G143="","","("&amp;TEXT(Estimates!G143,"0.00")&amp;")")</f>
        <v>(0.00)</v>
      </c>
      <c r="F67" s="8" t="str">
        <f aca="false">IF(Estimates!G144="","","("&amp;TEXT(Estimates!G144,"0.00")&amp;")")</f>
        <v>(0.15)</v>
      </c>
      <c r="G67" s="8" t="str">
        <f aca="false">IF(Estimates!G145="","","("&amp;TEXT(Estimates!G145,"0.00")&amp;")")</f>
        <v>(0.16)</v>
      </c>
    </row>
    <row r="68" customFormat="false" ht="15" hidden="false" customHeight="false" outlineLevel="0" collapsed="false">
      <c r="A68" s="7" t="s">
        <v>16</v>
      </c>
      <c r="B68" s="8" t="str">
        <f aca="false">IF(Estimates!H146="","n/a",TEXT(Estimates!D146,"0.000")&amp;IF(Estimates!H146&lt;0.01,"***",IF(Estimates!H146&lt;0.05,"**",IF(Estimates!H146&lt;0.1,"*",""))))</f>
        <v>-0.186</v>
      </c>
      <c r="C68" s="8" t="str">
        <f aca="false">IF(Estimates!H147="","n/a",TEXT(Estimates!D147,"0.000")&amp;IF(Estimates!H147&lt;0.01,"***",IF(Estimates!H147&lt;0.05,"**",IF(Estimates!H147&lt;0.1,"*",""))))</f>
        <v>-0.018</v>
      </c>
      <c r="D68" s="8" t="str">
        <f aca="false">IF(Estimates!H148="","n/a",TEXT(Estimates!D148,"0.000")&amp;IF(Estimates!H148&lt;0.01,"***",IF(Estimates!H148&lt;0.05,"**",IF(Estimates!H148&lt;0.1,"*",""))))</f>
        <v>-0.063</v>
      </c>
      <c r="E68" s="8" t="str">
        <f aca="false">IF(Estimates!H149="","n/a",TEXT(Estimates!D149,"0.000")&amp;IF(Estimates!H149&lt;0.01,"***",IF(Estimates!H149&lt;0.05,"**",IF(Estimates!H149&lt;0.1,"*",""))))</f>
        <v>-0.033</v>
      </c>
      <c r="F68" s="8" t="str">
        <f aca="false">IF(Estimates!H150="","n/a",TEXT(Estimates!D150,"0.000")&amp;IF(Estimates!H150&lt;0.01,"***",IF(Estimates!H150&lt;0.05,"**",IF(Estimates!H150&lt;0.1,"*",""))))</f>
        <v>0.014</v>
      </c>
      <c r="G68" s="8" t="str">
        <f aca="false">IF(Estimates!H151="","n/a",TEXT(Estimates!D151,"0.000")&amp;IF(Estimates!H151&lt;0.01,"***",IF(Estimates!H151&lt;0.05,"**",IF(Estimates!H151&lt;0.1,"*",""))))</f>
        <v>0.013</v>
      </c>
    </row>
    <row r="69" customFormat="false" ht="15" hidden="false" customHeight="false" outlineLevel="0" collapsed="false">
      <c r="B69" s="8" t="str">
        <f aca="false">IF(Estimates!G146="","","("&amp;TEXT(Estimates!G146,"0.00")&amp;")")</f>
        <v>(-1.50)</v>
      </c>
      <c r="C69" s="8" t="str">
        <f aca="false">IF(Estimates!G147="","","("&amp;TEXT(Estimates!G147,"0.00")&amp;")")</f>
        <v>(-0.17)</v>
      </c>
      <c r="D69" s="8" t="str">
        <f aca="false">IF(Estimates!G148="","","("&amp;TEXT(Estimates!G148,"0.00")&amp;")")</f>
        <v>(-0.36)</v>
      </c>
      <c r="E69" s="8" t="str">
        <f aca="false">IF(Estimates!G149="","","("&amp;TEXT(Estimates!G149,"0.00")&amp;")")</f>
        <v>(-0.19)</v>
      </c>
      <c r="F69" s="8" t="str">
        <f aca="false">IF(Estimates!G150="","","("&amp;TEXT(Estimates!G150,"0.00")&amp;")")</f>
        <v>(0.14)</v>
      </c>
      <c r="G69" s="8" t="str">
        <f aca="false">IF(Estimates!G151="","","("&amp;TEXT(Estimates!G151,"0.00")&amp;")")</f>
        <v>(0.13)</v>
      </c>
    </row>
    <row r="70" customFormat="false" ht="15" hidden="false" customHeight="false" outlineLevel="0" collapsed="false">
      <c r="A70" s="7" t="s">
        <v>17</v>
      </c>
      <c r="B70" s="8" t="str">
        <f aca="false">IF(Estimates!H152="","n/a",TEXT(Estimates!D152,"0.000")&amp;IF(Estimates!H152&lt;0.01,"***",IF(Estimates!H152&lt;0.05,"**",IF(Estimates!H152&lt;0.1,"*",""))))</f>
        <v>-0.162</v>
      </c>
      <c r="C70" s="8" t="str">
        <f aca="false">IF(Estimates!H153="","n/a",TEXT(Estimates!D153,"0.000")&amp;IF(Estimates!H153&lt;0.01,"***",IF(Estimates!H153&lt;0.05,"**",IF(Estimates!H153&lt;0.1,"*",""))))</f>
        <v>-0.004</v>
      </c>
      <c r="D70" s="8" t="str">
        <f aca="false">IF(Estimates!H154="","n/a",TEXT(Estimates!D154,"0.000")&amp;IF(Estimates!H154&lt;0.01,"***",IF(Estimates!H154&lt;0.05,"**",IF(Estimates!H154&lt;0.1,"*",""))))</f>
        <v>-0.040</v>
      </c>
      <c r="E70" s="8" t="str">
        <f aca="false">IF(Estimates!H155="","n/a",TEXT(Estimates!D155,"0.000")&amp;IF(Estimates!H155&lt;0.01,"***",IF(Estimates!H155&lt;0.05,"**",IF(Estimates!H155&lt;0.1,"*",""))))</f>
        <v>0.011</v>
      </c>
      <c r="F70" s="8" t="str">
        <f aca="false">IF(Estimates!H156="","n/a",TEXT(Estimates!D156,"0.000")&amp;IF(Estimates!H156&lt;0.01,"***",IF(Estimates!H156&lt;0.05,"**",IF(Estimates!H156&lt;0.1,"*",""))))</f>
        <v>0.025</v>
      </c>
      <c r="G70" s="8" t="str">
        <f aca="false">IF(Estimates!H157="","n/a",TEXT(Estimates!D157,"0.000")&amp;IF(Estimates!H157&lt;0.01,"***",IF(Estimates!H157&lt;0.05,"**",IF(Estimates!H157&lt;0.1,"*",""))))</f>
        <v>0.026</v>
      </c>
    </row>
    <row r="71" customFormat="false" ht="15" hidden="false" customHeight="false" outlineLevel="0" collapsed="false">
      <c r="B71" s="8" t="str">
        <f aca="false">IF(Estimates!G152="","","("&amp;TEXT(Estimates!G152,"0.00")&amp;")")</f>
        <v>(-1.23)</v>
      </c>
      <c r="C71" s="8" t="str">
        <f aca="false">IF(Estimates!G153="","","("&amp;TEXT(Estimates!G153,"0.00")&amp;")")</f>
        <v>(-0.04)</v>
      </c>
      <c r="D71" s="8" t="str">
        <f aca="false">IF(Estimates!G154="","","("&amp;TEXT(Estimates!G154,"0.00")&amp;")")</f>
        <v>(-0.23)</v>
      </c>
      <c r="E71" s="8" t="str">
        <f aca="false">IF(Estimates!G155="","","("&amp;TEXT(Estimates!G155,"0.00")&amp;")")</f>
        <v>(0.06)</v>
      </c>
      <c r="F71" s="8" t="str">
        <f aca="false">IF(Estimates!G156="","","("&amp;TEXT(Estimates!G156,"0.00")&amp;")")</f>
        <v>(0.23)</v>
      </c>
      <c r="G71" s="8" t="str">
        <f aca="false">IF(Estimates!G157="","","("&amp;TEXT(Estimates!G157,"0.00")&amp;")")</f>
        <v>(0.25)</v>
      </c>
    </row>
    <row r="72" customFormat="false" ht="15" hidden="false" customHeight="false" outlineLevel="0" collapsed="false">
      <c r="A72" s="7" t="s">
        <v>18</v>
      </c>
      <c r="B72" s="8" t="str">
        <f aca="false">IF(Estimates!H158="","n/a",TEXT(Estimates!D158,"0.000")&amp;IF(Estimates!H158&lt;0.01,"***",IF(Estimates!H158&lt;0.05,"**",IF(Estimates!H158&lt;0.1,"*",""))))</f>
        <v>-0.164</v>
      </c>
      <c r="C72" s="8" t="str">
        <f aca="false">IF(Estimates!H159="","n/a",TEXT(Estimates!D159,"0.000")&amp;IF(Estimates!H159&lt;0.01,"***",IF(Estimates!H159&lt;0.05,"**",IF(Estimates!H159&lt;0.1,"*",""))))</f>
        <v>-0.009</v>
      </c>
      <c r="D72" s="8" t="str">
        <f aca="false">IF(Estimates!H160="","n/a",TEXT(Estimates!D160,"0.000")&amp;IF(Estimates!H160&lt;0.01,"***",IF(Estimates!H160&lt;0.05,"**",IF(Estimates!H160&lt;0.1,"*",""))))</f>
        <v>-0.023</v>
      </c>
      <c r="E72" s="8" t="str">
        <f aca="false">IF(Estimates!H161="","n/a",TEXT(Estimates!D161,"0.000")&amp;IF(Estimates!H161&lt;0.01,"***",IF(Estimates!H161&lt;0.05,"**",IF(Estimates!H161&lt;0.1,"*",""))))</f>
        <v>-0.004</v>
      </c>
      <c r="F72" s="8" t="str">
        <f aca="false">IF(Estimates!H162="","n/a",TEXT(Estimates!D162,"0.000")&amp;IF(Estimates!H162&lt;0.01,"***",IF(Estimates!H162&lt;0.05,"**",IF(Estimates!H162&lt;0.1,"*",""))))</f>
        <v>0.022</v>
      </c>
      <c r="G72" s="8" t="str">
        <f aca="false">IF(Estimates!H163="","n/a",TEXT(Estimates!D163,"0.000")&amp;IF(Estimates!H163&lt;0.01,"***",IF(Estimates!H163&lt;0.05,"**",IF(Estimates!H163&lt;0.1,"*",""))))</f>
        <v>0.024</v>
      </c>
    </row>
    <row r="73" customFormat="false" ht="15" hidden="false" customHeight="false" outlineLevel="0" collapsed="false">
      <c r="B73" s="8" t="str">
        <f aca="false">IF(Estimates!G158="","","("&amp;TEXT(Estimates!G158,"0.00")&amp;")")</f>
        <v>(-1.28)</v>
      </c>
      <c r="C73" s="8" t="str">
        <f aca="false">IF(Estimates!G159="","","("&amp;TEXT(Estimates!G159,"0.00")&amp;")")</f>
        <v>(-0.08)</v>
      </c>
      <c r="D73" s="8" t="str">
        <f aca="false">IF(Estimates!G160="","","("&amp;TEXT(Estimates!G160,"0.00")&amp;")")</f>
        <v>(-0.13)</v>
      </c>
      <c r="E73" s="8" t="str">
        <f aca="false">IF(Estimates!G161="","","("&amp;TEXT(Estimates!G161,"0.00")&amp;")")</f>
        <v>(-0.02)</v>
      </c>
      <c r="F73" s="8" t="str">
        <f aca="false">IF(Estimates!G162="","","("&amp;TEXT(Estimates!G162,"0.00")&amp;")")</f>
        <v>(0.20)</v>
      </c>
      <c r="G73" s="8" t="str">
        <f aca="false">IF(Estimates!G163="","","("&amp;TEXT(Estimates!G163,"0.00")&amp;")")</f>
        <v>(0.22)</v>
      </c>
    </row>
    <row r="74" customFormat="false" ht="15" hidden="false" customHeight="false" outlineLevel="0" collapsed="false">
      <c r="A74" s="7" t="s">
        <v>19</v>
      </c>
      <c r="B74" s="8" t="str">
        <f aca="false">IF(Estimates!H164="","n/a",TEXT(Estimates!D164,"0.000")&amp;IF(Estimates!H164&lt;0.01,"***",IF(Estimates!H164&lt;0.05,"**",IF(Estimates!H164&lt;0.1,"*",""))))</f>
        <v>-0.182</v>
      </c>
      <c r="C74" s="8" t="str">
        <f aca="false">IF(Estimates!H165="","n/a",TEXT(Estimates!D165,"0.000")&amp;IF(Estimates!H165&lt;0.01,"***",IF(Estimates!H165&lt;0.05,"**",IF(Estimates!H165&lt;0.1,"*",""))))</f>
        <v>-0.019</v>
      </c>
      <c r="D74" s="8" t="str">
        <f aca="false">IF(Estimates!H166="","n/a",TEXT(Estimates!D166,"0.000")&amp;IF(Estimates!H166&lt;0.01,"***",IF(Estimates!H166&lt;0.05,"**",IF(Estimates!H166&lt;0.1,"*",""))))</f>
        <v>-0.040</v>
      </c>
      <c r="E74" s="8" t="str">
        <f aca="false">IF(Estimates!H167="","n/a",TEXT(Estimates!D167,"0.000")&amp;IF(Estimates!H167&lt;0.01,"***",IF(Estimates!H167&lt;0.05,"**",IF(Estimates!H167&lt;0.1,"*",""))))</f>
        <v>0.017</v>
      </c>
      <c r="F74" s="8" t="str">
        <f aca="false">IF(Estimates!H168="","n/a",TEXT(Estimates!D168,"0.000")&amp;IF(Estimates!H168&lt;0.01,"***",IF(Estimates!H168&lt;0.05,"**",IF(Estimates!H168&lt;0.1,"*",""))))</f>
        <v>0.011</v>
      </c>
      <c r="G74" s="8" t="str">
        <f aca="false">IF(Estimates!H169="","n/a",TEXT(Estimates!D169,"0.000")&amp;IF(Estimates!H169&lt;0.01,"***",IF(Estimates!H169&lt;0.05,"**",IF(Estimates!H169&lt;0.1,"*",""))))</f>
        <v>0.013</v>
      </c>
    </row>
    <row r="75" customFormat="false" ht="15" hidden="false" customHeight="false" outlineLevel="0" collapsed="false">
      <c r="B75" s="8" t="str">
        <f aca="false">IF(Estimates!G164="","","("&amp;TEXT(Estimates!G164,"0.00")&amp;")")</f>
        <v>(-1.46)</v>
      </c>
      <c r="C75" s="8" t="str">
        <f aca="false">IF(Estimates!G165="","","("&amp;TEXT(Estimates!G165,"0.00")&amp;")")</f>
        <v>(-0.17)</v>
      </c>
      <c r="D75" s="8" t="str">
        <f aca="false">IF(Estimates!G166="","","("&amp;TEXT(Estimates!G166,"0.00")&amp;")")</f>
        <v>(-0.22)</v>
      </c>
      <c r="E75" s="8" t="str">
        <f aca="false">IF(Estimates!G167="","","("&amp;TEXT(Estimates!G167,"0.00")&amp;")")</f>
        <v>(0.09)</v>
      </c>
      <c r="F75" s="8" t="str">
        <f aca="false">IF(Estimates!G168="","","("&amp;TEXT(Estimates!G168,"0.00")&amp;")")</f>
        <v>(0.10)</v>
      </c>
      <c r="G75" s="8" t="str">
        <f aca="false">IF(Estimates!G169="","","("&amp;TEXT(Estimates!G169,"0.00")&amp;")")</f>
        <v>(0.12)</v>
      </c>
    </row>
    <row r="76" customFormat="false" ht="15" hidden="false" customHeight="false" outlineLevel="0" collapsed="false">
      <c r="A76" s="7" t="s">
        <v>20</v>
      </c>
      <c r="B76" s="8" t="str">
        <f aca="false">IF(Estimates!H170="","n/a",TEXT(Estimates!D170,"0.000")&amp;IF(Estimates!H170&lt;0.01,"***",IF(Estimates!H170&lt;0.05,"**",IF(Estimates!H170&lt;0.1,"*",""))))</f>
        <v>-0.201</v>
      </c>
      <c r="C76" s="8" t="str">
        <f aca="false">IF(Estimates!H171="","n/a",TEXT(Estimates!D171,"0.000")&amp;IF(Estimates!H171&lt;0.01,"***",IF(Estimates!H171&lt;0.05,"**",IF(Estimates!H171&lt;0.1,"*",""))))</f>
        <v>-0.028</v>
      </c>
      <c r="D76" s="8" t="str">
        <f aca="false">IF(Estimates!H172="","n/a",TEXT(Estimates!D172,"0.000")&amp;IF(Estimates!H172&lt;0.01,"***",IF(Estimates!H172&lt;0.05,"**",IF(Estimates!H172&lt;0.1,"*",""))))</f>
        <v>-0.048</v>
      </c>
      <c r="E76" s="8" t="str">
        <f aca="false">IF(Estimates!H173="","n/a",TEXT(Estimates!D173,"0.000")&amp;IF(Estimates!H173&lt;0.01,"***",IF(Estimates!H173&lt;0.05,"**",IF(Estimates!H173&lt;0.1,"*",""))))</f>
        <v>-0.015</v>
      </c>
      <c r="F76" s="8" t="str">
        <f aca="false">IF(Estimates!H174="","n/a",TEXT(Estimates!D174,"0.000")&amp;IF(Estimates!H174&lt;0.01,"***",IF(Estimates!H174&lt;0.05,"**",IF(Estimates!H174&lt;0.1,"*",""))))</f>
        <v>0.002</v>
      </c>
      <c r="G76" s="8" t="str">
        <f aca="false">IF(Estimates!H175="","n/a",TEXT(Estimates!D175,"0.000")&amp;IF(Estimates!H175&lt;0.01,"***",IF(Estimates!H175&lt;0.05,"**",IF(Estimates!H175&lt;0.1,"*",""))))</f>
        <v>0.002</v>
      </c>
    </row>
    <row r="77" customFormat="false" ht="15" hidden="false" customHeight="false" outlineLevel="0" collapsed="false">
      <c r="B77" s="8" t="str">
        <f aca="false">IF(Estimates!G170="","","("&amp;TEXT(Estimates!G170,"0.00")&amp;")")</f>
        <v>(-1.47)</v>
      </c>
      <c r="C77" s="8" t="str">
        <f aca="false">IF(Estimates!G171="","","("&amp;TEXT(Estimates!G171,"0.00")&amp;")")</f>
        <v>(-0.24)</v>
      </c>
      <c r="D77" s="8" t="str">
        <f aca="false">IF(Estimates!G172="","","("&amp;TEXT(Estimates!G172,"0.00")&amp;")")</f>
        <v>(-0.26)</v>
      </c>
      <c r="E77" s="8" t="str">
        <f aca="false">IF(Estimates!G173="","","("&amp;TEXT(Estimates!G173,"0.00")&amp;")")</f>
        <v>(-0.08)</v>
      </c>
      <c r="F77" s="8" t="str">
        <f aca="false">IF(Estimates!G174="","","("&amp;TEXT(Estimates!G174,"0.00")&amp;")")</f>
        <v>(0.02)</v>
      </c>
      <c r="G77" s="8" t="str">
        <f aca="false">IF(Estimates!G175="","","("&amp;TEXT(Estimates!G175,"0.00")&amp;")")</f>
        <v>(0.02)</v>
      </c>
    </row>
    <row r="78" customFormat="false" ht="15" hidden="false" customHeight="false" outlineLevel="0" collapsed="false">
      <c r="A78" s="7" t="s">
        <v>21</v>
      </c>
      <c r="B78" s="8" t="str">
        <f aca="false">IF(Estimates!H176="","n/a",TEXT(Estimates!D176,"0.000")&amp;IF(Estimates!H176&lt;0.01,"***",IF(Estimates!H176&lt;0.05,"**",IF(Estimates!H176&lt;0.1,"*",""))))</f>
        <v>-0.130</v>
      </c>
      <c r="C78" s="8" t="str">
        <f aca="false">IF(Estimates!H177="","n/a",TEXT(Estimates!D177,"0.000")&amp;IF(Estimates!H177&lt;0.01,"***",IF(Estimates!H177&lt;0.05,"**",IF(Estimates!H177&lt;0.1,"*",""))))</f>
        <v>0.014</v>
      </c>
      <c r="D78" s="8" t="str">
        <f aca="false">IF(Estimates!H178="","n/a",TEXT(Estimates!D178,"0.000")&amp;IF(Estimates!H178&lt;0.01,"***",IF(Estimates!H178&lt;0.05,"**",IF(Estimates!H178&lt;0.1,"*",""))))</f>
        <v>0.021</v>
      </c>
      <c r="E78" s="8" t="str">
        <f aca="false">IF(Estimates!H179="","n/a",TEXT(Estimates!D179,"0.000")&amp;IF(Estimates!H179&lt;0.01,"***",IF(Estimates!H179&lt;0.05,"**",IF(Estimates!H179&lt;0.1,"*",""))))</f>
        <v>0.048</v>
      </c>
      <c r="F78" s="8" t="str">
        <f aca="false">IF(Estimates!H180="","n/a",TEXT(Estimates!D180,"0.000")&amp;IF(Estimates!H180&lt;0.01,"***",IF(Estimates!H180&lt;0.05,"**",IF(Estimates!H180&lt;0.1,"*",""))))</f>
        <v>0.048</v>
      </c>
      <c r="G78" s="8" t="str">
        <f aca="false">IF(Estimates!H181="","n/a",TEXT(Estimates!D181,"0.000")&amp;IF(Estimates!H181&lt;0.01,"***",IF(Estimates!H181&lt;0.05,"**",IF(Estimates!H181&lt;0.1,"*",""))))</f>
        <v>0.048</v>
      </c>
    </row>
    <row r="79" customFormat="false" ht="15" hidden="false" customHeight="false" outlineLevel="0" collapsed="false">
      <c r="B79" s="8" t="str">
        <f aca="false">IF(Estimates!G176="","","("&amp;TEXT(Estimates!G176,"0.00")&amp;")")</f>
        <v>(-0.89)</v>
      </c>
      <c r="C79" s="8" t="str">
        <f aca="false">IF(Estimates!G177="","","("&amp;TEXT(Estimates!G177,"0.00")&amp;")")</f>
        <v>(0.11)</v>
      </c>
      <c r="D79" s="8" t="str">
        <f aca="false">IF(Estimates!G178="","","("&amp;TEXT(Estimates!G178,"0.00")&amp;")")</f>
        <v>(0.11)</v>
      </c>
      <c r="E79" s="8" t="str">
        <f aca="false">IF(Estimates!G179="","","("&amp;TEXT(Estimates!G179,"0.00")&amp;")")</f>
        <v>(0.26)</v>
      </c>
      <c r="F79" s="8" t="str">
        <f aca="false">IF(Estimates!G180="","","("&amp;TEXT(Estimates!G180,"0.00")&amp;")")</f>
        <v>(0.38)</v>
      </c>
      <c r="G79" s="8" t="str">
        <f aca="false">IF(Estimates!G181="","","("&amp;TEXT(Estimates!G181,"0.00")&amp;")")</f>
        <v>(0.38)</v>
      </c>
    </row>
    <row r="80" customFormat="false" ht="15" hidden="false" customHeight="false" outlineLevel="0" collapsed="false">
      <c r="A80" s="7" t="s">
        <v>22</v>
      </c>
      <c r="B80" s="8" t="str">
        <f aca="false">IF(Estimates!H182="","n/a",TEXT(Estimates!D182,"0.000")&amp;IF(Estimates!H182&lt;0.01,"***",IF(Estimates!H182&lt;0.05,"**",IF(Estimates!H182&lt;0.1,"*",""))))</f>
        <v>-0.129*</v>
      </c>
      <c r="C80" s="8" t="str">
        <f aca="false">IF(Estimates!H183="","n/a",TEXT(Estimates!D183,"0.000")&amp;IF(Estimates!H183&lt;0.01,"***",IF(Estimates!H183&lt;0.05,"**",IF(Estimates!H183&lt;0.1,"*",""))))</f>
        <v>-0.135*</v>
      </c>
      <c r="F80" s="8" t="str">
        <f aca="false">IF(Estimates!H184="","n/a",TEXT(Estimates!D184,"0.000")&amp;IF(Estimates!H184&lt;0.01,"***",IF(Estimates!H184&lt;0.05,"**",IF(Estimates!H184&lt;0.1,"*",""))))</f>
        <v>-0.122</v>
      </c>
      <c r="G80" s="8" t="str">
        <f aca="false">IF(Estimates!H185="","n/a",TEXT(Estimates!D185,"0.000")&amp;IF(Estimates!H185&lt;0.01,"***",IF(Estimates!H185&lt;0.05,"**",IF(Estimates!H185&lt;0.1,"*",""))))</f>
        <v>-0.136*</v>
      </c>
    </row>
    <row r="81" customFormat="false" ht="15" hidden="false" customHeight="false" outlineLevel="0" collapsed="false">
      <c r="B81" s="8" t="str">
        <f aca="false">IF(Estimates!G182="","","("&amp;TEXT(Estimates!G182,"0.00")&amp;")")</f>
        <v>(-2.03)</v>
      </c>
      <c r="C81" s="8" t="str">
        <f aca="false">IF(Estimates!G183="","","("&amp;TEXT(Estimates!G183,"0.00")&amp;")")</f>
        <v>(-1.87)</v>
      </c>
      <c r="F81" s="8" t="str">
        <f aca="false">IF(Estimates!G184="","","("&amp;TEXT(Estimates!G184,"0.00")&amp;")")</f>
        <v>(-1.72)</v>
      </c>
      <c r="G81" s="8" t="str">
        <f aca="false">IF(Estimates!G185="","","("&amp;TEXT(Estimates!G185,"0.00")&amp;")")</f>
        <v>(-1.92)</v>
      </c>
    </row>
    <row r="82" customFormat="false" ht="15" hidden="false" customHeight="false" outlineLevel="0" collapsed="false">
      <c r="A82" s="7" t="s">
        <v>23</v>
      </c>
      <c r="C82" s="8" t="str">
        <f aca="false">IF(Estimates!H186="","n/a",TEXT(Estimates!D186,"0.000")&amp;IF(Estimates!H186&lt;0.01,"***",IF(Estimates!H186&lt;0.05,"**",IF(Estimates!H186&lt;0.1,"*",""))))</f>
        <v>-1.220***</v>
      </c>
      <c r="D82" s="8" t="str">
        <f aca="false">IF(Estimates!H187="","n/a",TEXT(Estimates!D187,"0.000")&amp;IF(Estimates!H187&lt;0.01,"***",IF(Estimates!H187&lt;0.05,"**",IF(Estimates!H187&lt;0.1,"*",""))))</f>
        <v>-0.221</v>
      </c>
      <c r="E82" s="8" t="str">
        <f aca="false">IF(Estimates!H188="","n/a",TEXT(Estimates!D188,"0.000")&amp;IF(Estimates!H188&lt;0.01,"***",IF(Estimates!H188&lt;0.05,"**",IF(Estimates!H188&lt;0.1,"*",""))))</f>
        <v>0.117</v>
      </c>
      <c r="F82" s="8" t="str">
        <f aca="false">IF(Estimates!H189="","n/a",TEXT(Estimates!D189,"0.000")&amp;IF(Estimates!H189&lt;0.01,"***",IF(Estimates!H189&lt;0.05,"**",IF(Estimates!H189&lt;0.1,"*",""))))</f>
        <v>-1.123**</v>
      </c>
      <c r="G82" s="8" t="str">
        <f aca="false">IF(Estimates!H190="","n/a",TEXT(Estimates!D190,"0.000")&amp;IF(Estimates!H190&lt;0.01,"***",IF(Estimates!H190&lt;0.05,"**",IF(Estimates!H190&lt;0.1,"*",""))))</f>
        <v>-1.164***</v>
      </c>
    </row>
    <row r="83" customFormat="false" ht="15" hidden="false" customHeight="false" outlineLevel="0" collapsed="false">
      <c r="C83" s="8" t="str">
        <f aca="false">IF(Estimates!G186="","","("&amp;TEXT(Estimates!G186,"0.00")&amp;")")</f>
        <v>(-3.25)</v>
      </c>
      <c r="D83" s="8" t="str">
        <f aca="false">IF(Estimates!G187="","","("&amp;TEXT(Estimates!G187,"0.00")&amp;")")</f>
        <v>(-0.31)</v>
      </c>
      <c r="E83" s="8" t="str">
        <f aca="false">IF(Estimates!G188="","","("&amp;TEXT(Estimates!G188,"0.00")&amp;")")</f>
        <v>(0.16)</v>
      </c>
      <c r="F83" s="8" t="str">
        <f aca="false">IF(Estimates!G189="","","("&amp;TEXT(Estimates!G189,"0.00")&amp;")")</f>
        <v>(-2.79)</v>
      </c>
      <c r="G83" s="8" t="str">
        <f aca="false">IF(Estimates!G190="","","("&amp;TEXT(Estimates!G190,"0.00")&amp;")")</f>
        <v>(-2.89)</v>
      </c>
    </row>
    <row r="84" customFormat="false" ht="15" hidden="false" customHeight="false" outlineLevel="0" collapsed="false">
      <c r="A84" s="7" t="s">
        <v>24</v>
      </c>
      <c r="C84" s="8" t="str">
        <f aca="false">IF(Estimates!H191="","n/a",TEXT(Estimates!D191,"0.000")&amp;IF(Estimates!H191&lt;0.01,"***",IF(Estimates!H191&lt;0.05,"**",IF(Estimates!H191&lt;0.1,"*",""))))</f>
        <v>-0.001</v>
      </c>
      <c r="D84" s="8" t="str">
        <f aca="false">IF(Estimates!H192="","n/a",TEXT(Estimates!D192,"0.000")&amp;IF(Estimates!H192&lt;0.01,"***",IF(Estimates!H192&lt;0.05,"**",IF(Estimates!H192&lt;0.1,"*",""))))</f>
        <v>-0.044</v>
      </c>
      <c r="E84" s="8" t="str">
        <f aca="false">IF(Estimates!H193="","n/a",TEXT(Estimates!D193,"0.000")&amp;IF(Estimates!H193&lt;0.01,"***",IF(Estimates!H193&lt;0.05,"**",IF(Estimates!H193&lt;0.1,"*",""))))</f>
        <v>-0.149</v>
      </c>
      <c r="F84" s="8" t="str">
        <f aca="false">IF(Estimates!H194="","n/a",TEXT(Estimates!D194,"0.000")&amp;IF(Estimates!H194&lt;0.01,"***",IF(Estimates!H194&lt;0.05,"**",IF(Estimates!H194&lt;0.1,"*",""))))</f>
        <v>0.015</v>
      </c>
      <c r="G84" s="8" t="str">
        <f aca="false">IF(Estimates!H195="","n/a",TEXT(Estimates!D195,"0.000")&amp;IF(Estimates!H195&lt;0.01,"***",IF(Estimates!H195&lt;0.05,"**",IF(Estimates!H195&lt;0.1,"*",""))))</f>
        <v>0.015</v>
      </c>
    </row>
    <row r="85" customFormat="false" ht="15" hidden="false" customHeight="false" outlineLevel="0" collapsed="false">
      <c r="C85" s="8" t="str">
        <f aca="false">IF(Estimates!G191="","","("&amp;TEXT(Estimates!G191,"0.00")&amp;")")</f>
        <v>(-0.01)</v>
      </c>
      <c r="D85" s="8" t="str">
        <f aca="false">IF(Estimates!G192="","","("&amp;TEXT(Estimates!G192,"0.00")&amp;")")</f>
        <v>(-0.40)</v>
      </c>
      <c r="E85" s="8" t="str">
        <f aca="false">IF(Estimates!G193="","","("&amp;TEXT(Estimates!G193,"0.00")&amp;")")</f>
        <v>(-1.26)</v>
      </c>
      <c r="F85" s="8" t="str">
        <f aca="false">IF(Estimates!G194="","","("&amp;TEXT(Estimates!G194,"0.00")&amp;")")</f>
        <v>(0.16)</v>
      </c>
      <c r="G85" s="8" t="str">
        <f aca="false">IF(Estimates!G195="","","("&amp;TEXT(Estimates!G195,"0.00")&amp;")")</f>
        <v>(0.15)</v>
      </c>
    </row>
    <row r="86" customFormat="false" ht="15" hidden="false" customHeight="false" outlineLevel="0" collapsed="false">
      <c r="A86" s="7" t="s">
        <v>25</v>
      </c>
      <c r="C86" s="8" t="str">
        <f aca="false">IF(Estimates!H196="","n/a",TEXT(Estimates!D196,"0.000")&amp;IF(Estimates!H196&lt;0.01,"***",IF(Estimates!H196&lt;0.05,"**",IF(Estimates!H196&lt;0.1,"*",""))))</f>
        <v>0.116</v>
      </c>
      <c r="D86" s="8" t="str">
        <f aca="false">IF(Estimates!H197="","n/a",TEXT(Estimates!D197,"0.000")&amp;IF(Estimates!H197&lt;0.01,"***",IF(Estimates!H197&lt;0.05,"**",IF(Estimates!H197&lt;0.1,"*",""))))</f>
        <v>0.127</v>
      </c>
      <c r="E86" s="8" t="str">
        <f aca="false">IF(Estimates!H198="","n/a",TEXT(Estimates!D198,"0.000")&amp;IF(Estimates!H198&lt;0.01,"***",IF(Estimates!H198&lt;0.05,"**",IF(Estimates!H198&lt;0.1,"*",""))))</f>
        <v>0.102</v>
      </c>
      <c r="F86" s="8" t="str">
        <f aca="false">IF(Estimates!H199="","n/a",TEXT(Estimates!D199,"0.000")&amp;IF(Estimates!H199&lt;0.01,"***",IF(Estimates!H199&lt;0.05,"**",IF(Estimates!H199&lt;0.1,"*",""))))</f>
        <v>0.019</v>
      </c>
      <c r="G86" s="8" t="str">
        <f aca="false">IF(Estimates!H200="","n/a",TEXT(Estimates!D200,"0.000")&amp;IF(Estimates!H200&lt;0.01,"***",IF(Estimates!H200&lt;0.05,"**",IF(Estimates!H200&lt;0.1,"*",""))))</f>
        <v>0.050</v>
      </c>
    </row>
    <row r="87" customFormat="false" ht="15" hidden="false" customHeight="false" outlineLevel="0" collapsed="false">
      <c r="C87" s="8" t="str">
        <f aca="false">IF(Estimates!G196="","","("&amp;TEXT(Estimates!G196,"0.00")&amp;")")</f>
        <v>(1.09)</v>
      </c>
      <c r="D87" s="8" t="str">
        <f aca="false">IF(Estimates!G197="","","("&amp;TEXT(Estimates!G197,"0.00")&amp;")")</f>
        <v>(0.62)</v>
      </c>
      <c r="E87" s="8" t="str">
        <f aca="false">IF(Estimates!G198="","","("&amp;TEXT(Estimates!G198,"0.00")&amp;")")</f>
        <v>(0.46)</v>
      </c>
      <c r="F87" s="8" t="str">
        <f aca="false">IF(Estimates!G199="","","("&amp;TEXT(Estimates!G199,"0.00")&amp;")")</f>
        <v>(0.16)</v>
      </c>
      <c r="G87" s="8" t="str">
        <f aca="false">IF(Estimates!G200="","","("&amp;TEXT(Estimates!G200,"0.00")&amp;")")</f>
        <v>(0.42)</v>
      </c>
    </row>
    <row r="88" customFormat="false" ht="15" hidden="false" customHeight="false" outlineLevel="0" collapsed="false">
      <c r="A88" s="7" t="s">
        <v>26</v>
      </c>
      <c r="C88" s="8" t="str">
        <f aca="false">IF(Estimates!H201="","n/a",TEXT(Estimates!D201,"0.000")&amp;IF(Estimates!H201&lt;0.01,"***",IF(Estimates!H201&lt;0.05,"**",IF(Estimates!H201&lt;0.1,"*",""))))</f>
        <v>-0.162</v>
      </c>
      <c r="D88" s="8" t="str">
        <f aca="false">IF(Estimates!H202="","n/a",TEXT(Estimates!D202,"0.000")&amp;IF(Estimates!H202&lt;0.01,"***",IF(Estimates!H202&lt;0.05,"**",IF(Estimates!H202&lt;0.1,"*",""))))</f>
        <v>0.120</v>
      </c>
      <c r="E88" s="8" t="str">
        <f aca="false">IF(Estimates!H203="","n/a",TEXT(Estimates!D203,"0.000")&amp;IF(Estimates!H203&lt;0.01,"***",IF(Estimates!H203&lt;0.05,"**",IF(Estimates!H203&lt;0.1,"*",""))))</f>
        <v>-0.008</v>
      </c>
      <c r="F88" s="8" t="str">
        <f aca="false">IF(Estimates!H204="","n/a",TEXT(Estimates!D204,"0.000")&amp;IF(Estimates!H204&lt;0.01,"***",IF(Estimates!H204&lt;0.05,"**",IF(Estimates!H204&lt;0.1,"*",""))))</f>
        <v>-0.122</v>
      </c>
      <c r="G88" s="8" t="str">
        <f aca="false">IF(Estimates!H205="","n/a",TEXT(Estimates!D205,"0.000")&amp;IF(Estimates!H205&lt;0.01,"***",IF(Estimates!H205&lt;0.05,"**",IF(Estimates!H205&lt;0.1,"*",""))))</f>
        <v>-0.131</v>
      </c>
    </row>
    <row r="89" customFormat="false" ht="15" hidden="false" customHeight="false" outlineLevel="0" collapsed="false">
      <c r="C89" s="8" t="str">
        <f aca="false">IF(Estimates!G201="","","("&amp;TEXT(Estimates!G201,"0.00")&amp;")")</f>
        <v>(-1.15)</v>
      </c>
      <c r="D89" s="8" t="str">
        <f aca="false">IF(Estimates!G202="","","("&amp;TEXT(Estimates!G202,"0.00")&amp;")")</f>
        <v>(0.64)</v>
      </c>
      <c r="E89" s="8" t="str">
        <f aca="false">IF(Estimates!G203="","","("&amp;TEXT(Estimates!G203,"0.00")&amp;")")</f>
        <v>(-0.04)</v>
      </c>
      <c r="F89" s="8" t="str">
        <f aca="false">IF(Estimates!G204="","","("&amp;TEXT(Estimates!G204,"0.00")&amp;")")</f>
        <v>(-0.89)</v>
      </c>
      <c r="G89" s="8" t="str">
        <f aca="false">IF(Estimates!G205="","","("&amp;TEXT(Estimates!G205,"0.00")&amp;")")</f>
        <v>(-0.95)</v>
      </c>
    </row>
    <row r="90" customFormat="false" ht="15" hidden="false" customHeight="false" outlineLevel="0" collapsed="false">
      <c r="A90" s="7" t="s">
        <v>27</v>
      </c>
      <c r="C90" s="8" t="str">
        <f aca="false">IF(Estimates!H206="","n/a",TEXT(Estimates!D206,"0.000")&amp;IF(Estimates!H206&lt;0.01,"***",IF(Estimates!H206&lt;0.05,"**",IF(Estimates!H206&lt;0.1,"*",""))))</f>
        <v>0.308*</v>
      </c>
      <c r="D90" s="8" t="str">
        <f aca="false">IF(Estimates!H207="","n/a",TEXT(Estimates!D207,"0.000")&amp;IF(Estimates!H207&lt;0.01,"***",IF(Estimates!H207&lt;0.05,"**",IF(Estimates!H207&lt;0.1,"*",""))))</f>
        <v>-0.075</v>
      </c>
      <c r="E90" s="8" t="str">
        <f aca="false">IF(Estimates!H208="","n/a",TEXT(Estimates!D208,"0.000")&amp;IF(Estimates!H208&lt;0.01,"***",IF(Estimates!H208&lt;0.05,"**",IF(Estimates!H208&lt;0.1,"*",""))))</f>
        <v>0.494</v>
      </c>
      <c r="F90" s="8" t="str">
        <f aca="false">IF(Estimates!H209="","n/a",TEXT(Estimates!D209,"0.000")&amp;IF(Estimates!H209&lt;0.01,"***",IF(Estimates!H209&lt;0.05,"**",IF(Estimates!H209&lt;0.1,"*",""))))</f>
        <v>0.315*</v>
      </c>
      <c r="G90" s="8" t="str">
        <f aca="false">IF(Estimates!H210="","n/a",TEXT(Estimates!D210,"0.000")&amp;IF(Estimates!H210&lt;0.01,"***",IF(Estimates!H210&lt;0.05,"**",IF(Estimates!H210&lt;0.1,"*",""))))</f>
        <v>0.310*</v>
      </c>
    </row>
    <row r="91" customFormat="false" ht="15" hidden="false" customHeight="false" outlineLevel="0" collapsed="false">
      <c r="C91" s="8" t="str">
        <f aca="false">IF(Estimates!G206="","","("&amp;TEXT(Estimates!G206,"0.00")&amp;")")</f>
        <v>(1.85)</v>
      </c>
      <c r="D91" s="8" t="str">
        <f aca="false">IF(Estimates!G207="","","("&amp;TEXT(Estimates!G207,"0.00")&amp;")")</f>
        <v>(-0.08)</v>
      </c>
      <c r="E91" s="8" t="str">
        <f aca="false">IF(Estimates!G208="","","("&amp;TEXT(Estimates!G208,"0.00")&amp;")")</f>
        <v>(0.65)</v>
      </c>
      <c r="F91" s="8" t="str">
        <f aca="false">IF(Estimates!G209="","","("&amp;TEXT(Estimates!G209,"0.00")&amp;")")</f>
        <v>(1.92)</v>
      </c>
      <c r="G91" s="8" t="str">
        <f aca="false">IF(Estimates!G210="","","("&amp;TEXT(Estimates!G210,"0.00")&amp;")")</f>
        <v>(1.87)</v>
      </c>
    </row>
    <row r="92" customFormat="false" ht="15" hidden="false" customHeight="false" outlineLevel="0" collapsed="false">
      <c r="A92" s="7" t="s">
        <v>28</v>
      </c>
      <c r="C92" s="8" t="str">
        <f aca="false">IF(Estimates!H211="","n/a",TEXT(Estimates!D211,"0.000")&amp;IF(Estimates!H211&lt;0.01,"***",IF(Estimates!H211&lt;0.05,"**",IF(Estimates!H211&lt;0.1,"*",""))))</f>
        <v>0.008</v>
      </c>
      <c r="D92" s="8" t="str">
        <f aca="false">IF(Estimates!H212="","n/a",TEXT(Estimates!D212,"0.000")&amp;IF(Estimates!H212&lt;0.01,"***",IF(Estimates!H212&lt;0.05,"**",IF(Estimates!H212&lt;0.1,"*",""))))</f>
        <v>0.373</v>
      </c>
      <c r="E92" s="8" t="str">
        <f aca="false">IF(Estimates!H213="","n/a",TEXT(Estimates!D213,"0.000")&amp;IF(Estimates!H213&lt;0.01,"***",IF(Estimates!H213&lt;0.05,"**",IF(Estimates!H213&lt;0.1,"*",""))))</f>
        <v>-0.312</v>
      </c>
      <c r="F92" s="8" t="str">
        <f aca="false">IF(Estimates!H214="","n/a",TEXT(Estimates!D214,"0.000")&amp;IF(Estimates!H214&lt;0.01,"***",IF(Estimates!H214&lt;0.05,"**",IF(Estimates!H214&lt;0.1,"*",""))))</f>
        <v>-0.007</v>
      </c>
      <c r="G92" s="8" t="str">
        <f aca="false">IF(Estimates!H215="","n/a",TEXT(Estimates!D215,"0.000")&amp;IF(Estimates!H215&lt;0.01,"***",IF(Estimates!H215&lt;0.05,"**",IF(Estimates!H215&lt;0.1,"*",""))))</f>
        <v>0.000</v>
      </c>
    </row>
    <row r="93" customFormat="false" ht="15" hidden="false" customHeight="false" outlineLevel="0" collapsed="false">
      <c r="C93" s="8" t="str">
        <f aca="false">IF(Estimates!G211="","","("&amp;TEXT(Estimates!G211,"0.00")&amp;")")</f>
        <v>(0.04)</v>
      </c>
      <c r="D93" s="8" t="str">
        <f aca="false">IF(Estimates!G212="","","("&amp;TEXT(Estimates!G212,"0.00")&amp;")")</f>
        <v>(0.23)</v>
      </c>
      <c r="E93" s="8" t="str">
        <f aca="false">IF(Estimates!G213="","","("&amp;TEXT(Estimates!G213,"0.00")&amp;")")</f>
        <v>(-0.23)</v>
      </c>
      <c r="F93" s="8" t="str">
        <f aca="false">IF(Estimates!G214="","","("&amp;TEXT(Estimates!G214,"0.00")&amp;")")</f>
        <v>(-0.03)</v>
      </c>
      <c r="G93" s="8" t="str">
        <f aca="false">IF(Estimates!G215="","","("&amp;TEXT(Estimates!G215,"0.00")&amp;")")</f>
        <v>(0.00)</v>
      </c>
    </row>
    <row r="95" customFormat="false" ht="15" hidden="false" customHeight="false" outlineLevel="0" collapsed="false">
      <c r="A95" s="7" t="s">
        <v>29</v>
      </c>
      <c r="B95" s="9" t="n">
        <v>1538</v>
      </c>
      <c r="C95" s="9" t="n">
        <v>1320</v>
      </c>
      <c r="D95" s="9" t="n">
        <v>1319</v>
      </c>
      <c r="E95" s="9" t="n">
        <v>1319</v>
      </c>
      <c r="F95" s="9" t="n">
        <v>1320</v>
      </c>
      <c r="G95" s="9" t="n">
        <v>1320</v>
      </c>
    </row>
    <row r="96" customFormat="false" ht="15" hidden="false" customHeight="false" outlineLevel="0" collapsed="false">
      <c r="A96" s="7" t="s">
        <v>30</v>
      </c>
      <c r="B96" s="10" t="n">
        <v>0.118530271851865</v>
      </c>
      <c r="C96" s="10" t="n">
        <v>0.127654081106356</v>
      </c>
      <c r="D96" s="10" t="n">
        <v>0.0207392892531291</v>
      </c>
      <c r="E96" s="10" t="n">
        <v>0.122153932551761</v>
      </c>
      <c r="F96" s="10" t="n">
        <v>0.124841777309274</v>
      </c>
      <c r="G96" s="10" t="n">
        <v>0.126196521214728</v>
      </c>
    </row>
    <row r="97" customFormat="false" ht="15" hidden="false" customHeight="false" outlineLevel="0" collapsed="false">
      <c r="A97" s="7" t="s">
        <v>31</v>
      </c>
      <c r="B97" s="11" t="s">
        <v>32</v>
      </c>
      <c r="C97" s="11" t="s">
        <v>32</v>
      </c>
      <c r="D97" s="11" t="s">
        <v>33</v>
      </c>
      <c r="E97" s="11" t="s">
        <v>33</v>
      </c>
      <c r="F97" s="11" t="s">
        <v>32</v>
      </c>
      <c r="G97" s="11" t="s">
        <v>32</v>
      </c>
    </row>
    <row r="98" customFormat="false" ht="15" hidden="false" customHeight="false" outlineLevel="0" collapsed="false">
      <c r="A98" s="7" t="s">
        <v>34</v>
      </c>
      <c r="B98" s="11" t="s">
        <v>33</v>
      </c>
      <c r="C98" s="11" t="s">
        <v>33</v>
      </c>
      <c r="D98" s="11" t="s">
        <v>32</v>
      </c>
      <c r="E98" s="11" t="s">
        <v>33</v>
      </c>
      <c r="F98" s="11" t="s">
        <v>33</v>
      </c>
      <c r="G98" s="11" t="s">
        <v>33</v>
      </c>
    </row>
    <row r="99" customFormat="false" ht="15" hidden="false" customHeight="false" outlineLevel="0" collapsed="false">
      <c r="A99" s="12" t="s">
        <v>35</v>
      </c>
      <c r="B99" s="6"/>
      <c r="C99" s="6"/>
      <c r="D99" s="6"/>
      <c r="E99" s="6"/>
      <c r="F99" s="6" t="s">
        <v>36</v>
      </c>
      <c r="G99" s="6" t="s">
        <v>37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7" min="2" style="0" width="15"/>
  </cols>
  <sheetData>
    <row r="1" customFormat="false" ht="15" hidden="false" customHeight="false" outlineLevel="0" collapsed="false">
      <c r="A1" s="1" t="s">
        <v>40</v>
      </c>
    </row>
    <row r="2" customFormat="false" ht="94.5" hidden="false" customHeight="true" outlineLevel="0" collapsed="false">
      <c r="A2" s="2" t="s">
        <v>41</v>
      </c>
      <c r="B2" s="2"/>
      <c r="C2" s="2"/>
      <c r="D2" s="2"/>
      <c r="E2" s="2"/>
      <c r="F2" s="2"/>
      <c r="G2" s="2"/>
    </row>
    <row r="4" customFormat="false" ht="15" hidden="false" customHeight="false" outlineLevel="0" collapsed="false">
      <c r="A4" s="13" t="s">
        <v>42</v>
      </c>
      <c r="B4" s="14" t="s">
        <v>3</v>
      </c>
      <c r="C4" s="14" t="s">
        <v>4</v>
      </c>
      <c r="D4" s="14" t="s">
        <v>5</v>
      </c>
      <c r="E4" s="14" t="s">
        <v>6</v>
      </c>
      <c r="F4" s="14" t="s">
        <v>7</v>
      </c>
      <c r="G4" s="14" t="s">
        <v>8</v>
      </c>
    </row>
    <row r="5" customFormat="false" ht="15" hidden="false" customHeight="false" outlineLevel="0" collapsed="false">
      <c r="A5" s="7" t="s">
        <v>43</v>
      </c>
      <c r="B5" s="8" t="str">
        <f aca="false">IF(Estimates!H216="","n/a",TEXT(Estimates!D216,"0.000")&amp;IF(Estimates!H216&lt;0.01,"***",IF(Estimates!H216&lt;0.05,"**",IF(Estimates!H216&lt;0.1,"*",""))))</f>
        <v>-0.557***</v>
      </c>
      <c r="C5" s="8" t="str">
        <f aca="false">IF(Estimates!H217="","n/a",TEXT(Estimates!D217,"0.000")&amp;IF(Estimates!H217&lt;0.01,"***",IF(Estimates!H217&lt;0.05,"**",IF(Estimates!H217&lt;0.1,"*",""))))</f>
        <v>-0.582***</v>
      </c>
      <c r="D5" s="8" t="str">
        <f aca="false">IF(Estimates!H218="","n/a",TEXT(Estimates!D218,"0.000")&amp;IF(Estimates!H218&lt;0.01,"***",IF(Estimates!H218&lt;0.05,"**",IF(Estimates!H218&lt;0.1,"*",""))))</f>
        <v>-0.641**</v>
      </c>
      <c r="E5" s="8" t="str">
        <f aca="false">IF(Estimates!H219="","n/a",TEXT(Estimates!D219,"0.000")&amp;IF(Estimates!H219&lt;0.01,"***",IF(Estimates!H219&lt;0.05,"**",IF(Estimates!H219&lt;0.1,"*",""))))</f>
        <v>-0.698**</v>
      </c>
      <c r="F5" s="8" t="str">
        <f aca="false">IF(Estimates!H220="","n/a",TEXT(Estimates!D220,"0.000")&amp;IF(Estimates!H220&lt;0.01,"***",IF(Estimates!H220&lt;0.05,"**",IF(Estimates!H220&lt;0.1,"*",""))))</f>
        <v>-0.475*</v>
      </c>
      <c r="G5" s="8" t="str">
        <f aca="false">IF(Estimates!H221="","n/a",TEXT(Estimates!D221,"0.000")&amp;IF(Estimates!H221&lt;0.01,"***",IF(Estimates!H221&lt;0.05,"**",IF(Estimates!H221&lt;0.1,"*",""))))</f>
        <v>-0.508**</v>
      </c>
    </row>
    <row r="6" customFormat="false" ht="15" hidden="false" customHeight="false" outlineLevel="0" collapsed="false">
      <c r="B6" s="8" t="str">
        <f aca="false">IF(Estimates!G216="","","("&amp;TEXT(Estimates!G216,"0.00")&amp;")")</f>
        <v>(-3.68)</v>
      </c>
      <c r="C6" s="8" t="str">
        <f aca="false">IF(Estimates!G217="","","("&amp;TEXT(Estimates!G217,"0.00")&amp;")")</f>
        <v>(-3.13)</v>
      </c>
      <c r="D6" s="8" t="str">
        <f aca="false">IF(Estimates!G218="","","("&amp;TEXT(Estimates!G218,"0.00")&amp;")")</f>
        <v>(-2.21)</v>
      </c>
      <c r="E6" s="8" t="str">
        <f aca="false">IF(Estimates!G219="","","("&amp;TEXT(Estimates!G219,"0.00")&amp;")")</f>
        <v>(-2.38)</v>
      </c>
      <c r="F6" s="8" t="str">
        <f aca="false">IF(Estimates!G220="","","("&amp;TEXT(Estimates!G220,"0.00")&amp;")")</f>
        <v>(-2.10)</v>
      </c>
      <c r="G6" s="8" t="str">
        <f aca="false">IF(Estimates!G221="","","("&amp;TEXT(Estimates!G221,"0.00")&amp;")")</f>
        <v>(-2.78)</v>
      </c>
    </row>
    <row r="7" customFormat="false" ht="15" hidden="false" customHeight="false" outlineLevel="0" collapsed="false">
      <c r="A7" s="15" t="s">
        <v>44</v>
      </c>
      <c r="B7" s="16" t="n">
        <v>1727</v>
      </c>
      <c r="C7" s="16" t="n">
        <v>1483</v>
      </c>
      <c r="D7" s="16" t="n">
        <v>1482</v>
      </c>
      <c r="E7" s="16" t="n">
        <v>1482</v>
      </c>
      <c r="F7" s="16" t="n">
        <v>1483</v>
      </c>
      <c r="G7" s="16" t="n">
        <v>1483</v>
      </c>
    </row>
    <row r="8" customFormat="false" ht="15" hidden="false" customHeight="false" outlineLevel="0" collapsed="false">
      <c r="A8" s="1" t="s">
        <v>45</v>
      </c>
      <c r="B8" s="8" t="str">
        <f aca="false">IF(Estimates!H222="","n/a",TEXT(Estimates!D222,"0.000")&amp;IF(Estimates!H222&lt;0.01,"***",IF(Estimates!H222&lt;0.05,"**",IF(Estimates!H222&lt;0.1,"*",""))))</f>
        <v>-0.518**</v>
      </c>
      <c r="C8" s="8" t="str">
        <f aca="false">IF(Estimates!H223="","n/a",TEXT(Estimates!D223,"0.000")&amp;IF(Estimates!H223&lt;0.01,"***",IF(Estimates!H223&lt;0.05,"**",IF(Estimates!H223&lt;0.1,"*",""))))</f>
        <v>-0.598***</v>
      </c>
      <c r="D8" s="8" t="str">
        <f aca="false">IF(Estimates!H224="","n/a",TEXT(Estimates!D224,"0.000")&amp;IF(Estimates!H224&lt;0.01,"***",IF(Estimates!H224&lt;0.05,"**",IF(Estimates!H224&lt;0.1,"*",""))))</f>
        <v>-0.959**</v>
      </c>
      <c r="E8" s="8" t="str">
        <f aca="false">IF(Estimates!H225="","n/a",TEXT(Estimates!D225,"0.000")&amp;IF(Estimates!H225&lt;0.01,"***",IF(Estimates!H225&lt;0.05,"**",IF(Estimates!H225&lt;0.1,"*",""))))</f>
        <v>-0.889*</v>
      </c>
      <c r="F8" s="8" t="str">
        <f aca="false">IF(Estimates!H226="","n/a",TEXT(Estimates!D226,"0.000")&amp;IF(Estimates!H226&lt;0.01,"***",IF(Estimates!H226&lt;0.05,"**",IF(Estimates!H226&lt;0.1,"*",""))))</f>
        <v>-0.596*</v>
      </c>
      <c r="G8" s="8" t="str">
        <f aca="false">IF(Estimates!H227="","n/a",TEXT(Estimates!D227,"0.000")&amp;IF(Estimates!H227&lt;0.01,"***",IF(Estimates!H227&lt;0.05,"**",IF(Estimates!H227&lt;0.1,"*",""))))</f>
        <v>-0.611**</v>
      </c>
    </row>
    <row r="9" customFormat="false" ht="15" hidden="false" customHeight="false" outlineLevel="0" collapsed="false">
      <c r="B9" s="8" t="str">
        <f aca="false">IF(Estimates!G222="","","("&amp;TEXT(Estimates!G222,"0.00")&amp;")")</f>
        <v>(-2.65)</v>
      </c>
      <c r="C9" s="8" t="str">
        <f aca="false">IF(Estimates!G223="","","("&amp;TEXT(Estimates!G223,"0.00")&amp;")")</f>
        <v>(-3.19)</v>
      </c>
      <c r="D9" s="8" t="str">
        <f aca="false">IF(Estimates!G224="","","("&amp;TEXT(Estimates!G224,"0.00")&amp;")")</f>
        <v>(-2.23)</v>
      </c>
      <c r="E9" s="8" t="str">
        <f aca="false">IF(Estimates!G225="","","("&amp;TEXT(Estimates!G225,"0.00")&amp;")")</f>
        <v>(-2.09)</v>
      </c>
      <c r="F9" s="8" t="str">
        <f aca="false">IF(Estimates!G226="","","("&amp;TEXT(Estimates!G226,"0.00")&amp;")")</f>
        <v>(-1.87)</v>
      </c>
      <c r="G9" s="8" t="str">
        <f aca="false">IF(Estimates!G227="","","("&amp;TEXT(Estimates!G227,"0.00")&amp;")")</f>
        <v>(-2.24)</v>
      </c>
    </row>
    <row r="10" customFormat="false" ht="15" hidden="false" customHeight="false" outlineLevel="0" collapsed="false">
      <c r="A10" s="15" t="s">
        <v>44</v>
      </c>
      <c r="B10" s="16" t="n">
        <v>1240</v>
      </c>
      <c r="C10" s="16" t="n">
        <v>1072</v>
      </c>
      <c r="D10" s="16" t="n">
        <v>1069</v>
      </c>
      <c r="E10" s="16" t="n">
        <v>1069</v>
      </c>
      <c r="F10" s="16" t="n">
        <v>1072</v>
      </c>
      <c r="G10" s="16" t="n">
        <v>1072</v>
      </c>
    </row>
    <row r="11" customFormat="false" ht="15" hidden="false" customHeight="false" outlineLevel="0" collapsed="false">
      <c r="A11" s="7" t="s">
        <v>46</v>
      </c>
      <c r="B11" s="8" t="str">
        <f aca="false">IF(Estimates!H228="","n/a",TEXT(Estimates!D228,"0.000")&amp;IF(Estimates!H228&lt;0.01,"***",IF(Estimates!H228&lt;0.05,"**",IF(Estimates!H228&lt;0.1,"*",""))))</f>
        <v>-0.393**</v>
      </c>
      <c r="C11" s="8" t="str">
        <f aca="false">IF(Estimates!H229="","n/a",TEXT(Estimates!D229,"0.000")&amp;IF(Estimates!H229&lt;0.01,"***",IF(Estimates!H229&lt;0.05,"**",IF(Estimates!H229&lt;0.1,"*",""))))</f>
        <v>-0.434***</v>
      </c>
      <c r="D11" s="8" t="str">
        <f aca="false">IF(Estimates!H230="","n/a",TEXT(Estimates!D230,"0.000")&amp;IF(Estimates!H230&lt;0.01,"***",IF(Estimates!H230&lt;0.05,"**",IF(Estimates!H230&lt;0.1,"*",""))))</f>
        <v>-0.319*</v>
      </c>
      <c r="E11" s="8" t="str">
        <f aca="false">IF(Estimates!H231="","n/a",TEXT(Estimates!D231,"0.000")&amp;IF(Estimates!H231&lt;0.01,"***",IF(Estimates!H231&lt;0.05,"**",IF(Estimates!H231&lt;0.1,"*",""))))</f>
        <v>-0.333**</v>
      </c>
      <c r="F11" s="8" t="str">
        <f aca="false">IF(Estimates!H232="","n/a",TEXT(Estimates!D232,"0.000")&amp;IF(Estimates!H232&lt;0.01,"***",IF(Estimates!H232&lt;0.05,"**",IF(Estimates!H232&lt;0.1,"*",""))))</f>
        <v>-0.380*</v>
      </c>
      <c r="G11" s="8" t="str">
        <f aca="false">IF(Estimates!H233="","n/a",TEXT(Estimates!D233,"0.000")&amp;IF(Estimates!H233&lt;0.01,"***",IF(Estimates!H233&lt;0.05,"**",IF(Estimates!H233&lt;0.1,"*",""))))</f>
        <v>-0.424**</v>
      </c>
    </row>
    <row r="12" customFormat="false" ht="15" hidden="false" customHeight="false" outlineLevel="0" collapsed="false">
      <c r="B12" s="8" t="str">
        <f aca="false">IF(Estimates!G228="","","("&amp;TEXT(Estimates!G228,"0.00")&amp;")")</f>
        <v>(-2.49)</v>
      </c>
      <c r="C12" s="8" t="str">
        <f aca="false">IF(Estimates!G229="","","("&amp;TEXT(Estimates!G229,"0.00")&amp;")")</f>
        <v>(-4.12)</v>
      </c>
      <c r="D12" s="8" t="str">
        <f aca="false">IF(Estimates!G230="","","("&amp;TEXT(Estimates!G230,"0.00")&amp;")")</f>
        <v>(-1.92)</v>
      </c>
      <c r="E12" s="8" t="str">
        <f aca="false">IF(Estimates!G231="","","("&amp;TEXT(Estimates!G231,"0.00")&amp;")")</f>
        <v>(-2.12)</v>
      </c>
      <c r="F12" s="8" t="str">
        <f aca="false">IF(Estimates!G232="","","("&amp;TEXT(Estimates!G232,"0.00")&amp;")")</f>
        <v>(-1.92)</v>
      </c>
      <c r="G12" s="8" t="str">
        <f aca="false">IF(Estimates!G233="","","("&amp;TEXT(Estimates!G233,"0.00")&amp;")")</f>
        <v>(-2.42)</v>
      </c>
    </row>
    <row r="13" customFormat="false" ht="15" hidden="false" customHeight="false" outlineLevel="0" collapsed="false">
      <c r="A13" s="15" t="s">
        <v>44</v>
      </c>
      <c r="B13" s="16" t="n">
        <v>1453</v>
      </c>
      <c r="C13" s="16" t="n">
        <v>1249</v>
      </c>
      <c r="D13" s="16" t="n">
        <v>1248</v>
      </c>
      <c r="E13" s="16" t="n">
        <v>1248</v>
      </c>
      <c r="F13" s="16" t="n">
        <v>1249</v>
      </c>
      <c r="G13" s="16" t="n">
        <v>1249</v>
      </c>
    </row>
    <row r="14" customFormat="false" ht="15" hidden="false" customHeight="false" outlineLevel="0" collapsed="false">
      <c r="A14" s="1" t="s">
        <v>47</v>
      </c>
      <c r="B14" s="8" t="str">
        <f aca="false">IF(Estimates!H234="","n/a",TEXT(Estimates!D234,"0.000")&amp;IF(Estimates!H234&lt;0.01,"***",IF(Estimates!H234&lt;0.05,"**",IF(Estimates!H234&lt;0.1,"*",""))))</f>
        <v>-0.385**</v>
      </c>
      <c r="C14" s="8" t="str">
        <f aca="false">IF(Estimates!H235="","n/a",TEXT(Estimates!D235,"0.000")&amp;IF(Estimates!H235&lt;0.01,"***",IF(Estimates!H235&lt;0.05,"**",IF(Estimates!H235&lt;0.1,"*",""))))</f>
        <v>-0.491***</v>
      </c>
      <c r="D14" s="8" t="str">
        <f aca="false">IF(Estimates!H236="","n/a",TEXT(Estimates!D236,"0.000")&amp;IF(Estimates!H236&lt;0.01,"***",IF(Estimates!H236&lt;0.05,"**",IF(Estimates!H236&lt;0.1,"*",""))))</f>
        <v>-0.373**</v>
      </c>
      <c r="E14" s="8" t="str">
        <f aca="false">IF(Estimates!H237="","n/a",TEXT(Estimates!D237,"0.000")&amp;IF(Estimates!H237&lt;0.01,"***",IF(Estimates!H237&lt;0.05,"**",IF(Estimates!H237&lt;0.1,"*",""))))</f>
        <v>-0.411**</v>
      </c>
      <c r="F14" s="8" t="str">
        <f aca="false">IF(Estimates!H238="","n/a",TEXT(Estimates!D238,"0.000")&amp;IF(Estimates!H238&lt;0.01,"***",IF(Estimates!H238&lt;0.05,"**",IF(Estimates!H238&lt;0.1,"*",""))))</f>
        <v>-0.384*</v>
      </c>
      <c r="G14" s="8" t="str">
        <f aca="false">IF(Estimates!H239="","n/a",TEXT(Estimates!D239,"0.000")&amp;IF(Estimates!H239&lt;0.01,"***",IF(Estimates!H239&lt;0.05,"**",IF(Estimates!H239&lt;0.1,"*",""))))</f>
        <v>-0.441**</v>
      </c>
    </row>
    <row r="15" customFormat="false" ht="15" hidden="false" customHeight="false" outlineLevel="0" collapsed="false">
      <c r="B15" s="8" t="str">
        <f aca="false">IF(Estimates!G234="","","("&amp;TEXT(Estimates!G234,"0.00")&amp;")")</f>
        <v>(-2.46)</v>
      </c>
      <c r="C15" s="8" t="str">
        <f aca="false">IF(Estimates!G235="","","("&amp;TEXT(Estimates!G235,"0.00")&amp;")")</f>
        <v>(-4.15)</v>
      </c>
      <c r="D15" s="8" t="str">
        <f aca="false">IF(Estimates!G236="","","("&amp;TEXT(Estimates!G236,"0.00")&amp;")")</f>
        <v>(-2.23)</v>
      </c>
      <c r="E15" s="8" t="str">
        <f aca="false">IF(Estimates!G237="","","("&amp;TEXT(Estimates!G237,"0.00")&amp;")")</f>
        <v>(-2.15)</v>
      </c>
      <c r="F15" s="8" t="str">
        <f aca="false">IF(Estimates!G238="","","("&amp;TEXT(Estimates!G238,"0.00")&amp;")")</f>
        <v>(-1.84)</v>
      </c>
      <c r="G15" s="8" t="str">
        <f aca="false">IF(Estimates!G239="","","("&amp;TEXT(Estimates!G239,"0.00")&amp;")")</f>
        <v>(-2.36)</v>
      </c>
    </row>
    <row r="16" customFormat="false" ht="15" hidden="false" customHeight="false" outlineLevel="0" collapsed="false">
      <c r="A16" s="15" t="s">
        <v>44</v>
      </c>
      <c r="B16" s="16" t="n">
        <v>1538</v>
      </c>
      <c r="C16" s="16" t="n">
        <v>1320</v>
      </c>
      <c r="D16" s="16" t="n">
        <v>1319</v>
      </c>
      <c r="E16" s="16" t="n">
        <v>1319</v>
      </c>
      <c r="F16" s="16" t="n">
        <v>1320</v>
      </c>
      <c r="G16" s="16" t="n">
        <v>1320</v>
      </c>
    </row>
    <row r="17" customFormat="false" ht="15" hidden="false" customHeight="false" outlineLevel="0" collapsed="false">
      <c r="A17" s="7" t="s">
        <v>48</v>
      </c>
      <c r="B17" s="8" t="str">
        <f aca="false">IF(Estimates!H240="","n/a",TEXT(Estimates!D240,"0.000")&amp;IF(Estimates!H240&lt;0.01,"***",IF(Estimates!H240&lt;0.05,"**",IF(Estimates!H240&lt;0.1,"*",""))))</f>
        <v>-0.411**</v>
      </c>
      <c r="C17" s="8" t="str">
        <f aca="false">IF(Estimates!H241="","n/a",TEXT(Estimates!D241,"0.000")&amp;IF(Estimates!H241&lt;0.01,"***",IF(Estimates!H241&lt;0.05,"**",IF(Estimates!H241&lt;0.1,"*",""))))</f>
        <v>-0.535***</v>
      </c>
      <c r="D17" s="8" t="str">
        <f aca="false">IF(Estimates!H242="","n/a",TEXT(Estimates!D242,"0.000")&amp;IF(Estimates!H242&lt;0.01,"***",IF(Estimates!H242&lt;0.05,"**",IF(Estimates!H242&lt;0.1,"*",""))))</f>
        <v>-0.457***</v>
      </c>
      <c r="E17" s="8" t="str">
        <f aca="false">IF(Estimates!H243="","n/a",TEXT(Estimates!D243,"0.000")&amp;IF(Estimates!H243&lt;0.01,"***",IF(Estimates!H243&lt;0.05,"**",IF(Estimates!H243&lt;0.1,"*",""))))</f>
        <v>-0.409**</v>
      </c>
      <c r="F17" s="8" t="str">
        <f aca="false">IF(Estimates!H244="","n/a",TEXT(Estimates!D244,"0.000")&amp;IF(Estimates!H244&lt;0.01,"***",IF(Estimates!H244&lt;0.05,"**",IF(Estimates!H244&lt;0.1,"*",""))))</f>
        <v>-0.403*</v>
      </c>
      <c r="G17" s="8" t="str">
        <f aca="false">IF(Estimates!H245="","n/a",TEXT(Estimates!D245,"0.000")&amp;IF(Estimates!H245&lt;0.01,"***",IF(Estimates!H245&lt;0.05,"**",IF(Estimates!H245&lt;0.1,"*",""))))</f>
        <v>-0.462**</v>
      </c>
    </row>
    <row r="18" customFormat="false" ht="15" hidden="false" customHeight="false" outlineLevel="0" collapsed="false">
      <c r="B18" s="8" t="str">
        <f aca="false">IF(Estimates!G240="","","("&amp;TEXT(Estimates!G240,"0.00")&amp;")")</f>
        <v>(-2.70)</v>
      </c>
      <c r="C18" s="8" t="str">
        <f aca="false">IF(Estimates!G241="","","("&amp;TEXT(Estimates!G241,"0.00")&amp;")")</f>
        <v>(-4.41)</v>
      </c>
      <c r="D18" s="8" t="str">
        <f aca="false">IF(Estimates!G242="","","("&amp;TEXT(Estimates!G242,"0.00")&amp;")")</f>
        <v>(-3.11)</v>
      </c>
      <c r="E18" s="8" t="str">
        <f aca="false">IF(Estimates!G243="","","("&amp;TEXT(Estimates!G243,"0.00")&amp;")")</f>
        <v>(-2.36)</v>
      </c>
      <c r="F18" s="8" t="str">
        <f aca="false">IF(Estimates!G244="","","("&amp;TEXT(Estimates!G244,"0.00")&amp;")")</f>
        <v>(-1.94)</v>
      </c>
      <c r="G18" s="8" t="str">
        <f aca="false">IF(Estimates!G245="","","("&amp;TEXT(Estimates!G245,"0.00")&amp;")")</f>
        <v>(-2.51)</v>
      </c>
    </row>
    <row r="19" customFormat="false" ht="15" hidden="false" customHeight="false" outlineLevel="0" collapsed="false">
      <c r="A19" s="15" t="s">
        <v>44</v>
      </c>
      <c r="B19" s="16" t="n">
        <v>1502</v>
      </c>
      <c r="C19" s="16" t="n">
        <v>1286</v>
      </c>
      <c r="D19" s="16" t="n">
        <v>1284</v>
      </c>
      <c r="E19" s="16" t="n">
        <v>1284</v>
      </c>
      <c r="F19" s="16" t="n">
        <v>1286</v>
      </c>
      <c r="G19" s="16" t="n">
        <v>1286</v>
      </c>
    </row>
    <row r="20" customFormat="false" ht="15" hidden="false" customHeight="false" outlineLevel="0" collapsed="false">
      <c r="A20" s="7" t="s">
        <v>49</v>
      </c>
      <c r="B20" s="8" t="str">
        <f aca="false">IF(Estimates!H246="","n/a",TEXT(Estimates!D246,"0.000")&amp;IF(Estimates!H246&lt;0.01,"***",IF(Estimates!H246&lt;0.05,"**",IF(Estimates!H246&lt;0.1,"*",""))))</f>
        <v>-0.404**</v>
      </c>
      <c r="C20" s="8" t="str">
        <f aca="false">IF(Estimates!H247="","n/a",TEXT(Estimates!D247,"0.000")&amp;IF(Estimates!H247&lt;0.01,"***",IF(Estimates!H247&lt;0.05,"**",IF(Estimates!H247&lt;0.1,"*",""))))</f>
        <v>-0.503***</v>
      </c>
      <c r="D20" s="8" t="str">
        <f aca="false">IF(Estimates!H248="","n/a",TEXT(Estimates!D248,"0.000")&amp;IF(Estimates!H248&lt;0.01,"***",IF(Estimates!H248&lt;0.05,"**",IF(Estimates!H248&lt;0.1,"*",""))))</f>
        <v>-0.320**</v>
      </c>
      <c r="E20" s="8" t="str">
        <f aca="false">IF(Estimates!H249="","n/a",TEXT(Estimates!D249,"0.000")&amp;IF(Estimates!H249&lt;0.01,"***",IF(Estimates!H249&lt;0.05,"**",IF(Estimates!H249&lt;0.1,"*",""))))</f>
        <v>-0.357*</v>
      </c>
      <c r="F20" s="8" t="str">
        <f aca="false">IF(Estimates!H250="","n/a",TEXT(Estimates!D250,"0.000")&amp;IF(Estimates!H250&lt;0.01,"***",IF(Estimates!H250&lt;0.05,"**",IF(Estimates!H250&lt;0.1,"*",""))))</f>
        <v>-0.390*</v>
      </c>
      <c r="G20" s="8" t="str">
        <f aca="false">IF(Estimates!H251="","n/a",TEXT(Estimates!D251,"0.000")&amp;IF(Estimates!H251&lt;0.01,"***",IF(Estimates!H251&lt;0.05,"**",IF(Estimates!H251&lt;0.1,"*",""))))</f>
        <v>-0.445**</v>
      </c>
    </row>
    <row r="21" customFormat="false" ht="15" hidden="false" customHeight="false" outlineLevel="0" collapsed="false">
      <c r="B21" s="8" t="str">
        <f aca="false">IF(Estimates!G246="","","("&amp;TEXT(Estimates!G246,"0.00")&amp;")")</f>
        <v>(-2.63)</v>
      </c>
      <c r="C21" s="8" t="str">
        <f aca="false">IF(Estimates!G247="","","("&amp;TEXT(Estimates!G247,"0.00")&amp;")")</f>
        <v>(-4.21)</v>
      </c>
      <c r="D21" s="8" t="str">
        <f aca="false">IF(Estimates!G248="","","("&amp;TEXT(Estimates!G248,"0.00")&amp;")")</f>
        <v>(-2.11)</v>
      </c>
      <c r="E21" s="8" t="str">
        <f aca="false">IF(Estimates!G249="","","("&amp;TEXT(Estimates!G249,"0.00")&amp;")")</f>
        <v>(-2.06)</v>
      </c>
      <c r="F21" s="8" t="str">
        <f aca="false">IF(Estimates!G250="","","("&amp;TEXT(Estimates!G250,"0.00")&amp;")")</f>
        <v>(-1.90)</v>
      </c>
      <c r="G21" s="8" t="str">
        <f aca="false">IF(Estimates!G251="","","("&amp;TEXT(Estimates!G251,"0.00")&amp;")")</f>
        <v>(-2.47)</v>
      </c>
    </row>
    <row r="22" customFormat="false" ht="15" hidden="false" customHeight="false" outlineLevel="0" collapsed="false">
      <c r="A22" s="15" t="s">
        <v>44</v>
      </c>
      <c r="B22" s="16" t="n">
        <v>1538</v>
      </c>
      <c r="C22" s="16" t="n">
        <v>1320</v>
      </c>
      <c r="D22" s="16" t="n">
        <v>1319</v>
      </c>
      <c r="E22" s="16" t="n">
        <v>1319</v>
      </c>
      <c r="F22" s="16" t="n">
        <v>1320</v>
      </c>
      <c r="G22" s="16" t="n">
        <v>1320</v>
      </c>
    </row>
    <row r="23" customFormat="false" ht="15" hidden="false" customHeight="false" outlineLevel="0" collapsed="false">
      <c r="A23" s="7" t="s">
        <v>31</v>
      </c>
      <c r="B23" s="11" t="s">
        <v>32</v>
      </c>
      <c r="C23" s="11" t="s">
        <v>32</v>
      </c>
      <c r="D23" s="11" t="s">
        <v>33</v>
      </c>
      <c r="E23" s="11" t="s">
        <v>33</v>
      </c>
      <c r="F23" s="11" t="s">
        <v>32</v>
      </c>
      <c r="G23" s="11" t="s">
        <v>32</v>
      </c>
    </row>
    <row r="24" customFormat="false" ht="15" hidden="false" customHeight="false" outlineLevel="0" collapsed="false">
      <c r="A24" s="7" t="s">
        <v>34</v>
      </c>
      <c r="B24" s="11" t="s">
        <v>33</v>
      </c>
      <c r="C24" s="11" t="s">
        <v>33</v>
      </c>
      <c r="D24" s="11" t="s">
        <v>32</v>
      </c>
      <c r="E24" s="11" t="s">
        <v>33</v>
      </c>
      <c r="F24" s="11" t="s">
        <v>33</v>
      </c>
      <c r="G24" s="11" t="s">
        <v>33</v>
      </c>
    </row>
    <row r="25" customFormat="false" ht="15" hidden="false" customHeight="false" outlineLevel="0" collapsed="false">
      <c r="A25" s="12" t="s">
        <v>35</v>
      </c>
      <c r="B25" s="6"/>
      <c r="C25" s="6"/>
      <c r="D25" s="6"/>
      <c r="E25" s="6"/>
      <c r="F25" s="6" t="s">
        <v>36</v>
      </c>
      <c r="G25" s="6" t="s">
        <v>37</v>
      </c>
    </row>
    <row r="27" customFormat="false" ht="45" hidden="false" customHeight="true" outlineLevel="0" collapsed="false">
      <c r="A27" s="17" t="s">
        <v>50</v>
      </c>
      <c r="B27" s="17"/>
      <c r="C27" s="17"/>
      <c r="D27" s="17"/>
      <c r="E27" s="17"/>
      <c r="F27" s="17"/>
      <c r="G27" s="17"/>
    </row>
  </sheetData>
  <mergeCells count="2">
    <mergeCell ref="A2:G2"/>
    <mergeCell ref="A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3" style="0" width="36"/>
  </cols>
  <sheetData>
    <row r="1" customFormat="false" ht="15" hidden="false" customHeight="false" outlineLevel="0" collapsed="false">
      <c r="A1" s="15" t="s">
        <v>51</v>
      </c>
    </row>
    <row r="3" customFormat="false" ht="15" hidden="false" customHeight="false" outlineLevel="0" collapsed="false">
      <c r="A3" s="1" t="s">
        <v>52</v>
      </c>
      <c r="B3" s="1" t="s">
        <v>53</v>
      </c>
      <c r="C3" s="1" t="s">
        <v>54</v>
      </c>
      <c r="D3" s="1" t="s">
        <v>55</v>
      </c>
      <c r="E3" s="1" t="s">
        <v>56</v>
      </c>
      <c r="F3" s="1" t="s">
        <v>57</v>
      </c>
      <c r="G3" s="1" t="s">
        <v>58</v>
      </c>
      <c r="H3" s="1" t="s">
        <v>59</v>
      </c>
    </row>
    <row r="4" customFormat="false" ht="15" hidden="false" customHeight="false" outlineLevel="0" collapsed="false">
      <c r="A4" s="7" t="s">
        <v>60</v>
      </c>
      <c r="B4" s="7" t="s">
        <v>3</v>
      </c>
      <c r="C4" s="7" t="s">
        <v>10</v>
      </c>
      <c r="D4" s="18" t="n">
        <v>-0.556970128853978</v>
      </c>
      <c r="E4" s="18" t="n">
        <v>0.151418221611061</v>
      </c>
      <c r="F4" s="19" t="n">
        <v>19</v>
      </c>
      <c r="G4" s="20" t="n">
        <f aca="false">IF(E4&gt;0,D4/E4,"")</f>
        <v>-3.67835603223921</v>
      </c>
      <c r="H4" s="20" t="n">
        <f aca="false">IF(G4="","",TDIST(ABS(G4),F4-1,2))</f>
        <v>0.00171957647915605</v>
      </c>
    </row>
    <row r="5" customFormat="false" ht="15" hidden="false" customHeight="false" outlineLevel="0" collapsed="false">
      <c r="A5" s="7" t="s">
        <v>60</v>
      </c>
      <c r="B5" s="7" t="s">
        <v>4</v>
      </c>
      <c r="C5" s="7" t="s">
        <v>10</v>
      </c>
      <c r="D5" s="18" t="n">
        <v>-0.582325183586496</v>
      </c>
      <c r="E5" s="18" t="n">
        <v>0.18629979837381</v>
      </c>
      <c r="F5" s="19" t="n">
        <v>19</v>
      </c>
      <c r="G5" s="20" t="n">
        <f aca="false">IF(E5&gt;0,D5/E5,"")</f>
        <v>-3.12574242521757</v>
      </c>
      <c r="H5" s="20" t="n">
        <f aca="false">IF(G5="","",TDIST(ABS(G5),F5-1,2))</f>
        <v>0.00584075673311107</v>
      </c>
    </row>
    <row r="6" customFormat="false" ht="15" hidden="false" customHeight="false" outlineLevel="0" collapsed="false">
      <c r="A6" s="7" t="s">
        <v>60</v>
      </c>
      <c r="B6" s="7" t="s">
        <v>5</v>
      </c>
      <c r="C6" s="7" t="s">
        <v>10</v>
      </c>
      <c r="D6" s="18" t="n">
        <v>-0.640763115495849</v>
      </c>
      <c r="E6" s="18" t="n">
        <v>0.290379989745637</v>
      </c>
      <c r="F6" s="19" t="n">
        <v>19</v>
      </c>
      <c r="G6" s="20" t="n">
        <f aca="false">IF(E6&gt;0,D6/E6,"")</f>
        <v>-2.20663660762966</v>
      </c>
      <c r="H6" s="20" t="n">
        <f aca="false">IF(G6="","",TDIST(ABS(G6),F6-1,2))</f>
        <v>0.0405682102179361</v>
      </c>
    </row>
    <row r="7" customFormat="false" ht="15" hidden="false" customHeight="false" outlineLevel="0" collapsed="false">
      <c r="A7" s="7" t="s">
        <v>60</v>
      </c>
      <c r="B7" s="7" t="s">
        <v>6</v>
      </c>
      <c r="C7" s="7" t="s">
        <v>10</v>
      </c>
      <c r="D7" s="18" t="n">
        <v>-0.697921913178826</v>
      </c>
      <c r="E7" s="18" t="n">
        <v>0.29373848060631</v>
      </c>
      <c r="F7" s="19" t="n">
        <v>19</v>
      </c>
      <c r="G7" s="20" t="n">
        <f aca="false">IF(E7&gt;0,D7/E7,"")</f>
        <v>-2.37599755993234</v>
      </c>
      <c r="H7" s="20" t="n">
        <f aca="false">IF(G7="","",TDIST(ABS(G7),F7-1,2))</f>
        <v>0.0288096004414067</v>
      </c>
    </row>
    <row r="8" customFormat="false" ht="15" hidden="false" customHeight="false" outlineLevel="0" collapsed="false">
      <c r="A8" s="7" t="s">
        <v>60</v>
      </c>
      <c r="B8" s="7" t="s">
        <v>7</v>
      </c>
      <c r="C8" s="7" t="s">
        <v>10</v>
      </c>
      <c r="D8" s="18" t="n">
        <v>-0.474523744857271</v>
      </c>
      <c r="E8" s="18" t="n">
        <v>0.226399807940325</v>
      </c>
      <c r="F8" s="19" t="n">
        <v>19</v>
      </c>
      <c r="G8" s="20" t="n">
        <f aca="false">IF(E8&gt;0,D8/E8,"")</f>
        <v>-2.09595471468927</v>
      </c>
      <c r="H8" s="20" t="n">
        <f aca="false">IF(G8="","",TDIST(ABS(G8),F8-1,2))</f>
        <v>0.0504888025854171</v>
      </c>
    </row>
    <row r="9" customFormat="false" ht="15" hidden="false" customHeight="false" outlineLevel="0" collapsed="false">
      <c r="A9" s="7" t="s">
        <v>60</v>
      </c>
      <c r="B9" s="7" t="s">
        <v>8</v>
      </c>
      <c r="C9" s="7" t="s">
        <v>10</v>
      </c>
      <c r="D9" s="18" t="n">
        <v>-0.508346162347472</v>
      </c>
      <c r="E9" s="18" t="n">
        <v>0.182691603391415</v>
      </c>
      <c r="F9" s="19" t="n">
        <v>19</v>
      </c>
      <c r="G9" s="20" t="n">
        <f aca="false">IF(E9&gt;0,D9/E9,"")</f>
        <v>-2.78253708933927</v>
      </c>
      <c r="H9" s="20" t="n">
        <f aca="false">IF(G9="","",TDIST(ABS(G9),F9-1,2))</f>
        <v>0.0122877085969546</v>
      </c>
    </row>
    <row r="10" customFormat="false" ht="15" hidden="false" customHeight="false" outlineLevel="0" collapsed="false">
      <c r="A10" s="7" t="s">
        <v>60</v>
      </c>
      <c r="B10" s="7" t="s">
        <v>3</v>
      </c>
      <c r="C10" s="7" t="s">
        <v>11</v>
      </c>
      <c r="D10" s="18" t="n">
        <v>0.0139098693337953</v>
      </c>
      <c r="E10" s="18" t="n">
        <v>0.0195137772804875</v>
      </c>
      <c r="F10" s="19" t="n">
        <v>19</v>
      </c>
      <c r="G10" s="20" t="n">
        <f aca="false">IF(E10&gt;0,D10/E10,"")</f>
        <v>0.712823003658256</v>
      </c>
      <c r="H10" s="20" t="n">
        <f aca="false">IF(G10="","",TDIST(ABS(G10),F10-1,2))</f>
        <v>0.48509433851858</v>
      </c>
    </row>
    <row r="11" customFormat="false" ht="15" hidden="false" customHeight="false" outlineLevel="0" collapsed="false">
      <c r="A11" s="7" t="s">
        <v>60</v>
      </c>
      <c r="B11" s="7" t="s">
        <v>4</v>
      </c>
      <c r="C11" s="7" t="s">
        <v>11</v>
      </c>
      <c r="D11" s="18" t="n">
        <v>0.00417238701183497</v>
      </c>
      <c r="E11" s="18" t="n">
        <v>0.0209724870228804</v>
      </c>
      <c r="F11" s="19" t="n">
        <v>19</v>
      </c>
      <c r="G11" s="20" t="n">
        <f aca="false">IF(E11&gt;0,D11/E11,"")</f>
        <v>0.198945742928963</v>
      </c>
      <c r="H11" s="20" t="n">
        <f aca="false">IF(G11="","",TDIST(ABS(G11),F11-1,2))</f>
        <v>0.844535114184656</v>
      </c>
    </row>
    <row r="12" customFormat="false" ht="15" hidden="false" customHeight="false" outlineLevel="0" collapsed="false">
      <c r="A12" s="7" t="s">
        <v>60</v>
      </c>
      <c r="B12" s="7" t="s">
        <v>5</v>
      </c>
      <c r="C12" s="7" t="s">
        <v>11</v>
      </c>
      <c r="D12" s="18" t="n">
        <v>0.0106243414525751</v>
      </c>
      <c r="E12" s="18" t="n">
        <v>0.00895118489486797</v>
      </c>
      <c r="F12" s="19" t="n">
        <v>19</v>
      </c>
      <c r="G12" s="20" t="n">
        <f aca="false">IF(E12&gt;0,D12/E12,"")</f>
        <v>1.18692012033696</v>
      </c>
      <c r="H12" s="20" t="n">
        <f aca="false">IF(G12="","",TDIST(ABS(G12),F12-1,2))</f>
        <v>0.250688253618037</v>
      </c>
    </row>
    <row r="13" customFormat="false" ht="15" hidden="false" customHeight="false" outlineLevel="0" collapsed="false">
      <c r="A13" s="7" t="s">
        <v>60</v>
      </c>
      <c r="B13" s="7" t="s">
        <v>6</v>
      </c>
      <c r="C13" s="7" t="s">
        <v>11</v>
      </c>
      <c r="D13" s="18" t="n">
        <v>0.00044173875300448</v>
      </c>
      <c r="E13" s="18" t="n">
        <v>0.0164704364027417</v>
      </c>
      <c r="F13" s="19" t="n">
        <v>19</v>
      </c>
      <c r="G13" s="20" t="n">
        <f aca="false">IF(E13&gt;0,D13/E13,"")</f>
        <v>0.0268201000995303</v>
      </c>
      <c r="H13" s="20" t="n">
        <f aca="false">IF(G13="","",TDIST(ABS(G13),F13-1,2))</f>
        <v>0.97889833498283</v>
      </c>
    </row>
    <row r="14" customFormat="false" ht="15" hidden="false" customHeight="false" outlineLevel="0" collapsed="false">
      <c r="A14" s="7" t="s">
        <v>60</v>
      </c>
      <c r="B14" s="7" t="s">
        <v>7</v>
      </c>
      <c r="C14" s="7" t="s">
        <v>11</v>
      </c>
      <c r="D14" s="18" t="n">
        <v>0.00445602297989359</v>
      </c>
      <c r="E14" s="18" t="n">
        <v>0.021318069863157</v>
      </c>
      <c r="F14" s="19" t="n">
        <v>19</v>
      </c>
      <c r="G14" s="20" t="n">
        <f aca="false">IF(E14&gt;0,D14/E14,"")</f>
        <v>0.209025629829402</v>
      </c>
      <c r="H14" s="20" t="n">
        <f aca="false">IF(G14="","",TDIST(ABS(G14),F14-1,2))</f>
        <v>0.836775527247936</v>
      </c>
    </row>
    <row r="15" customFormat="false" ht="15" hidden="false" customHeight="false" outlineLevel="0" collapsed="false">
      <c r="A15" s="7" t="s">
        <v>60</v>
      </c>
      <c r="B15" s="7" t="s">
        <v>8</v>
      </c>
      <c r="C15" s="7" t="s">
        <v>11</v>
      </c>
      <c r="D15" s="18" t="n">
        <v>0.00428782924045264</v>
      </c>
      <c r="E15" s="18" t="n">
        <v>0.020925076644806</v>
      </c>
      <c r="F15" s="19" t="n">
        <v>19</v>
      </c>
      <c r="G15" s="20" t="n">
        <f aca="false">IF(E15&gt;0,D15/E15,"")</f>
        <v>0.204913430580765</v>
      </c>
      <c r="H15" s="20" t="n">
        <f aca="false">IF(G15="","",TDIST(ABS(G15),F15-1,2))</f>
        <v>0.839939102889594</v>
      </c>
    </row>
    <row r="16" customFormat="false" ht="15" hidden="false" customHeight="false" outlineLevel="0" collapsed="false">
      <c r="A16" s="7" t="s">
        <v>60</v>
      </c>
      <c r="B16" s="7" t="s">
        <v>3</v>
      </c>
      <c r="C16" s="7" t="s">
        <v>12</v>
      </c>
      <c r="D16" s="18" t="n">
        <v>0.00833501848933785</v>
      </c>
      <c r="E16" s="18" t="n">
        <v>0.0561701216423549</v>
      </c>
      <c r="F16" s="19" t="n">
        <v>19</v>
      </c>
      <c r="G16" s="20" t="n">
        <f aca="false">IF(E16&gt;0,D16/E16,"")</f>
        <v>0.148388827469671</v>
      </c>
      <c r="H16" s="20" t="n">
        <f aca="false">IF(G16="","",TDIST(ABS(G16),F16-1,2))</f>
        <v>0.883685634308368</v>
      </c>
    </row>
    <row r="17" customFormat="false" ht="15" hidden="false" customHeight="false" outlineLevel="0" collapsed="false">
      <c r="A17" s="7" t="s">
        <v>60</v>
      </c>
      <c r="B17" s="7" t="s">
        <v>4</v>
      </c>
      <c r="C17" s="7" t="s">
        <v>12</v>
      </c>
      <c r="D17" s="18" t="n">
        <v>0.0703574270290269</v>
      </c>
      <c r="E17" s="18" t="n">
        <v>0.0618049535998656</v>
      </c>
      <c r="F17" s="19" t="n">
        <v>19</v>
      </c>
      <c r="G17" s="20" t="n">
        <f aca="false">IF(E17&gt;0,D17/E17,"")</f>
        <v>1.13837844591764</v>
      </c>
      <c r="H17" s="20" t="n">
        <f aca="false">IF(G17="","",TDIST(ABS(G17),F17-1,2))</f>
        <v>0.269887816225332</v>
      </c>
    </row>
    <row r="18" customFormat="false" ht="15" hidden="false" customHeight="false" outlineLevel="0" collapsed="false">
      <c r="A18" s="7" t="s">
        <v>60</v>
      </c>
      <c r="B18" s="7" t="s">
        <v>5</v>
      </c>
      <c r="C18" s="7" t="s">
        <v>12</v>
      </c>
      <c r="D18" s="18" t="n">
        <v>-0.942917739503852</v>
      </c>
      <c r="E18" s="18" t="n">
        <v>0.379567495014365</v>
      </c>
      <c r="F18" s="19" t="n">
        <v>19</v>
      </c>
      <c r="G18" s="20" t="n">
        <f aca="false">IF(E18&gt;0,D18/E18,"")</f>
        <v>-2.48418990532413</v>
      </c>
      <c r="H18" s="20" t="n">
        <f aca="false">IF(G18="","",TDIST(ABS(G18),F18-1,2))</f>
        <v>0.0230525945812713</v>
      </c>
    </row>
    <row r="19" customFormat="false" ht="15" hidden="false" customHeight="false" outlineLevel="0" collapsed="false">
      <c r="A19" s="7" t="s">
        <v>60</v>
      </c>
      <c r="B19" s="7" t="s">
        <v>6</v>
      </c>
      <c r="C19" s="7" t="s">
        <v>12</v>
      </c>
      <c r="D19" s="18" t="n">
        <v>-1.43021606409885</v>
      </c>
      <c r="E19" s="18" t="n">
        <v>0.732157167638977</v>
      </c>
      <c r="F19" s="19" t="n">
        <v>19</v>
      </c>
      <c r="G19" s="20" t="n">
        <f aca="false">IF(E19&gt;0,D19/E19,"")</f>
        <v>-1.95342766186519</v>
      </c>
      <c r="H19" s="20" t="n">
        <f aca="false">IF(G19="","",TDIST(ABS(G19),F19-1,2))</f>
        <v>0.0664918052569919</v>
      </c>
    </row>
    <row r="20" customFormat="false" ht="15" hidden="false" customHeight="false" outlineLevel="0" collapsed="false">
      <c r="A20" s="7" t="s">
        <v>60</v>
      </c>
      <c r="B20" s="7" t="s">
        <v>7</v>
      </c>
      <c r="C20" s="7" t="s">
        <v>12</v>
      </c>
      <c r="D20" s="18" t="n">
        <v>0.0785567587880832</v>
      </c>
      <c r="E20" s="18" t="n">
        <v>0.0611499496771675</v>
      </c>
      <c r="F20" s="19" t="n">
        <v>19</v>
      </c>
      <c r="G20" s="20" t="n">
        <f aca="false">IF(E20&gt;0,D20/E20,"")</f>
        <v>1.28465778308588</v>
      </c>
      <c r="H20" s="20" t="n">
        <f aca="false">IF(G20="","",TDIST(ABS(G20),F20-1,2))</f>
        <v>0.215199100577445</v>
      </c>
    </row>
    <row r="21" customFormat="false" ht="15" hidden="false" customHeight="false" outlineLevel="0" collapsed="false">
      <c r="A21" s="7" t="s">
        <v>60</v>
      </c>
      <c r="B21" s="7" t="s">
        <v>8</v>
      </c>
      <c r="C21" s="7" t="s">
        <v>12</v>
      </c>
      <c r="D21" s="18" t="n">
        <v>0.0747596390003279</v>
      </c>
      <c r="E21" s="18" t="n">
        <v>0.0608201902418779</v>
      </c>
      <c r="F21" s="19" t="n">
        <v>19</v>
      </c>
      <c r="G21" s="20" t="n">
        <f aca="false">IF(E21&gt;0,D21/E21,"")</f>
        <v>1.22919114036003</v>
      </c>
      <c r="H21" s="20" t="n">
        <f aca="false">IF(G21="","",TDIST(ABS(G21),F21-1,2))</f>
        <v>0.234827217061619</v>
      </c>
    </row>
    <row r="22" customFormat="false" ht="15" hidden="false" customHeight="false" outlineLevel="0" collapsed="false">
      <c r="A22" s="7" t="s">
        <v>60</v>
      </c>
      <c r="B22" s="7" t="s">
        <v>3</v>
      </c>
      <c r="C22" s="7" t="s">
        <v>13</v>
      </c>
      <c r="D22" s="18" t="n">
        <v>-0.00525744918073318</v>
      </c>
      <c r="E22" s="18" t="n">
        <v>0.00450992087888185</v>
      </c>
      <c r="F22" s="19" t="n">
        <v>19</v>
      </c>
      <c r="G22" s="20" t="n">
        <f aca="false">IF(E22&gt;0,D22/E22,"")</f>
        <v>-1.16575197701399</v>
      </c>
      <c r="H22" s="20" t="n">
        <f aca="false">IF(G22="","",TDIST(ABS(G22),F22-1,2))</f>
        <v>0.258930094144849</v>
      </c>
    </row>
    <row r="23" customFormat="false" ht="15" hidden="false" customHeight="false" outlineLevel="0" collapsed="false">
      <c r="A23" s="7" t="s">
        <v>60</v>
      </c>
      <c r="B23" s="7" t="s">
        <v>4</v>
      </c>
      <c r="C23" s="7" t="s">
        <v>13</v>
      </c>
      <c r="D23" s="18" t="n">
        <v>-0.00573886247593595</v>
      </c>
      <c r="E23" s="18" t="n">
        <v>0.00506184640856291</v>
      </c>
      <c r="F23" s="19" t="n">
        <v>19</v>
      </c>
      <c r="G23" s="20" t="n">
        <f aca="false">IF(E23&gt;0,D23/E23,"")</f>
        <v>-1.13374883643798</v>
      </c>
      <c r="H23" s="20" t="n">
        <f aca="false">IF(G23="","",TDIST(ABS(G23),F23-1,2))</f>
        <v>0.271774727258946</v>
      </c>
    </row>
    <row r="24" customFormat="false" ht="15" hidden="false" customHeight="false" outlineLevel="0" collapsed="false">
      <c r="A24" s="7" t="s">
        <v>60</v>
      </c>
      <c r="B24" s="7" t="s">
        <v>5</v>
      </c>
      <c r="C24" s="7" t="s">
        <v>13</v>
      </c>
      <c r="D24" s="18" t="n">
        <v>-0.0271923891152731</v>
      </c>
      <c r="E24" s="18" t="n">
        <v>0.00859734094299731</v>
      </c>
      <c r="F24" s="19" t="n">
        <v>19</v>
      </c>
      <c r="G24" s="20" t="n">
        <f aca="false">IF(E24&gt;0,D24/E24,"")</f>
        <v>-3.16288365153435</v>
      </c>
      <c r="H24" s="20" t="n">
        <f aca="false">IF(G24="","",TDIST(ABS(G24),F24-1,2))</f>
        <v>0.00538399198007562</v>
      </c>
    </row>
    <row r="25" customFormat="false" ht="15" hidden="false" customHeight="false" outlineLevel="0" collapsed="false">
      <c r="A25" s="7" t="s">
        <v>60</v>
      </c>
      <c r="B25" s="7" t="s">
        <v>6</v>
      </c>
      <c r="C25" s="7" t="s">
        <v>13</v>
      </c>
      <c r="D25" s="18" t="n">
        <v>-0.0302762660375354</v>
      </c>
      <c r="E25" s="18" t="n">
        <v>0.009997048194885</v>
      </c>
      <c r="F25" s="19" t="n">
        <v>19</v>
      </c>
      <c r="G25" s="20" t="n">
        <f aca="false">IF(E25&gt;0,D25/E25,"")</f>
        <v>-3.02852056400271</v>
      </c>
      <c r="H25" s="20" t="n">
        <f aca="false">IF(G25="","",TDIST(ABS(G25),F25-1,2))</f>
        <v>0.00722283934863584</v>
      </c>
    </row>
    <row r="26" customFormat="false" ht="15" hidden="false" customHeight="false" outlineLevel="0" collapsed="false">
      <c r="A26" s="7" t="s">
        <v>60</v>
      </c>
      <c r="B26" s="7" t="s">
        <v>7</v>
      </c>
      <c r="C26" s="7" t="s">
        <v>13</v>
      </c>
      <c r="D26" s="18" t="n">
        <v>-0.00503826341125432</v>
      </c>
      <c r="E26" s="18" t="n">
        <v>0.00501238940832373</v>
      </c>
      <c r="F26" s="19" t="n">
        <v>19</v>
      </c>
      <c r="G26" s="20" t="n">
        <f aca="false">IF(E26&gt;0,D26/E26,"")</f>
        <v>-1.00516200973684</v>
      </c>
      <c r="H26" s="20" t="n">
        <f aca="false">IF(G26="","",TDIST(ABS(G26),F26-1,2))</f>
        <v>0.328140903807698</v>
      </c>
    </row>
    <row r="27" customFormat="false" ht="15" hidden="false" customHeight="false" outlineLevel="0" collapsed="false">
      <c r="A27" s="7" t="s">
        <v>60</v>
      </c>
      <c r="B27" s="7" t="s">
        <v>8</v>
      </c>
      <c r="C27" s="7" t="s">
        <v>13</v>
      </c>
      <c r="D27" s="18" t="n">
        <v>-0.00504080384920065</v>
      </c>
      <c r="E27" s="18" t="n">
        <v>0.00483747454501571</v>
      </c>
      <c r="F27" s="19" t="n">
        <v>19</v>
      </c>
      <c r="G27" s="20" t="n">
        <f aca="false">IF(E27&gt;0,D27/E27,"")</f>
        <v>-1.04203211867945</v>
      </c>
      <c r="H27" s="20" t="n">
        <f aca="false">IF(G27="","",TDIST(ABS(G27),F27-1,2))</f>
        <v>0.311191160649647</v>
      </c>
    </row>
    <row r="28" customFormat="false" ht="15" hidden="false" customHeight="false" outlineLevel="0" collapsed="false">
      <c r="A28" s="7" t="s">
        <v>60</v>
      </c>
      <c r="B28" s="7" t="s">
        <v>3</v>
      </c>
      <c r="C28" s="7" t="s">
        <v>14</v>
      </c>
      <c r="D28" s="18" t="n">
        <v>-0.0791490127660422</v>
      </c>
      <c r="E28" s="18" t="n">
        <v>0.13716471469667</v>
      </c>
      <c r="F28" s="19" t="n">
        <v>19</v>
      </c>
      <c r="G28" s="20" t="n">
        <f aca="false">IF(E28&gt;0,D28/E28,"")</f>
        <v>-0.577036251204072</v>
      </c>
      <c r="H28" s="20" t="n">
        <f aca="false">IF(G28="","",TDIST(ABS(G28),F28-1,2))</f>
        <v>0.57106214139823</v>
      </c>
    </row>
    <row r="29" customFormat="false" ht="15" hidden="false" customHeight="false" outlineLevel="0" collapsed="false">
      <c r="A29" s="7" t="s">
        <v>60</v>
      </c>
      <c r="B29" s="7" t="s">
        <v>4</v>
      </c>
      <c r="C29" s="7" t="s">
        <v>14</v>
      </c>
      <c r="D29" s="18" t="n">
        <v>0.00408826109080043</v>
      </c>
      <c r="E29" s="18" t="n">
        <v>0.0652693555219346</v>
      </c>
      <c r="F29" s="19" t="n">
        <v>19</v>
      </c>
      <c r="G29" s="20" t="n">
        <f aca="false">IF(E29&gt;0,D29/E29,"")</f>
        <v>0.0626367620471834</v>
      </c>
      <c r="H29" s="20" t="n">
        <f aca="false">IF(G29="","",TDIST(ABS(G29),F29-1,2))</f>
        <v>0.950746065644302</v>
      </c>
    </row>
    <row r="30" customFormat="false" ht="15" hidden="false" customHeight="false" outlineLevel="0" collapsed="false">
      <c r="A30" s="7" t="s">
        <v>60</v>
      </c>
      <c r="B30" s="7" t="s">
        <v>5</v>
      </c>
      <c r="C30" s="7" t="s">
        <v>14</v>
      </c>
      <c r="D30" s="18" t="n">
        <v>-0.0588160528065988</v>
      </c>
      <c r="E30" s="18" t="n">
        <v>0.0746843466860824</v>
      </c>
      <c r="F30" s="19" t="n">
        <v>19</v>
      </c>
      <c r="G30" s="20" t="n">
        <f aca="false">IF(E30&gt;0,D30/E30,"")</f>
        <v>-0.787528517238262</v>
      </c>
      <c r="H30" s="20" t="n">
        <f aca="false">IF(G30="","",TDIST(ABS(G30),F30-1,2))</f>
        <v>0.44122004505994</v>
      </c>
    </row>
    <row r="31" customFormat="false" ht="15" hidden="false" customHeight="false" outlineLevel="0" collapsed="false">
      <c r="A31" s="7" t="s">
        <v>60</v>
      </c>
      <c r="B31" s="7" t="s">
        <v>6</v>
      </c>
      <c r="C31" s="7" t="s">
        <v>14</v>
      </c>
      <c r="D31" s="18" t="n">
        <v>-0.0399683075028881</v>
      </c>
      <c r="E31" s="18" t="n">
        <v>0.082271628540779</v>
      </c>
      <c r="F31" s="19" t="n">
        <v>19</v>
      </c>
      <c r="G31" s="20" t="n">
        <f aca="false">IF(E31&gt;0,D31/E31,"")</f>
        <v>-0.48580912049258</v>
      </c>
      <c r="H31" s="20" t="n">
        <f aca="false">IF(G31="","",TDIST(ABS(G31),F31-1,2))</f>
        <v>0.632963563969836</v>
      </c>
    </row>
    <row r="32" customFormat="false" ht="15" hidden="false" customHeight="false" outlineLevel="0" collapsed="false">
      <c r="A32" s="7" t="s">
        <v>60</v>
      </c>
      <c r="B32" s="7" t="s">
        <v>7</v>
      </c>
      <c r="C32" s="7" t="s">
        <v>14</v>
      </c>
      <c r="D32" s="18" t="n">
        <v>0.0375534950350668</v>
      </c>
      <c r="E32" s="18" t="n">
        <v>0.0647773517674813</v>
      </c>
      <c r="F32" s="19" t="n">
        <v>19</v>
      </c>
      <c r="G32" s="20" t="n">
        <f aca="false">IF(E32&gt;0,D32/E32,"")</f>
        <v>0.579731866314407</v>
      </c>
      <c r="H32" s="20" t="n">
        <f aca="false">IF(G32="","",TDIST(ABS(G32),F32-1,2))</f>
        <v>0.569281422444708</v>
      </c>
    </row>
    <row r="33" customFormat="false" ht="15" hidden="false" customHeight="false" outlineLevel="0" collapsed="false">
      <c r="A33" s="7" t="s">
        <v>60</v>
      </c>
      <c r="B33" s="7" t="s">
        <v>8</v>
      </c>
      <c r="C33" s="7" t="s">
        <v>14</v>
      </c>
      <c r="D33" s="18" t="n">
        <v>0.0402680415915552</v>
      </c>
      <c r="E33" s="18" t="n">
        <v>0.0658445284825748</v>
      </c>
      <c r="F33" s="19" t="n">
        <v>19</v>
      </c>
      <c r="G33" s="20" t="n">
        <f aca="false">IF(E33&gt;0,D33/E33,"")</f>
        <v>0.611562456586074</v>
      </c>
      <c r="H33" s="20" t="n">
        <f aca="false">IF(G33="","",TDIST(ABS(G33),F33-1,2))</f>
        <v>0.548474264429898</v>
      </c>
    </row>
    <row r="34" customFormat="false" ht="15" hidden="false" customHeight="false" outlineLevel="0" collapsed="false">
      <c r="A34" s="7" t="s">
        <v>60</v>
      </c>
      <c r="B34" s="7" t="s">
        <v>3</v>
      </c>
      <c r="C34" s="7" t="s">
        <v>15</v>
      </c>
      <c r="D34" s="18" t="n">
        <v>-0.0878367142486061</v>
      </c>
      <c r="E34" s="18" t="n">
        <v>0.146413113093358</v>
      </c>
      <c r="F34" s="19" t="n">
        <v>19</v>
      </c>
      <c r="G34" s="20" t="n">
        <f aca="false">IF(E34&gt;0,D34/E34,"")</f>
        <v>-0.599923820980424</v>
      </c>
      <c r="H34" s="20" t="n">
        <f aca="false">IF(G34="","",TDIST(ABS(G34),F34-1,2))</f>
        <v>0.556034832699604</v>
      </c>
    </row>
    <row r="35" customFormat="false" ht="15" hidden="false" customHeight="false" outlineLevel="0" collapsed="false">
      <c r="A35" s="7" t="s">
        <v>60</v>
      </c>
      <c r="B35" s="7" t="s">
        <v>4</v>
      </c>
      <c r="C35" s="7" t="s">
        <v>15</v>
      </c>
      <c r="D35" s="18" t="n">
        <v>-0.000645976513346105</v>
      </c>
      <c r="E35" s="18" t="n">
        <v>0.0749936335396967</v>
      </c>
      <c r="F35" s="19" t="n">
        <v>19</v>
      </c>
      <c r="G35" s="20" t="n">
        <f aca="false">IF(E35&gt;0,D35/E35,"")</f>
        <v>-0.00861375136602986</v>
      </c>
      <c r="H35" s="20" t="n">
        <f aca="false">IF(G35="","",TDIST(ABS(G35),F35-1,2))</f>
        <v>0.993222056441538</v>
      </c>
    </row>
    <row r="36" customFormat="false" ht="15" hidden="false" customHeight="false" outlineLevel="0" collapsed="false">
      <c r="A36" s="7" t="s">
        <v>60</v>
      </c>
      <c r="B36" s="7" t="s">
        <v>5</v>
      </c>
      <c r="C36" s="7" t="s">
        <v>15</v>
      </c>
      <c r="D36" s="18" t="n">
        <v>-0.0694964229253819</v>
      </c>
      <c r="E36" s="18" t="n">
        <v>0.0872089708132735</v>
      </c>
      <c r="F36" s="19" t="n">
        <v>19</v>
      </c>
      <c r="G36" s="20" t="n">
        <f aca="false">IF(E36&gt;0,D36/E36,"")</f>
        <v>-0.796895345482099</v>
      </c>
      <c r="H36" s="20" t="n">
        <f aca="false">IF(G36="","",TDIST(ABS(G36),F36-1,2))</f>
        <v>0.435897717005042</v>
      </c>
    </row>
    <row r="37" customFormat="false" ht="15" hidden="false" customHeight="false" outlineLevel="0" collapsed="false">
      <c r="A37" s="7" t="s">
        <v>60</v>
      </c>
      <c r="B37" s="7" t="s">
        <v>6</v>
      </c>
      <c r="C37" s="7" t="s">
        <v>15</v>
      </c>
      <c r="D37" s="18" t="n">
        <v>-0.0467709027651425</v>
      </c>
      <c r="E37" s="18" t="n">
        <v>0.091090220412582</v>
      </c>
      <c r="F37" s="19" t="n">
        <v>19</v>
      </c>
      <c r="G37" s="20" t="n">
        <f aca="false">IF(E37&gt;0,D37/E37,"")</f>
        <v>-0.513456906277089</v>
      </c>
      <c r="H37" s="20" t="n">
        <f aca="false">IF(G37="","",TDIST(ABS(G37),F37-1,2))</f>
        <v>0.61387664379433</v>
      </c>
    </row>
    <row r="38" customFormat="false" ht="15" hidden="false" customHeight="false" outlineLevel="0" collapsed="false">
      <c r="A38" s="7" t="s">
        <v>60</v>
      </c>
      <c r="B38" s="7" t="s">
        <v>7</v>
      </c>
      <c r="C38" s="7" t="s">
        <v>15</v>
      </c>
      <c r="D38" s="18" t="n">
        <v>0.0329090874558899</v>
      </c>
      <c r="E38" s="18" t="n">
        <v>0.0735679833894018</v>
      </c>
      <c r="F38" s="19" t="n">
        <v>19</v>
      </c>
      <c r="G38" s="20" t="n">
        <f aca="false">IF(E38&gt;0,D38/E38,"")</f>
        <v>0.447328932229924</v>
      </c>
      <c r="H38" s="20" t="n">
        <f aca="false">IF(G38="","",TDIST(ABS(G38),F38-1,2))</f>
        <v>0.65997394269522</v>
      </c>
    </row>
    <row r="39" customFormat="false" ht="15" hidden="false" customHeight="false" outlineLevel="0" collapsed="false">
      <c r="A39" s="7" t="s">
        <v>60</v>
      </c>
      <c r="B39" s="7" t="s">
        <v>8</v>
      </c>
      <c r="C39" s="7" t="s">
        <v>15</v>
      </c>
      <c r="D39" s="18" t="n">
        <v>0.0360742313583689</v>
      </c>
      <c r="E39" s="18" t="n">
        <v>0.0754616167070291</v>
      </c>
      <c r="F39" s="19" t="n">
        <v>19</v>
      </c>
      <c r="G39" s="20" t="n">
        <f aca="false">IF(E39&gt;0,D39/E39,"")</f>
        <v>0.478047422419042</v>
      </c>
      <c r="H39" s="20" t="n">
        <f aca="false">IF(G39="","",TDIST(ABS(G39),F39-1,2))</f>
        <v>0.63837076303047</v>
      </c>
    </row>
    <row r="40" customFormat="false" ht="15" hidden="false" customHeight="false" outlineLevel="0" collapsed="false">
      <c r="A40" s="7" t="s">
        <v>60</v>
      </c>
      <c r="B40" s="7" t="s">
        <v>3</v>
      </c>
      <c r="C40" s="7" t="s">
        <v>16</v>
      </c>
      <c r="D40" s="18" t="n">
        <v>-0.0588314873150744</v>
      </c>
      <c r="E40" s="18" t="n">
        <v>0.136698909910906</v>
      </c>
      <c r="F40" s="19" t="n">
        <v>19</v>
      </c>
      <c r="G40" s="20" t="n">
        <f aca="false">IF(E40&gt;0,D40/E40,"")</f>
        <v>-0.430372761226976</v>
      </c>
      <c r="H40" s="20" t="n">
        <f aca="false">IF(G40="","",TDIST(ABS(G40),F40-1,2))</f>
        <v>0.672033339237001</v>
      </c>
    </row>
    <row r="41" customFormat="false" ht="15" hidden="false" customHeight="false" outlineLevel="0" collapsed="false">
      <c r="A41" s="7" t="s">
        <v>60</v>
      </c>
      <c r="B41" s="7" t="s">
        <v>4</v>
      </c>
      <c r="C41" s="7" t="s">
        <v>16</v>
      </c>
      <c r="D41" s="18" t="n">
        <v>0.0262373251006927</v>
      </c>
      <c r="E41" s="18" t="n">
        <v>0.0588929503633106</v>
      </c>
      <c r="F41" s="19" t="n">
        <v>19</v>
      </c>
      <c r="G41" s="20" t="n">
        <f aca="false">IF(E41&gt;0,D41/E41,"")</f>
        <v>0.445508756800851</v>
      </c>
      <c r="H41" s="20" t="n">
        <f aca="false">IF(G41="","",TDIST(ABS(G41),F41-1,2))</f>
        <v>0.661263961675972</v>
      </c>
    </row>
    <row r="42" customFormat="false" ht="15" hidden="false" customHeight="false" outlineLevel="0" collapsed="false">
      <c r="A42" s="7" t="s">
        <v>60</v>
      </c>
      <c r="B42" s="7" t="s">
        <v>5</v>
      </c>
      <c r="C42" s="7" t="s">
        <v>16</v>
      </c>
      <c r="D42" s="18" t="n">
        <v>-0.100159749315514</v>
      </c>
      <c r="E42" s="18" t="n">
        <v>0.0711448678680554</v>
      </c>
      <c r="F42" s="19" t="n">
        <v>19</v>
      </c>
      <c r="G42" s="20" t="n">
        <f aca="false">IF(E42&gt;0,D42/E42,"")</f>
        <v>-1.40782817252917</v>
      </c>
      <c r="H42" s="20" t="n">
        <f aca="false">IF(G42="","",TDIST(ABS(G42),F42-1,2))</f>
        <v>0.176218149164511</v>
      </c>
    </row>
    <row r="43" customFormat="false" ht="15" hidden="false" customHeight="false" outlineLevel="0" collapsed="false">
      <c r="A43" s="7" t="s">
        <v>60</v>
      </c>
      <c r="B43" s="7" t="s">
        <v>6</v>
      </c>
      <c r="C43" s="7" t="s">
        <v>16</v>
      </c>
      <c r="D43" s="18" t="n">
        <v>-0.0891967450383155</v>
      </c>
      <c r="E43" s="18" t="n">
        <v>0.0764934290857281</v>
      </c>
      <c r="F43" s="19" t="n">
        <v>19</v>
      </c>
      <c r="G43" s="20" t="n">
        <f aca="false">IF(E43&gt;0,D43/E43,"")</f>
        <v>-1.16607068220658</v>
      </c>
      <c r="H43" s="20" t="n">
        <f aca="false">IF(G43="","",TDIST(ABS(G43),F43-1,2))</f>
        <v>0.258804512242253</v>
      </c>
    </row>
    <row r="44" customFormat="false" ht="15" hidden="false" customHeight="false" outlineLevel="0" collapsed="false">
      <c r="A44" s="7" t="s">
        <v>60</v>
      </c>
      <c r="B44" s="7" t="s">
        <v>7</v>
      </c>
      <c r="C44" s="7" t="s">
        <v>16</v>
      </c>
      <c r="D44" s="18" t="n">
        <v>0.0616118047390725</v>
      </c>
      <c r="E44" s="18" t="n">
        <v>0.0591720736416366</v>
      </c>
      <c r="F44" s="19" t="n">
        <v>19</v>
      </c>
      <c r="G44" s="20" t="n">
        <f aca="false">IF(E44&gt;0,D44/E44,"")</f>
        <v>1.04123112386109</v>
      </c>
      <c r="H44" s="20" t="n">
        <f aca="false">IF(G44="","",TDIST(ABS(G44),F44-1,2))</f>
        <v>0.311552616287056</v>
      </c>
    </row>
    <row r="45" customFormat="false" ht="15" hidden="false" customHeight="false" outlineLevel="0" collapsed="false">
      <c r="A45" s="7" t="s">
        <v>60</v>
      </c>
      <c r="B45" s="7" t="s">
        <v>8</v>
      </c>
      <c r="C45" s="7" t="s">
        <v>16</v>
      </c>
      <c r="D45" s="18" t="n">
        <v>0.0628215509314316</v>
      </c>
      <c r="E45" s="18" t="n">
        <v>0.0620899873695048</v>
      </c>
      <c r="F45" s="19" t="n">
        <v>19</v>
      </c>
      <c r="G45" s="20" t="n">
        <f aca="false">IF(E45&gt;0,D45/E45,"")</f>
        <v>1.01178231133424</v>
      </c>
      <c r="H45" s="20" t="n">
        <f aca="false">IF(G45="","",TDIST(ABS(G45),F45-1,2))</f>
        <v>0.325050427620536</v>
      </c>
    </row>
    <row r="46" customFormat="false" ht="15" hidden="false" customHeight="false" outlineLevel="0" collapsed="false">
      <c r="A46" s="7" t="s">
        <v>60</v>
      </c>
      <c r="B46" s="7" t="s">
        <v>3</v>
      </c>
      <c r="C46" s="7" t="s">
        <v>17</v>
      </c>
      <c r="D46" s="18" t="n">
        <v>-0.0695941362283769</v>
      </c>
      <c r="E46" s="18" t="n">
        <v>0.146284737594917</v>
      </c>
      <c r="F46" s="19" t="n">
        <v>19</v>
      </c>
      <c r="G46" s="20" t="n">
        <f aca="false">IF(E46&gt;0,D46/E46,"")</f>
        <v>-0.475744341977035</v>
      </c>
      <c r="H46" s="20" t="n">
        <f aca="false">IF(G46="","",TDIST(ABS(G46),F46-1,2))</f>
        <v>0.639979249891927</v>
      </c>
    </row>
    <row r="47" customFormat="false" ht="15" hidden="false" customHeight="false" outlineLevel="0" collapsed="false">
      <c r="A47" s="7" t="s">
        <v>60</v>
      </c>
      <c r="B47" s="7" t="s">
        <v>4</v>
      </c>
      <c r="C47" s="7" t="s">
        <v>17</v>
      </c>
      <c r="D47" s="18" t="n">
        <v>0.0239475694219537</v>
      </c>
      <c r="E47" s="18" t="n">
        <v>0.0660485416774223</v>
      </c>
      <c r="F47" s="19" t="n">
        <v>19</v>
      </c>
      <c r="G47" s="20" t="n">
        <f aca="false">IF(E47&gt;0,D47/E47,"")</f>
        <v>0.362575294075567</v>
      </c>
      <c r="H47" s="20" t="n">
        <f aca="false">IF(G47="","",TDIST(ABS(G47),F47-1,2))</f>
        <v>0.721144466862183</v>
      </c>
    </row>
    <row r="48" customFormat="false" ht="15" hidden="false" customHeight="false" outlineLevel="0" collapsed="false">
      <c r="A48" s="7" t="s">
        <v>60</v>
      </c>
      <c r="B48" s="7" t="s">
        <v>5</v>
      </c>
      <c r="C48" s="7" t="s">
        <v>17</v>
      </c>
      <c r="D48" s="18" t="n">
        <v>-0.0532824359017995</v>
      </c>
      <c r="E48" s="18" t="n">
        <v>0.083356550794862</v>
      </c>
      <c r="F48" s="19" t="n">
        <v>19</v>
      </c>
      <c r="G48" s="20" t="n">
        <f aca="false">IF(E48&gt;0,D48/E48,"")</f>
        <v>-0.639211140500834</v>
      </c>
      <c r="H48" s="20" t="n">
        <f aca="false">IF(G48="","",TDIST(ABS(G48),F48-1,2))</f>
        <v>0.530736801826767</v>
      </c>
    </row>
    <row r="49" customFormat="false" ht="15" hidden="false" customHeight="false" outlineLevel="0" collapsed="false">
      <c r="A49" s="7" t="s">
        <v>60</v>
      </c>
      <c r="B49" s="7" t="s">
        <v>6</v>
      </c>
      <c r="C49" s="7" t="s">
        <v>17</v>
      </c>
      <c r="D49" s="18" t="n">
        <v>-0.00138074383572292</v>
      </c>
      <c r="E49" s="18" t="n">
        <v>0.0915669094144971</v>
      </c>
      <c r="F49" s="19" t="n">
        <v>19</v>
      </c>
      <c r="G49" s="20" t="n">
        <f aca="false">IF(E49&gt;0,D49/E49,"")</f>
        <v>-0.0150790699888394</v>
      </c>
      <c r="H49" s="20" t="n">
        <f aca="false">IF(G49="","",TDIST(ABS(G49),F49-1,2))</f>
        <v>0.988134980129142</v>
      </c>
    </row>
    <row r="50" customFormat="false" ht="15" hidden="false" customHeight="false" outlineLevel="0" collapsed="false">
      <c r="A50" s="7" t="s">
        <v>60</v>
      </c>
      <c r="B50" s="7" t="s">
        <v>7</v>
      </c>
      <c r="C50" s="7" t="s">
        <v>17</v>
      </c>
      <c r="D50" s="18" t="n">
        <v>0.056495750970775</v>
      </c>
      <c r="E50" s="18" t="n">
        <v>0.0698017967364334</v>
      </c>
      <c r="F50" s="19" t="n">
        <v>19</v>
      </c>
      <c r="G50" s="20" t="n">
        <f aca="false">IF(E50&gt;0,D50/E50,"")</f>
        <v>0.809373878785655</v>
      </c>
      <c r="H50" s="20" t="n">
        <f aca="false">IF(G50="","",TDIST(ABS(G50),F50-1,2))</f>
        <v>0.428869994898262</v>
      </c>
    </row>
    <row r="51" customFormat="false" ht="15" hidden="false" customHeight="false" outlineLevel="0" collapsed="false">
      <c r="A51" s="7" t="s">
        <v>60</v>
      </c>
      <c r="B51" s="7" t="s">
        <v>8</v>
      </c>
      <c r="C51" s="7" t="s">
        <v>17</v>
      </c>
      <c r="D51" s="18" t="n">
        <v>0.0594094966556546</v>
      </c>
      <c r="E51" s="18" t="n">
        <v>0.0708625405746682</v>
      </c>
      <c r="F51" s="19" t="n">
        <v>19</v>
      </c>
      <c r="G51" s="20" t="n">
        <f aca="false">IF(E51&gt;0,D51/E51,"")</f>
        <v>0.838376611590076</v>
      </c>
      <c r="H51" s="20" t="n">
        <f aca="false">IF(G51="","",TDIST(ABS(G51),F51-1,2))</f>
        <v>0.412814391302739</v>
      </c>
    </row>
    <row r="52" customFormat="false" ht="15" hidden="false" customHeight="false" outlineLevel="0" collapsed="false">
      <c r="A52" s="7" t="s">
        <v>60</v>
      </c>
      <c r="B52" s="7" t="s">
        <v>3</v>
      </c>
      <c r="C52" s="7" t="s">
        <v>18</v>
      </c>
      <c r="D52" s="18" t="n">
        <v>-0.126075006942489</v>
      </c>
      <c r="E52" s="18" t="n">
        <v>0.137149923659083</v>
      </c>
      <c r="F52" s="19" t="n">
        <v>19</v>
      </c>
      <c r="G52" s="20" t="n">
        <f aca="false">IF(E52&gt;0,D52/E52,"")</f>
        <v>-0.919249559743665</v>
      </c>
      <c r="H52" s="20" t="n">
        <f aca="false">IF(G52="","",TDIST(ABS(G52),F52-1,2))</f>
        <v>0.370120258903543</v>
      </c>
    </row>
    <row r="53" customFormat="false" ht="15" hidden="false" customHeight="false" outlineLevel="0" collapsed="false">
      <c r="A53" s="7" t="s">
        <v>60</v>
      </c>
      <c r="B53" s="7" t="s">
        <v>4</v>
      </c>
      <c r="C53" s="7" t="s">
        <v>18</v>
      </c>
      <c r="D53" s="18" t="n">
        <v>-0.0390929160326178</v>
      </c>
      <c r="E53" s="18" t="n">
        <v>0.0655112354455538</v>
      </c>
      <c r="F53" s="19" t="n">
        <v>19</v>
      </c>
      <c r="G53" s="20" t="n">
        <f aca="false">IF(E53&gt;0,D53/E53,"")</f>
        <v>-0.596736052476187</v>
      </c>
      <c r="H53" s="20" t="n">
        <f aca="false">IF(G53="","",TDIST(ABS(G53),F53-1,2))</f>
        <v>0.558115228954836</v>
      </c>
    </row>
    <row r="54" customFormat="false" ht="15" hidden="false" customHeight="false" outlineLevel="0" collapsed="false">
      <c r="A54" s="7" t="s">
        <v>60</v>
      </c>
      <c r="B54" s="7" t="s">
        <v>5</v>
      </c>
      <c r="C54" s="7" t="s">
        <v>18</v>
      </c>
      <c r="D54" s="18" t="n">
        <v>-0.106852201214544</v>
      </c>
      <c r="E54" s="18" t="n">
        <v>0.0663496941507737</v>
      </c>
      <c r="F54" s="19" t="n">
        <v>19</v>
      </c>
      <c r="G54" s="20" t="n">
        <f aca="false">IF(E54&gt;0,D54/E54,"")</f>
        <v>-1.61043999647884</v>
      </c>
      <c r="H54" s="20" t="n">
        <f aca="false">IF(G54="","",TDIST(ABS(G54),F54-1,2))</f>
        <v>0.124698415952524</v>
      </c>
    </row>
    <row r="55" customFormat="false" ht="15" hidden="false" customHeight="false" outlineLevel="0" collapsed="false">
      <c r="A55" s="7" t="s">
        <v>60</v>
      </c>
      <c r="B55" s="7" t="s">
        <v>6</v>
      </c>
      <c r="C55" s="7" t="s">
        <v>18</v>
      </c>
      <c r="D55" s="18" t="n">
        <v>-0.093773772798704</v>
      </c>
      <c r="E55" s="18" t="n">
        <v>0.0680900841393184</v>
      </c>
      <c r="F55" s="19" t="n">
        <v>19</v>
      </c>
      <c r="G55" s="20" t="n">
        <f aca="false">IF(E55&gt;0,D55/E55,"")</f>
        <v>-1.37720159967543</v>
      </c>
      <c r="H55" s="20" t="n">
        <f aca="false">IF(G55="","",TDIST(ABS(G55),F55-1,2))</f>
        <v>0.185336432367354</v>
      </c>
    </row>
    <row r="56" customFormat="false" ht="15" hidden="false" customHeight="false" outlineLevel="0" collapsed="false">
      <c r="A56" s="7" t="s">
        <v>60</v>
      </c>
      <c r="B56" s="7" t="s">
        <v>7</v>
      </c>
      <c r="C56" s="7" t="s">
        <v>18</v>
      </c>
      <c r="D56" s="18" t="n">
        <v>-0.00355003756077492</v>
      </c>
      <c r="E56" s="18" t="n">
        <v>0.0657119674344058</v>
      </c>
      <c r="F56" s="19" t="n">
        <v>19</v>
      </c>
      <c r="G56" s="20" t="n">
        <f aca="false">IF(E56&gt;0,D56/E56,"")</f>
        <v>-0.0540242165830539</v>
      </c>
      <c r="H56" s="20" t="n">
        <f aca="false">IF(G56="","",TDIST(ABS(G56),F56-1,2))</f>
        <v>0.957510969012465</v>
      </c>
    </row>
    <row r="57" customFormat="false" ht="15" hidden="false" customHeight="false" outlineLevel="0" collapsed="false">
      <c r="A57" s="7" t="s">
        <v>60</v>
      </c>
      <c r="B57" s="7" t="s">
        <v>8</v>
      </c>
      <c r="C57" s="7" t="s">
        <v>18</v>
      </c>
      <c r="D57" s="18" t="n">
        <v>-0.00117412613661927</v>
      </c>
      <c r="E57" s="18" t="n">
        <v>0.0673257592159659</v>
      </c>
      <c r="F57" s="19" t="n">
        <v>19</v>
      </c>
      <c r="G57" s="20" t="n">
        <f aca="false">IF(E57&gt;0,D57/E57,"")</f>
        <v>-0.0174394785932222</v>
      </c>
      <c r="H57" s="20" t="n">
        <f aca="false">IF(G57="","",TDIST(ABS(G57),F57-1,2))</f>
        <v>0.986277869510838</v>
      </c>
    </row>
    <row r="58" customFormat="false" ht="15" hidden="false" customHeight="false" outlineLevel="0" collapsed="false">
      <c r="A58" s="7" t="s">
        <v>60</v>
      </c>
      <c r="B58" s="7" t="s">
        <v>3</v>
      </c>
      <c r="C58" s="7" t="s">
        <v>19</v>
      </c>
      <c r="D58" s="18" t="n">
        <v>-0.09316969030334</v>
      </c>
      <c r="E58" s="18" t="n">
        <v>0.143600751796505</v>
      </c>
      <c r="F58" s="19" t="n">
        <v>19</v>
      </c>
      <c r="G58" s="20" t="n">
        <f aca="false">IF(E58&gt;0,D58/E58,"")</f>
        <v>-0.648810602575186</v>
      </c>
      <c r="H58" s="20" t="n">
        <f aca="false">IF(G58="","",TDIST(ABS(G58),F58-1,2))</f>
        <v>0.524653060854171</v>
      </c>
    </row>
    <row r="59" customFormat="false" ht="15" hidden="false" customHeight="false" outlineLevel="0" collapsed="false">
      <c r="A59" s="7" t="s">
        <v>60</v>
      </c>
      <c r="B59" s="7" t="s">
        <v>4</v>
      </c>
      <c r="C59" s="7" t="s">
        <v>19</v>
      </c>
      <c r="D59" s="18" t="n">
        <v>-0.0105040658812599</v>
      </c>
      <c r="E59" s="18" t="n">
        <v>0.0616902967942144</v>
      </c>
      <c r="F59" s="19" t="n">
        <v>19</v>
      </c>
      <c r="G59" s="20" t="n">
        <f aca="false">IF(E59&gt;0,D59/E59,"")</f>
        <v>-0.170270957137703</v>
      </c>
      <c r="H59" s="20" t="n">
        <f aca="false">IF(G59="","",TDIST(ABS(G59),F59-1,2))</f>
        <v>0.866696261145004</v>
      </c>
    </row>
    <row r="60" customFormat="false" ht="15" hidden="false" customHeight="false" outlineLevel="0" collapsed="false">
      <c r="A60" s="7" t="s">
        <v>60</v>
      </c>
      <c r="B60" s="7" t="s">
        <v>5</v>
      </c>
      <c r="C60" s="7" t="s">
        <v>19</v>
      </c>
      <c r="D60" s="18" t="n">
        <v>-0.124998083153942</v>
      </c>
      <c r="E60" s="18" t="n">
        <v>0.0798905556260371</v>
      </c>
      <c r="F60" s="19" t="n">
        <v>19</v>
      </c>
      <c r="G60" s="20" t="n">
        <f aca="false">IF(E60&gt;0,D60/E60,"")</f>
        <v>-1.56461652036882</v>
      </c>
      <c r="H60" s="20" t="n">
        <f aca="false">IF(G60="","",TDIST(ABS(G60),F60-1,2))</f>
        <v>0.135083483436438</v>
      </c>
    </row>
    <row r="61" customFormat="false" ht="15" hidden="false" customHeight="false" outlineLevel="0" collapsed="false">
      <c r="A61" s="7" t="s">
        <v>60</v>
      </c>
      <c r="B61" s="7" t="s">
        <v>6</v>
      </c>
      <c r="C61" s="7" t="s">
        <v>19</v>
      </c>
      <c r="D61" s="18" t="n">
        <v>-0.0874285353496389</v>
      </c>
      <c r="E61" s="18" t="n">
        <v>0.0852379848895708</v>
      </c>
      <c r="F61" s="19" t="n">
        <v>19</v>
      </c>
      <c r="G61" s="20" t="n">
        <f aca="false">IF(E61&gt;0,D61/E61,"")</f>
        <v>-1.02569922861159</v>
      </c>
      <c r="H61" s="20" t="n">
        <f aca="false">IF(G61="","",TDIST(ABS(G61),F61-1,2))</f>
        <v>0.31862092590728</v>
      </c>
    </row>
    <row r="62" customFormat="false" ht="15" hidden="false" customHeight="false" outlineLevel="0" collapsed="false">
      <c r="A62" s="7" t="s">
        <v>60</v>
      </c>
      <c r="B62" s="7" t="s">
        <v>7</v>
      </c>
      <c r="C62" s="7" t="s">
        <v>19</v>
      </c>
      <c r="D62" s="18" t="n">
        <v>0.0238135482639056</v>
      </c>
      <c r="E62" s="18" t="n">
        <v>0.0625100447251739</v>
      </c>
      <c r="F62" s="19" t="n">
        <v>19</v>
      </c>
      <c r="G62" s="20" t="n">
        <f aca="false">IF(E62&gt;0,D62/E62,"")</f>
        <v>0.380955546722165</v>
      </c>
      <c r="H62" s="20" t="n">
        <f aca="false">IF(G62="","",TDIST(ABS(G62),F62-1,2))</f>
        <v>0.707695180396262</v>
      </c>
    </row>
    <row r="63" customFormat="false" ht="15" hidden="false" customHeight="false" outlineLevel="0" collapsed="false">
      <c r="A63" s="7" t="s">
        <v>60</v>
      </c>
      <c r="B63" s="7" t="s">
        <v>8</v>
      </c>
      <c r="C63" s="7" t="s">
        <v>19</v>
      </c>
      <c r="D63" s="18" t="n">
        <v>0.0267394975532681</v>
      </c>
      <c r="E63" s="18" t="n">
        <v>0.0642998112735668</v>
      </c>
      <c r="F63" s="19" t="n">
        <v>19</v>
      </c>
      <c r="G63" s="20" t="n">
        <f aca="false">IF(E63&gt;0,D63/E63,"")</f>
        <v>0.415856547999863</v>
      </c>
      <c r="H63" s="20" t="n">
        <f aca="false">IF(G63="","",TDIST(ABS(G63),F63-1,2))</f>
        <v>0.682430851863959</v>
      </c>
    </row>
    <row r="64" customFormat="false" ht="15" hidden="false" customHeight="false" outlineLevel="0" collapsed="false">
      <c r="A64" s="7" t="s">
        <v>60</v>
      </c>
      <c r="B64" s="7" t="s">
        <v>3</v>
      </c>
      <c r="C64" s="7" t="s">
        <v>20</v>
      </c>
      <c r="D64" s="18" t="n">
        <v>-0.140414771347726</v>
      </c>
      <c r="E64" s="18" t="n">
        <v>0.142127137245771</v>
      </c>
      <c r="F64" s="19" t="n">
        <v>19</v>
      </c>
      <c r="G64" s="20" t="n">
        <f aca="false">IF(E64&gt;0,D64/E64,"")</f>
        <v>-0.987951872307936</v>
      </c>
      <c r="H64" s="20" t="n">
        <f aca="false">IF(G64="","",TDIST(ABS(G64),F64-1,2))</f>
        <v>0.336271431549709</v>
      </c>
    </row>
    <row r="65" customFormat="false" ht="15" hidden="false" customHeight="false" outlineLevel="0" collapsed="false">
      <c r="A65" s="7" t="s">
        <v>60</v>
      </c>
      <c r="B65" s="7" t="s">
        <v>4</v>
      </c>
      <c r="C65" s="7" t="s">
        <v>20</v>
      </c>
      <c r="D65" s="18" t="n">
        <v>-0.0478131785182361</v>
      </c>
      <c r="E65" s="18" t="n">
        <v>0.0614773359938992</v>
      </c>
      <c r="F65" s="19" t="n">
        <v>19</v>
      </c>
      <c r="G65" s="20" t="n">
        <f aca="false">IF(E65&gt;0,D65/E65,"")</f>
        <v>-0.777736669054445</v>
      </c>
      <c r="H65" s="20" t="n">
        <f aca="false">IF(G65="","",TDIST(ABS(G65),F65-1,2))</f>
        <v>0.446826862324664</v>
      </c>
    </row>
    <row r="66" customFormat="false" ht="15" hidden="false" customHeight="false" outlineLevel="0" collapsed="false">
      <c r="A66" s="7" t="s">
        <v>60</v>
      </c>
      <c r="B66" s="7" t="s">
        <v>5</v>
      </c>
      <c r="C66" s="7" t="s">
        <v>20</v>
      </c>
      <c r="D66" s="18" t="n">
        <v>-0.14922975837196</v>
      </c>
      <c r="E66" s="18" t="n">
        <v>0.0876093432748303</v>
      </c>
      <c r="F66" s="19" t="n">
        <v>19</v>
      </c>
      <c r="G66" s="20" t="n">
        <f aca="false">IF(E66&gt;0,D66/E66,"")</f>
        <v>-1.70335437744153</v>
      </c>
      <c r="H66" s="20" t="n">
        <f aca="false">IF(G66="","",TDIST(ABS(G66),F66-1,2))</f>
        <v>0.105705203825868</v>
      </c>
    </row>
    <row r="67" customFormat="false" ht="15" hidden="false" customHeight="false" outlineLevel="0" collapsed="false">
      <c r="A67" s="7" t="s">
        <v>60</v>
      </c>
      <c r="B67" s="7" t="s">
        <v>6</v>
      </c>
      <c r="C67" s="7" t="s">
        <v>20</v>
      </c>
      <c r="D67" s="18" t="n">
        <v>-0.134936594524625</v>
      </c>
      <c r="E67" s="18" t="n">
        <v>0.0895922177180255</v>
      </c>
      <c r="F67" s="19" t="n">
        <v>19</v>
      </c>
      <c r="G67" s="20" t="n">
        <f aca="false">IF(E67&gt;0,D67/E67,"")</f>
        <v>-1.50611959343737</v>
      </c>
      <c r="H67" s="20" t="n">
        <f aca="false">IF(G67="","",TDIST(ABS(G67),F67-1,2))</f>
        <v>0.149384371891031</v>
      </c>
    </row>
    <row r="68" customFormat="false" ht="15" hidden="false" customHeight="false" outlineLevel="0" collapsed="false">
      <c r="A68" s="7" t="s">
        <v>60</v>
      </c>
      <c r="B68" s="7" t="s">
        <v>7</v>
      </c>
      <c r="C68" s="7" t="s">
        <v>20</v>
      </c>
      <c r="D68" s="18" t="n">
        <v>-0.0136695695367546</v>
      </c>
      <c r="E68" s="18" t="n">
        <v>0.0621340865234773</v>
      </c>
      <c r="F68" s="19" t="n">
        <v>19</v>
      </c>
      <c r="G68" s="20" t="n">
        <f aca="false">IF(E68&gt;0,D68/E68,"")</f>
        <v>-0.220001134668481</v>
      </c>
      <c r="H68" s="20" t="n">
        <f aca="false">IF(G68="","",TDIST(ABS(G68),F68-1,2))</f>
        <v>0.828346068159539</v>
      </c>
    </row>
    <row r="69" customFormat="false" ht="15" hidden="false" customHeight="false" outlineLevel="0" collapsed="false">
      <c r="A69" s="7" t="s">
        <v>60</v>
      </c>
      <c r="B69" s="7" t="s">
        <v>8</v>
      </c>
      <c r="C69" s="7" t="s">
        <v>20</v>
      </c>
      <c r="D69" s="18" t="n">
        <v>-0.0121947275636053</v>
      </c>
      <c r="E69" s="18" t="n">
        <v>0.0642254559840024</v>
      </c>
      <c r="F69" s="19" t="n">
        <v>19</v>
      </c>
      <c r="G69" s="20" t="n">
        <f aca="false">IF(E69&gt;0,D69/E69,"")</f>
        <v>-0.189873740509415</v>
      </c>
      <c r="H69" s="20" t="n">
        <f aca="false">IF(G69="","",TDIST(ABS(G69),F69-1,2))</f>
        <v>0.851532872877404</v>
      </c>
    </row>
    <row r="70" customFormat="false" ht="15" hidden="false" customHeight="false" outlineLevel="0" collapsed="false">
      <c r="A70" s="7" t="s">
        <v>60</v>
      </c>
      <c r="B70" s="7" t="s">
        <v>3</v>
      </c>
      <c r="C70" s="7" t="s">
        <v>21</v>
      </c>
      <c r="D70" s="18" t="n">
        <v>-0.0987316419298155</v>
      </c>
      <c r="E70" s="18" t="n">
        <v>0.149708796083691</v>
      </c>
      <c r="F70" s="19" t="n">
        <v>19</v>
      </c>
      <c r="G70" s="20" t="n">
        <f aca="false">IF(E70&gt;0,D70/E70,"")</f>
        <v>-0.659491255775126</v>
      </c>
      <c r="H70" s="20" t="n">
        <f aca="false">IF(G70="","",TDIST(ABS(G70),F70-1,2))</f>
        <v>0.517929903854921</v>
      </c>
    </row>
    <row r="71" customFormat="false" ht="15" hidden="false" customHeight="false" outlineLevel="0" collapsed="false">
      <c r="A71" s="7" t="s">
        <v>60</v>
      </c>
      <c r="B71" s="7" t="s">
        <v>4</v>
      </c>
      <c r="C71" s="7" t="s">
        <v>21</v>
      </c>
      <c r="D71" s="18" t="n">
        <v>-0.019180505214396</v>
      </c>
      <c r="E71" s="18" t="n">
        <v>0.0785805964038546</v>
      </c>
      <c r="F71" s="19" t="n">
        <v>19</v>
      </c>
      <c r="G71" s="20" t="n">
        <f aca="false">IF(E71&gt;0,D71/E71,"")</f>
        <v>-0.244087040467603</v>
      </c>
      <c r="H71" s="20" t="n">
        <f aca="false">IF(G71="","",TDIST(ABS(G71),F71-1,2))</f>
        <v>0.809923906276967</v>
      </c>
    </row>
    <row r="72" customFormat="false" ht="15" hidden="false" customHeight="false" outlineLevel="0" collapsed="false">
      <c r="A72" s="7" t="s">
        <v>60</v>
      </c>
      <c r="B72" s="7" t="s">
        <v>5</v>
      </c>
      <c r="C72" s="7" t="s">
        <v>21</v>
      </c>
      <c r="D72" s="18" t="n">
        <v>-0.0781400094441508</v>
      </c>
      <c r="E72" s="18" t="n">
        <v>0.103351687213413</v>
      </c>
      <c r="F72" s="19" t="n">
        <v>19</v>
      </c>
      <c r="G72" s="20" t="n">
        <f aca="false">IF(E72&gt;0,D72/E72,"")</f>
        <v>-0.756059349885579</v>
      </c>
      <c r="H72" s="20" t="n">
        <f aca="false">IF(G72="","",TDIST(ABS(G72),F72-1,2))</f>
        <v>0.45939477083722</v>
      </c>
    </row>
    <row r="73" customFormat="false" ht="15" hidden="false" customHeight="false" outlineLevel="0" collapsed="false">
      <c r="A73" s="7" t="s">
        <v>60</v>
      </c>
      <c r="B73" s="7" t="s">
        <v>6</v>
      </c>
      <c r="C73" s="7" t="s">
        <v>21</v>
      </c>
      <c r="D73" s="18" t="n">
        <v>-0.0569070089072363</v>
      </c>
      <c r="E73" s="18" t="n">
        <v>0.105327510438333</v>
      </c>
      <c r="F73" s="19" t="n">
        <v>19</v>
      </c>
      <c r="G73" s="20" t="n">
        <f aca="false">IF(E73&gt;0,D73/E73,"")</f>
        <v>-0.540286281052413</v>
      </c>
      <c r="H73" s="20" t="n">
        <f aca="false">IF(G73="","",TDIST(ABS(G73),F73-1,2))</f>
        <v>0.595622110292766</v>
      </c>
    </row>
    <row r="74" customFormat="false" ht="15" hidden="false" customHeight="false" outlineLevel="0" collapsed="false">
      <c r="A74" s="7" t="s">
        <v>60</v>
      </c>
      <c r="B74" s="7" t="s">
        <v>7</v>
      </c>
      <c r="C74" s="7" t="s">
        <v>21</v>
      </c>
      <c r="D74" s="18" t="n">
        <v>0.0182551044352366</v>
      </c>
      <c r="E74" s="18" t="n">
        <v>0.0765079110417074</v>
      </c>
      <c r="F74" s="19" t="n">
        <v>19</v>
      </c>
      <c r="G74" s="20" t="n">
        <f aca="false">IF(E74&gt;0,D74/E74,"")</f>
        <v>0.238604141541455</v>
      </c>
      <c r="H74" s="20" t="n">
        <f aca="false">IF(G74="","",TDIST(ABS(G74),F74-1,2))</f>
        <v>0.814107904929198</v>
      </c>
    </row>
    <row r="75" customFormat="false" ht="15" hidden="false" customHeight="false" outlineLevel="0" collapsed="false">
      <c r="A75" s="7" t="s">
        <v>60</v>
      </c>
      <c r="B75" s="7" t="s">
        <v>8</v>
      </c>
      <c r="C75" s="7" t="s">
        <v>21</v>
      </c>
      <c r="D75" s="18" t="n">
        <v>0.0202392965680317</v>
      </c>
      <c r="E75" s="18" t="n">
        <v>0.0772645457207765</v>
      </c>
      <c r="F75" s="19" t="n">
        <v>19</v>
      </c>
      <c r="G75" s="20" t="n">
        <f aca="false">IF(E75&gt;0,D75/E75,"")</f>
        <v>0.261948043300142</v>
      </c>
      <c r="H75" s="20" t="n">
        <f aca="false">IF(G75="","",TDIST(ABS(G75),F75-1,2))</f>
        <v>0.796335643513092</v>
      </c>
    </row>
    <row r="76" customFormat="false" ht="15" hidden="false" customHeight="false" outlineLevel="0" collapsed="false">
      <c r="A76" s="7" t="s">
        <v>60</v>
      </c>
      <c r="B76" s="7" t="s">
        <v>3</v>
      </c>
      <c r="C76" s="7" t="s">
        <v>22</v>
      </c>
      <c r="D76" s="18" t="n">
        <v>0.112559623702754</v>
      </c>
      <c r="E76" s="18" t="n">
        <v>0.147519940582691</v>
      </c>
      <c r="F76" s="19" t="n">
        <v>19</v>
      </c>
      <c r="G76" s="20" t="n">
        <f aca="false">IF(E76&gt;0,D76/E76,"")</f>
        <v>0.763012940882116</v>
      </c>
      <c r="H76" s="20" t="n">
        <f aca="false">IF(G76="","",TDIST(ABS(G76),F76-1,2))</f>
        <v>0.455340019934174</v>
      </c>
    </row>
    <row r="77" customFormat="false" ht="15" hidden="false" customHeight="false" outlineLevel="0" collapsed="false">
      <c r="A77" s="7" t="s">
        <v>60</v>
      </c>
      <c r="B77" s="7" t="s">
        <v>4</v>
      </c>
      <c r="C77" s="7" t="s">
        <v>22</v>
      </c>
      <c r="D77" s="18" t="n">
        <v>0.141737337431706</v>
      </c>
      <c r="E77" s="18" t="n">
        <v>0.141097236281425</v>
      </c>
      <c r="F77" s="19" t="n">
        <v>19</v>
      </c>
      <c r="G77" s="20" t="n">
        <f aca="false">IF(E77&gt;0,D77/E77,"")</f>
        <v>1.00453659594724</v>
      </c>
      <c r="H77" s="20" t="n">
        <f aca="false">IF(G77="","",TDIST(ABS(G77),F77-1,2))</f>
        <v>0.328433924126224</v>
      </c>
    </row>
    <row r="78" customFormat="false" ht="15" hidden="false" customHeight="false" outlineLevel="0" collapsed="false">
      <c r="A78" s="7" t="s">
        <v>60</v>
      </c>
      <c r="B78" s="7" t="s">
        <v>7</v>
      </c>
      <c r="C78" s="7" t="s">
        <v>22</v>
      </c>
      <c r="D78" s="18" t="n">
        <v>0.152992425158015</v>
      </c>
      <c r="E78" s="18" t="n">
        <v>0.137624752259776</v>
      </c>
      <c r="F78" s="19" t="n">
        <v>19</v>
      </c>
      <c r="G78" s="20" t="n">
        <f aca="false">IF(E78&gt;0,D78/E78,"")</f>
        <v>1.11166358264705</v>
      </c>
      <c r="H78" s="20" t="n">
        <f aca="false">IF(G78="","",TDIST(ABS(G78),F78-1,2))</f>
        <v>0.280911031102025</v>
      </c>
    </row>
    <row r="79" customFormat="false" ht="15" hidden="false" customHeight="false" outlineLevel="0" collapsed="false">
      <c r="A79" s="7" t="s">
        <v>60</v>
      </c>
      <c r="B79" s="7" t="s">
        <v>8</v>
      </c>
      <c r="C79" s="7" t="s">
        <v>22</v>
      </c>
      <c r="D79" s="18" t="n">
        <v>0.139187062016667</v>
      </c>
      <c r="E79" s="18" t="n">
        <v>0.137087144676226</v>
      </c>
      <c r="F79" s="19" t="n">
        <v>19</v>
      </c>
      <c r="G79" s="20" t="n">
        <f aca="false">IF(E79&gt;0,D79/E79,"")</f>
        <v>1.01531812005714</v>
      </c>
      <c r="H79" s="20" t="n">
        <f aca="false">IF(G79="","",TDIST(ABS(G79),F79-1,2))</f>
        <v>0.323408291085691</v>
      </c>
    </row>
    <row r="80" customFormat="false" ht="15" hidden="false" customHeight="false" outlineLevel="0" collapsed="false">
      <c r="A80" s="7" t="s">
        <v>60</v>
      </c>
      <c r="B80" s="7" t="s">
        <v>4</v>
      </c>
      <c r="C80" s="7" t="s">
        <v>23</v>
      </c>
      <c r="D80" s="18" t="n">
        <v>-0.401816454123344</v>
      </c>
      <c r="E80" s="18" t="n">
        <v>0.531123159866609</v>
      </c>
      <c r="F80" s="19" t="n">
        <v>19</v>
      </c>
      <c r="G80" s="20" t="n">
        <f aca="false">IF(E80&gt;0,D80/E80,"")</f>
        <v>-0.756541014374631</v>
      </c>
      <c r="H80" s="20" t="n">
        <f aca="false">IF(G80="","",TDIST(ABS(G80),F80-1,2))</f>
        <v>0.459113198796958</v>
      </c>
    </row>
    <row r="81" customFormat="false" ht="15" hidden="false" customHeight="false" outlineLevel="0" collapsed="false">
      <c r="A81" s="7" t="s">
        <v>60</v>
      </c>
      <c r="B81" s="7" t="s">
        <v>5</v>
      </c>
      <c r="C81" s="7" t="s">
        <v>23</v>
      </c>
      <c r="D81" s="18" t="n">
        <v>0.786203929829114</v>
      </c>
      <c r="E81" s="18" t="n">
        <v>0.633522001754304</v>
      </c>
      <c r="F81" s="19" t="n">
        <v>19</v>
      </c>
      <c r="G81" s="20" t="n">
        <f aca="false">IF(E81&gt;0,D81/E81,"")</f>
        <v>1.24100493377028</v>
      </c>
      <c r="H81" s="20" t="n">
        <f aca="false">IF(G81="","",TDIST(ABS(G81),F81-1,2))</f>
        <v>0.230535042147989</v>
      </c>
    </row>
    <row r="82" customFormat="false" ht="15" hidden="false" customHeight="false" outlineLevel="0" collapsed="false">
      <c r="A82" s="7" t="s">
        <v>60</v>
      </c>
      <c r="B82" s="7" t="s">
        <v>6</v>
      </c>
      <c r="C82" s="7" t="s">
        <v>23</v>
      </c>
      <c r="D82" s="18" t="n">
        <v>0.854721592139669</v>
      </c>
      <c r="E82" s="18" t="n">
        <v>0.665884514733142</v>
      </c>
      <c r="F82" s="19" t="n">
        <v>19</v>
      </c>
      <c r="G82" s="20" t="n">
        <f aca="false">IF(E82&gt;0,D82/E82,"")</f>
        <v>1.28358832985057</v>
      </c>
      <c r="H82" s="20" t="n">
        <f aca="false">IF(G82="","",TDIST(ABS(G82),F82-1,2))</f>
        <v>0.215565060453267</v>
      </c>
    </row>
    <row r="83" customFormat="false" ht="15" hidden="false" customHeight="false" outlineLevel="0" collapsed="false">
      <c r="A83" s="7" t="s">
        <v>60</v>
      </c>
      <c r="B83" s="7" t="s">
        <v>7</v>
      </c>
      <c r="C83" s="7" t="s">
        <v>23</v>
      </c>
      <c r="D83" s="18" t="n">
        <v>-0.293328669769346</v>
      </c>
      <c r="E83" s="18" t="n">
        <v>0.547930770561207</v>
      </c>
      <c r="F83" s="19" t="n">
        <v>19</v>
      </c>
      <c r="G83" s="20" t="n">
        <f aca="false">IF(E83&gt;0,D83/E83,"")</f>
        <v>-0.535338925150909</v>
      </c>
      <c r="H83" s="20" t="n">
        <f aca="false">IF(G83="","",TDIST(ABS(G83),F83-1,2))</f>
        <v>0.59896801547231</v>
      </c>
    </row>
    <row r="84" customFormat="false" ht="15" hidden="false" customHeight="false" outlineLevel="0" collapsed="false">
      <c r="A84" s="7" t="s">
        <v>60</v>
      </c>
      <c r="B84" s="7" t="s">
        <v>8</v>
      </c>
      <c r="C84" s="7" t="s">
        <v>23</v>
      </c>
      <c r="D84" s="18" t="n">
        <v>-0.337960045113698</v>
      </c>
      <c r="E84" s="18" t="n">
        <v>0.541078144956823</v>
      </c>
      <c r="F84" s="19" t="n">
        <v>19</v>
      </c>
      <c r="G84" s="20" t="n">
        <f aca="false">IF(E84&gt;0,D84/E84,"")</f>
        <v>-0.624604871336408</v>
      </c>
      <c r="H84" s="20" t="n">
        <f aca="false">IF(G84="","",TDIST(ABS(G84),F84-1,2))</f>
        <v>0.540067693008028</v>
      </c>
    </row>
    <row r="85" customFormat="false" ht="15" hidden="false" customHeight="false" outlineLevel="0" collapsed="false">
      <c r="A85" s="7" t="s">
        <v>60</v>
      </c>
      <c r="B85" s="7" t="s">
        <v>4</v>
      </c>
      <c r="C85" s="7" t="s">
        <v>24</v>
      </c>
      <c r="D85" s="18" t="n">
        <v>0.0383107000393122</v>
      </c>
      <c r="E85" s="18" t="n">
        <v>0.0954073293461091</v>
      </c>
      <c r="F85" s="19" t="n">
        <v>19</v>
      </c>
      <c r="G85" s="20" t="n">
        <f aca="false">IF(E85&gt;0,D85/E85,"")</f>
        <v>0.401548814979744</v>
      </c>
      <c r="H85" s="20" t="n">
        <f aca="false">IF(G85="","",TDIST(ABS(G85),F85-1,2))</f>
        <v>0.692743462676128</v>
      </c>
    </row>
    <row r="86" customFormat="false" ht="15" hidden="false" customHeight="false" outlineLevel="0" collapsed="false">
      <c r="A86" s="7" t="s">
        <v>60</v>
      </c>
      <c r="B86" s="7" t="s">
        <v>5</v>
      </c>
      <c r="C86" s="7" t="s">
        <v>24</v>
      </c>
      <c r="D86" s="18" t="n">
        <v>0.00733775462828866</v>
      </c>
      <c r="E86" s="18" t="n">
        <v>0.111609220491539</v>
      </c>
      <c r="F86" s="19" t="n">
        <v>19</v>
      </c>
      <c r="G86" s="20" t="n">
        <f aca="false">IF(E86&gt;0,D86/E86,"")</f>
        <v>0.0657450575854968</v>
      </c>
      <c r="H86" s="20" t="n">
        <f aca="false">IF(G86="","",TDIST(ABS(G86),F86-1,2))</f>
        <v>0.948305508072285</v>
      </c>
    </row>
    <row r="87" customFormat="false" ht="15" hidden="false" customHeight="false" outlineLevel="0" collapsed="false">
      <c r="A87" s="7" t="s">
        <v>60</v>
      </c>
      <c r="B87" s="7" t="s">
        <v>6</v>
      </c>
      <c r="C87" s="7" t="s">
        <v>24</v>
      </c>
      <c r="D87" s="18" t="n">
        <v>-0.0122126578040231</v>
      </c>
      <c r="E87" s="18" t="n">
        <v>0.116455289570842</v>
      </c>
      <c r="F87" s="19" t="n">
        <v>19</v>
      </c>
      <c r="G87" s="20" t="n">
        <f aca="false">IF(E87&gt;0,D87/E87,"")</f>
        <v>-0.104869927755354</v>
      </c>
      <c r="H87" s="20" t="n">
        <f aca="false">IF(G87="","",TDIST(ABS(G87),F87-1,2))</f>
        <v>0.917638775856632</v>
      </c>
    </row>
    <row r="88" customFormat="false" ht="15" hidden="false" customHeight="false" outlineLevel="0" collapsed="false">
      <c r="A88" s="7" t="s">
        <v>60</v>
      </c>
      <c r="B88" s="7" t="s">
        <v>7</v>
      </c>
      <c r="C88" s="7" t="s">
        <v>24</v>
      </c>
      <c r="D88" s="18" t="n">
        <v>0.0562312690519524</v>
      </c>
      <c r="E88" s="18" t="n">
        <v>0.092889476671315</v>
      </c>
      <c r="F88" s="19" t="n">
        <v>19</v>
      </c>
      <c r="G88" s="20" t="n">
        <f aca="false">IF(E88&gt;0,D88/E88,"")</f>
        <v>0.605356721417691</v>
      </c>
      <c r="H88" s="20" t="n">
        <f aca="false">IF(G88="","",TDIST(ABS(G88),F88-1,2))</f>
        <v>0.552498707800706</v>
      </c>
    </row>
    <row r="89" customFormat="false" ht="15" hidden="false" customHeight="false" outlineLevel="0" collapsed="false">
      <c r="A89" s="7" t="s">
        <v>60</v>
      </c>
      <c r="B89" s="7" t="s">
        <v>8</v>
      </c>
      <c r="C89" s="7" t="s">
        <v>24</v>
      </c>
      <c r="D89" s="18" t="n">
        <v>0.056756589286565</v>
      </c>
      <c r="E89" s="18" t="n">
        <v>0.0918272656995471</v>
      </c>
      <c r="F89" s="19" t="n">
        <v>19</v>
      </c>
      <c r="G89" s="20" t="n">
        <f aca="false">IF(E89&gt;0,D89/E89,"")</f>
        <v>0.618079922713466</v>
      </c>
      <c r="H89" s="20" t="n">
        <f aca="false">IF(G89="","",TDIST(ABS(G89),F89-1,2))</f>
        <v>0.544264634459332</v>
      </c>
    </row>
    <row r="90" customFormat="false" ht="15" hidden="false" customHeight="false" outlineLevel="0" collapsed="false">
      <c r="A90" s="7" t="s">
        <v>60</v>
      </c>
      <c r="B90" s="7" t="s">
        <v>4</v>
      </c>
      <c r="C90" s="7" t="s">
        <v>25</v>
      </c>
      <c r="D90" s="18" t="n">
        <v>0.0366989223657402</v>
      </c>
      <c r="E90" s="18" t="n">
        <v>0.102156438370041</v>
      </c>
      <c r="F90" s="19" t="n">
        <v>19</v>
      </c>
      <c r="G90" s="20" t="n">
        <f aca="false">IF(E90&gt;0,D90/E90,"")</f>
        <v>0.359242383067486</v>
      </c>
      <c r="H90" s="20" t="n">
        <f aca="false">IF(G90="","",TDIST(ABS(G90),F90-1,2))</f>
        <v>0.723593453474882</v>
      </c>
    </row>
    <row r="91" customFormat="false" ht="15" hidden="false" customHeight="false" outlineLevel="0" collapsed="false">
      <c r="A91" s="7" t="s">
        <v>60</v>
      </c>
      <c r="B91" s="7" t="s">
        <v>5</v>
      </c>
      <c r="C91" s="7" t="s">
        <v>25</v>
      </c>
      <c r="D91" s="18" t="n">
        <v>-0.0426335987029469</v>
      </c>
      <c r="E91" s="18" t="n">
        <v>0.163655841594901</v>
      </c>
      <c r="F91" s="19" t="n">
        <v>19</v>
      </c>
      <c r="G91" s="20" t="n">
        <f aca="false">IF(E91&gt;0,D91/E91,"")</f>
        <v>-0.260507650001753</v>
      </c>
      <c r="H91" s="20" t="n">
        <f aca="false">IF(G91="","",TDIST(ABS(G91),F91-1,2))</f>
        <v>0.797429047267832</v>
      </c>
    </row>
    <row r="92" customFormat="false" ht="15" hidden="false" customHeight="false" outlineLevel="0" collapsed="false">
      <c r="A92" s="7" t="s">
        <v>60</v>
      </c>
      <c r="B92" s="7" t="s">
        <v>6</v>
      </c>
      <c r="C92" s="7" t="s">
        <v>25</v>
      </c>
      <c r="D92" s="18" t="n">
        <v>-0.00619109499798008</v>
      </c>
      <c r="E92" s="18" t="n">
        <v>0.156442502737654</v>
      </c>
      <c r="F92" s="19" t="n">
        <v>19</v>
      </c>
      <c r="G92" s="20" t="n">
        <f aca="false">IF(E92&gt;0,D92/E92,"")</f>
        <v>-0.0395742518154559</v>
      </c>
      <c r="H92" s="20" t="n">
        <f aca="false">IF(G92="","",TDIST(ABS(G92),F92-1,2))</f>
        <v>0.96886819102723</v>
      </c>
    </row>
    <row r="93" customFormat="false" ht="15" hidden="false" customHeight="false" outlineLevel="0" collapsed="false">
      <c r="A93" s="7" t="s">
        <v>60</v>
      </c>
      <c r="B93" s="7" t="s">
        <v>7</v>
      </c>
      <c r="C93" s="7" t="s">
        <v>25</v>
      </c>
      <c r="D93" s="18" t="n">
        <v>-0.0641892914165183</v>
      </c>
      <c r="E93" s="18" t="n">
        <v>0.0817277939198113</v>
      </c>
      <c r="F93" s="19" t="n">
        <v>19</v>
      </c>
      <c r="G93" s="20" t="n">
        <f aca="false">IF(E93&gt;0,D93/E93,"")</f>
        <v>-0.785403451358284</v>
      </c>
      <c r="H93" s="20" t="n">
        <f aca="false">IF(G93="","",TDIST(ABS(G93),F93-1,2))</f>
        <v>0.442433130919903</v>
      </c>
    </row>
    <row r="94" customFormat="false" ht="15" hidden="false" customHeight="false" outlineLevel="0" collapsed="false">
      <c r="A94" s="7" t="s">
        <v>60</v>
      </c>
      <c r="B94" s="7" t="s">
        <v>8</v>
      </c>
      <c r="C94" s="7" t="s">
        <v>25</v>
      </c>
      <c r="D94" s="18" t="n">
        <v>-0.0360379416541005</v>
      </c>
      <c r="E94" s="18" t="n">
        <v>0.0750605983001953</v>
      </c>
      <c r="F94" s="19" t="n">
        <v>19</v>
      </c>
      <c r="G94" s="20" t="n">
        <f aca="false">IF(E94&gt;0,D94/E94,"")</f>
        <v>-0.480117964287619</v>
      </c>
      <c r="H94" s="20" t="n">
        <f aca="false">IF(G94="","",TDIST(ABS(G94),F94-1,2))</f>
        <v>0.636926257290463</v>
      </c>
    </row>
    <row r="95" customFormat="false" ht="15" hidden="false" customHeight="false" outlineLevel="0" collapsed="false">
      <c r="A95" s="7" t="s">
        <v>60</v>
      </c>
      <c r="B95" s="7" t="s">
        <v>4</v>
      </c>
      <c r="C95" s="7" t="s">
        <v>26</v>
      </c>
      <c r="D95" s="18" t="n">
        <v>-0.115912301812442</v>
      </c>
      <c r="E95" s="18" t="n">
        <v>0.139854937228461</v>
      </c>
      <c r="F95" s="19" t="n">
        <v>19</v>
      </c>
      <c r="G95" s="20" t="n">
        <f aca="false">IF(E95&gt;0,D95/E95,"")</f>
        <v>-0.828803788479002</v>
      </c>
      <c r="H95" s="20" t="n">
        <f aca="false">IF(G95="","",TDIST(ABS(G95),F95-1,2))</f>
        <v>0.418070639918857</v>
      </c>
    </row>
    <row r="96" customFormat="false" ht="15" hidden="false" customHeight="false" outlineLevel="0" collapsed="false">
      <c r="A96" s="7" t="s">
        <v>60</v>
      </c>
      <c r="B96" s="7" t="s">
        <v>5</v>
      </c>
      <c r="C96" s="7" t="s">
        <v>26</v>
      </c>
      <c r="D96" s="18" t="n">
        <v>0.258300425417129</v>
      </c>
      <c r="E96" s="18" t="n">
        <v>0.231089203886655</v>
      </c>
      <c r="F96" s="19" t="n">
        <v>19</v>
      </c>
      <c r="G96" s="20" t="n">
        <f aca="false">IF(E96&gt;0,D96/E96,"")</f>
        <v>1.11775202420889</v>
      </c>
      <c r="H96" s="20" t="n">
        <f aca="false">IF(G96="","",TDIST(ABS(G96),F96-1,2))</f>
        <v>0.278370020364282</v>
      </c>
    </row>
    <row r="97" customFormat="false" ht="15" hidden="false" customHeight="false" outlineLevel="0" collapsed="false">
      <c r="A97" s="7" t="s">
        <v>60</v>
      </c>
      <c r="B97" s="7" t="s">
        <v>6</v>
      </c>
      <c r="C97" s="7" t="s">
        <v>26</v>
      </c>
      <c r="D97" s="18" t="n">
        <v>0.309716770779289</v>
      </c>
      <c r="E97" s="18" t="n">
        <v>0.225470697560162</v>
      </c>
      <c r="F97" s="19" t="n">
        <v>19</v>
      </c>
      <c r="G97" s="20" t="n">
        <f aca="false">IF(E97&gt;0,D97/E97,"")</f>
        <v>1.37364533010613</v>
      </c>
      <c r="H97" s="20" t="n">
        <f aca="false">IF(G97="","",TDIST(ABS(G97),F97-1,2))</f>
        <v>0.186419344730087</v>
      </c>
    </row>
    <row r="98" customFormat="false" ht="15" hidden="false" customHeight="false" outlineLevel="0" collapsed="false">
      <c r="A98" s="7" t="s">
        <v>60</v>
      </c>
      <c r="B98" s="7" t="s">
        <v>7</v>
      </c>
      <c r="C98" s="7" t="s">
        <v>26</v>
      </c>
      <c r="D98" s="18" t="n">
        <v>-0.0740033022234897</v>
      </c>
      <c r="E98" s="18" t="n">
        <v>0.127804538419224</v>
      </c>
      <c r="F98" s="19" t="n">
        <v>19</v>
      </c>
      <c r="G98" s="20" t="n">
        <f aca="false">IF(E98&gt;0,D98/E98,"")</f>
        <v>-0.579035010327602</v>
      </c>
      <c r="H98" s="20" t="n">
        <f aca="false">IF(G98="","",TDIST(ABS(G98),F98-1,2))</f>
        <v>0.569741488564182</v>
      </c>
    </row>
    <row r="99" customFormat="false" ht="15" hidden="false" customHeight="false" outlineLevel="0" collapsed="false">
      <c r="A99" s="7" t="s">
        <v>60</v>
      </c>
      <c r="B99" s="7" t="s">
        <v>8</v>
      </c>
      <c r="C99" s="7" t="s">
        <v>26</v>
      </c>
      <c r="D99" s="18" t="n">
        <v>-0.0817653453978009</v>
      </c>
      <c r="E99" s="18" t="n">
        <v>0.130606688945852</v>
      </c>
      <c r="F99" s="19" t="n">
        <v>19</v>
      </c>
      <c r="G99" s="20" t="n">
        <f aca="false">IF(E99&gt;0,D99/E99,"")</f>
        <v>-0.626042556148865</v>
      </c>
      <c r="H99" s="20" t="n">
        <f aca="false">IF(G99="","",TDIST(ABS(G99),F99-1,2))</f>
        <v>0.539145320601909</v>
      </c>
    </row>
    <row r="100" customFormat="false" ht="15" hidden="false" customHeight="false" outlineLevel="0" collapsed="false">
      <c r="A100" s="7" t="s">
        <v>60</v>
      </c>
      <c r="B100" s="7" t="s">
        <v>4</v>
      </c>
      <c r="C100" s="7" t="s">
        <v>27</v>
      </c>
      <c r="D100" s="18" t="n">
        <v>0.267499626243176</v>
      </c>
      <c r="E100" s="18" t="n">
        <v>0.131091049700044</v>
      </c>
      <c r="F100" s="19" t="n">
        <v>19</v>
      </c>
      <c r="G100" s="20" t="n">
        <f aca="false">IF(E100&gt;0,D100/E100,"")</f>
        <v>2.04056361479486</v>
      </c>
      <c r="H100" s="20" t="n">
        <f aca="false">IF(G100="","",TDIST(ABS(G100),F100-1,2))</f>
        <v>0.0562407650215365</v>
      </c>
    </row>
    <row r="101" customFormat="false" ht="15" hidden="false" customHeight="false" outlineLevel="0" collapsed="false">
      <c r="A101" s="7" t="s">
        <v>60</v>
      </c>
      <c r="B101" s="7" t="s">
        <v>5</v>
      </c>
      <c r="C101" s="7" t="s">
        <v>27</v>
      </c>
      <c r="D101" s="18" t="n">
        <v>-0.276929727534711</v>
      </c>
      <c r="E101" s="18" t="n">
        <v>0.84313970515086</v>
      </c>
      <c r="F101" s="19" t="n">
        <v>19</v>
      </c>
      <c r="G101" s="20" t="n">
        <f aca="false">IF(E101&gt;0,D101/E101,"")</f>
        <v>-0.328450582795363</v>
      </c>
      <c r="H101" s="20" t="n">
        <f aca="false">IF(G101="","",TDIST(ABS(G101),F101-1,2))</f>
        <v>0.74636118418412</v>
      </c>
    </row>
    <row r="102" customFormat="false" ht="15" hidden="false" customHeight="false" outlineLevel="0" collapsed="false">
      <c r="A102" s="7" t="s">
        <v>60</v>
      </c>
      <c r="B102" s="7" t="s">
        <v>6</v>
      </c>
      <c r="C102" s="7" t="s">
        <v>27</v>
      </c>
      <c r="D102" s="18" t="n">
        <v>-0.199387656374901</v>
      </c>
      <c r="E102" s="18" t="n">
        <v>0.978944069319128</v>
      </c>
      <c r="F102" s="19" t="n">
        <v>19</v>
      </c>
      <c r="G102" s="20" t="n">
        <f aca="false">IF(E102&gt;0,D102/E102,"")</f>
        <v>-0.203676249362825</v>
      </c>
      <c r="H102" s="20" t="n">
        <f aca="false">IF(G102="","",TDIST(ABS(G102),F102-1,2))</f>
        <v>0.840891436720228</v>
      </c>
    </row>
    <row r="103" customFormat="false" ht="15" hidden="false" customHeight="false" outlineLevel="0" collapsed="false">
      <c r="A103" s="7" t="s">
        <v>60</v>
      </c>
      <c r="B103" s="7" t="s">
        <v>7</v>
      </c>
      <c r="C103" s="7" t="s">
        <v>27</v>
      </c>
      <c r="D103" s="18" t="n">
        <v>0.276345487917286</v>
      </c>
      <c r="E103" s="18" t="n">
        <v>0.125380167623957</v>
      </c>
      <c r="F103" s="19" t="n">
        <v>19</v>
      </c>
      <c r="G103" s="20" t="n">
        <f aca="false">IF(E103&gt;0,D103/E103,"")</f>
        <v>2.20406060347684</v>
      </c>
      <c r="H103" s="20" t="n">
        <f aca="false">IF(G103="","",TDIST(ABS(G103),F103-1,2))</f>
        <v>0.0407771782881565</v>
      </c>
    </row>
    <row r="104" customFormat="false" ht="15" hidden="false" customHeight="false" outlineLevel="0" collapsed="false">
      <c r="A104" s="7" t="s">
        <v>60</v>
      </c>
      <c r="B104" s="7" t="s">
        <v>8</v>
      </c>
      <c r="C104" s="7" t="s">
        <v>27</v>
      </c>
      <c r="D104" s="18" t="n">
        <v>0.272485856502324</v>
      </c>
      <c r="E104" s="18" t="n">
        <v>0.126129825092789</v>
      </c>
      <c r="F104" s="19" t="n">
        <v>19</v>
      </c>
      <c r="G104" s="20" t="n">
        <f aca="false">IF(E104&gt;0,D104/E104,"")</f>
        <v>2.1603602185436</v>
      </c>
      <c r="H104" s="20" t="n">
        <f aca="false">IF(G104="","",TDIST(ABS(G104),F104-1,2))</f>
        <v>0.0444761122437542</v>
      </c>
    </row>
    <row r="105" customFormat="false" ht="15" hidden="false" customHeight="false" outlineLevel="0" collapsed="false">
      <c r="A105" s="7" t="s">
        <v>60</v>
      </c>
      <c r="B105" s="7" t="s">
        <v>4</v>
      </c>
      <c r="C105" s="7" t="s">
        <v>28</v>
      </c>
      <c r="D105" s="18" t="n">
        <v>-0.35693885847004</v>
      </c>
      <c r="E105" s="18" t="n">
        <v>0.238468591752276</v>
      </c>
      <c r="F105" s="19" t="n">
        <v>19</v>
      </c>
      <c r="G105" s="20" t="n">
        <f aca="false">IF(E105&gt;0,D105/E105,"")</f>
        <v>-1.49679610152113</v>
      </c>
      <c r="H105" s="20" t="n">
        <f aca="false">IF(G105="","",TDIST(ABS(G105),F105-1,2))</f>
        <v>0.151775767778765</v>
      </c>
    </row>
    <row r="106" customFormat="false" ht="15" hidden="false" customHeight="false" outlineLevel="0" collapsed="false">
      <c r="A106" s="7" t="s">
        <v>60</v>
      </c>
      <c r="B106" s="7" t="s">
        <v>5</v>
      </c>
      <c r="C106" s="7" t="s">
        <v>28</v>
      </c>
      <c r="D106" s="18" t="n">
        <v>-0.0653595752569347</v>
      </c>
      <c r="E106" s="18" t="n">
        <v>1.62388196337874</v>
      </c>
      <c r="F106" s="19" t="n">
        <v>19</v>
      </c>
      <c r="G106" s="20" t="n">
        <f aca="false">IF(E106&gt;0,D106/E106,"")</f>
        <v>-0.040248969279112</v>
      </c>
      <c r="H106" s="20" t="n">
        <f aca="false">IF(G106="","",TDIST(ABS(G106),F106-1,2))</f>
        <v>0.968337712114094</v>
      </c>
    </row>
    <row r="107" customFormat="false" ht="15" hidden="false" customHeight="false" outlineLevel="0" collapsed="false">
      <c r="A107" s="7" t="s">
        <v>60</v>
      </c>
      <c r="B107" s="7" t="s">
        <v>6</v>
      </c>
      <c r="C107" s="7" t="s">
        <v>28</v>
      </c>
      <c r="D107" s="18" t="n">
        <v>-0.448166771335679</v>
      </c>
      <c r="E107" s="18" t="n">
        <v>1.64774664688788</v>
      </c>
      <c r="F107" s="19" t="n">
        <v>19</v>
      </c>
      <c r="G107" s="20" t="n">
        <f aca="false">IF(E107&gt;0,D107/E107,"")</f>
        <v>-0.271987670059677</v>
      </c>
      <c r="H107" s="20" t="n">
        <f aca="false">IF(G107="","",TDIST(ABS(G107),F107-1,2))</f>
        <v>0.7887267227151</v>
      </c>
    </row>
    <row r="108" customFormat="false" ht="15" hidden="false" customHeight="false" outlineLevel="0" collapsed="false">
      <c r="A108" s="7" t="s">
        <v>60</v>
      </c>
      <c r="B108" s="7" t="s">
        <v>7</v>
      </c>
      <c r="C108" s="7" t="s">
        <v>28</v>
      </c>
      <c r="D108" s="18" t="n">
        <v>-0.352989541404158</v>
      </c>
      <c r="E108" s="18" t="n">
        <v>0.23855800519661</v>
      </c>
      <c r="F108" s="19" t="n">
        <v>19</v>
      </c>
      <c r="G108" s="20" t="n">
        <f aca="false">IF(E108&gt;0,D108/E108,"")</f>
        <v>-1.47968013529136</v>
      </c>
      <c r="H108" s="20" t="n">
        <f aca="false">IF(G108="","",TDIST(ABS(G108),F108-1,2))</f>
        <v>0.156248135108617</v>
      </c>
    </row>
    <row r="109" customFormat="false" ht="15" hidden="false" customHeight="false" outlineLevel="0" collapsed="false">
      <c r="A109" s="7" t="s">
        <v>60</v>
      </c>
      <c r="B109" s="7" t="s">
        <v>8</v>
      </c>
      <c r="C109" s="7" t="s">
        <v>28</v>
      </c>
      <c r="D109" s="18" t="n">
        <v>-0.354655891678531</v>
      </c>
      <c r="E109" s="18" t="n">
        <v>0.240853382145541</v>
      </c>
      <c r="F109" s="19" t="n">
        <v>19</v>
      </c>
      <c r="G109" s="20" t="n">
        <f aca="false">IF(E109&gt;0,D109/E109,"")</f>
        <v>-1.47249703748907</v>
      </c>
      <c r="H109" s="20" t="n">
        <f aca="false">IF(G109="","",TDIST(ABS(G109),F109-1,2))</f>
        <v>0.158157107362817</v>
      </c>
    </row>
    <row r="110" customFormat="false" ht="15" hidden="false" customHeight="false" outlineLevel="0" collapsed="false">
      <c r="A110" s="7" t="s">
        <v>61</v>
      </c>
      <c r="B110" s="7" t="s">
        <v>3</v>
      </c>
      <c r="C110" s="7" t="s">
        <v>10</v>
      </c>
      <c r="D110" s="18" t="n">
        <v>-0.385370759637945</v>
      </c>
      <c r="E110" s="18" t="n">
        <v>0.156841814903703</v>
      </c>
      <c r="F110" s="19" t="n">
        <v>19</v>
      </c>
      <c r="G110" s="20" t="n">
        <f aca="false">IF(E110&gt;0,D110/E110,"")</f>
        <v>-2.45706643903957</v>
      </c>
      <c r="H110" s="20" t="n">
        <f aca="false">IF(G110="","",TDIST(ABS(G110),F110-1,2))</f>
        <v>0.0243847145712003</v>
      </c>
    </row>
    <row r="111" customFormat="false" ht="15" hidden="false" customHeight="false" outlineLevel="0" collapsed="false">
      <c r="A111" s="7" t="s">
        <v>61</v>
      </c>
      <c r="B111" s="7" t="s">
        <v>4</v>
      </c>
      <c r="C111" s="7" t="s">
        <v>10</v>
      </c>
      <c r="D111" s="18" t="n">
        <v>-0.491373057903354</v>
      </c>
      <c r="E111" s="18" t="n">
        <v>0.118300628428849</v>
      </c>
      <c r="F111" s="19" t="n">
        <v>19</v>
      </c>
      <c r="G111" s="20" t="n">
        <f aca="false">IF(E111&gt;0,D111/E111,"")</f>
        <v>-4.15359634542337</v>
      </c>
      <c r="H111" s="20" t="n">
        <f aca="false">IF(G111="","",TDIST(ABS(G111),F111-1,2))</f>
        <v>0.000596684215074408</v>
      </c>
    </row>
    <row r="112" customFormat="false" ht="15" hidden="false" customHeight="false" outlineLevel="0" collapsed="false">
      <c r="A112" s="7" t="s">
        <v>61</v>
      </c>
      <c r="B112" s="7" t="s">
        <v>5</v>
      </c>
      <c r="C112" s="7" t="s">
        <v>10</v>
      </c>
      <c r="D112" s="18" t="n">
        <v>-0.37306686983076</v>
      </c>
      <c r="E112" s="18" t="n">
        <v>0.167668655283197</v>
      </c>
      <c r="F112" s="19" t="n">
        <v>19</v>
      </c>
      <c r="G112" s="20" t="n">
        <f aca="false">IF(E112&gt;0,D112/E112,"")</f>
        <v>-2.22502452352016</v>
      </c>
      <c r="H112" s="20" t="n">
        <f aca="false">IF(G112="","",TDIST(ABS(G112),F112-1,2))</f>
        <v>0.0391049246194761</v>
      </c>
    </row>
    <row r="113" customFormat="false" ht="15" hidden="false" customHeight="false" outlineLevel="0" collapsed="false">
      <c r="A113" s="7" t="s">
        <v>61</v>
      </c>
      <c r="B113" s="7" t="s">
        <v>6</v>
      </c>
      <c r="C113" s="7" t="s">
        <v>10</v>
      </c>
      <c r="D113" s="18" t="n">
        <v>-0.411441281849561</v>
      </c>
      <c r="E113" s="18" t="n">
        <v>0.191635803149997</v>
      </c>
      <c r="F113" s="19" t="n">
        <v>19</v>
      </c>
      <c r="G113" s="20" t="n">
        <f aca="false">IF(E113&gt;0,D113/E113,"")</f>
        <v>-2.14699589057227</v>
      </c>
      <c r="H113" s="20" t="n">
        <f aca="false">IF(G113="","",TDIST(ABS(G113),F113-1,2))</f>
        <v>0.0456671750124047</v>
      </c>
    </row>
    <row r="114" customFormat="false" ht="15" hidden="false" customHeight="false" outlineLevel="0" collapsed="false">
      <c r="A114" s="7" t="s">
        <v>61</v>
      </c>
      <c r="B114" s="7" t="s">
        <v>7</v>
      </c>
      <c r="C114" s="7" t="s">
        <v>10</v>
      </c>
      <c r="D114" s="18" t="n">
        <v>-0.384393195590659</v>
      </c>
      <c r="E114" s="18" t="n">
        <v>0.209076687437065</v>
      </c>
      <c r="F114" s="19" t="n">
        <v>19</v>
      </c>
      <c r="G114" s="20" t="n">
        <f aca="false">IF(E114&gt;0,D114/E114,"")</f>
        <v>-1.83852729016651</v>
      </c>
      <c r="H114" s="20" t="n">
        <f aca="false">IF(G114="","",TDIST(ABS(G114),F114-1,2))</f>
        <v>0.0825442670945184</v>
      </c>
    </row>
    <row r="115" customFormat="false" ht="15" hidden="false" customHeight="false" outlineLevel="0" collapsed="false">
      <c r="A115" s="7" t="s">
        <v>61</v>
      </c>
      <c r="B115" s="7" t="s">
        <v>8</v>
      </c>
      <c r="C115" s="7" t="s">
        <v>10</v>
      </c>
      <c r="D115" s="18" t="n">
        <v>-0.440661429872031</v>
      </c>
      <c r="E115" s="18" t="n">
        <v>0.186580065475634</v>
      </c>
      <c r="F115" s="19" t="n">
        <v>19</v>
      </c>
      <c r="G115" s="20" t="n">
        <f aca="false">IF(E115&gt;0,D115/E115,"")</f>
        <v>-2.36178194465034</v>
      </c>
      <c r="H115" s="20" t="n">
        <f aca="false">IF(G115="","",TDIST(ABS(G115),F115-1,2))</f>
        <v>0.0296589359269055</v>
      </c>
    </row>
    <row r="116" customFormat="false" ht="15" hidden="false" customHeight="false" outlineLevel="0" collapsed="false">
      <c r="A116" s="7" t="s">
        <v>61</v>
      </c>
      <c r="B116" s="7" t="s">
        <v>3</v>
      </c>
      <c r="C116" s="7" t="s">
        <v>11</v>
      </c>
      <c r="D116" s="18" t="n">
        <v>-0.0031246796870355</v>
      </c>
      <c r="E116" s="18" t="n">
        <v>0.0156414909246637</v>
      </c>
      <c r="F116" s="19" t="n">
        <v>19</v>
      </c>
      <c r="G116" s="20" t="n">
        <f aca="false">IF(E116&gt;0,D116/E116,"")</f>
        <v>-0.199768660294938</v>
      </c>
      <c r="H116" s="20" t="n">
        <f aca="false">IF(G116="","",TDIST(ABS(G116),F116-1,2))</f>
        <v>0.843900999306711</v>
      </c>
    </row>
    <row r="117" customFormat="false" ht="15" hidden="false" customHeight="false" outlineLevel="0" collapsed="false">
      <c r="A117" s="7" t="s">
        <v>61</v>
      </c>
      <c r="B117" s="7" t="s">
        <v>4</v>
      </c>
      <c r="C117" s="7" t="s">
        <v>11</v>
      </c>
      <c r="D117" s="18" t="n">
        <v>-0.0120976024165637</v>
      </c>
      <c r="E117" s="18" t="n">
        <v>0.0205080803393334</v>
      </c>
      <c r="F117" s="19" t="n">
        <v>19</v>
      </c>
      <c r="G117" s="20" t="n">
        <f aca="false">IF(E117&gt;0,D117/E117,"")</f>
        <v>-0.589894432652535</v>
      </c>
      <c r="H117" s="20" t="n">
        <f aca="false">IF(G117="","",TDIST(ABS(G117),F117-1,2))</f>
        <v>0.562594022324384</v>
      </c>
    </row>
    <row r="118" customFormat="false" ht="15" hidden="false" customHeight="false" outlineLevel="0" collapsed="false">
      <c r="A118" s="7" t="s">
        <v>61</v>
      </c>
      <c r="B118" s="7" t="s">
        <v>5</v>
      </c>
      <c r="C118" s="7" t="s">
        <v>11</v>
      </c>
      <c r="D118" s="18" t="n">
        <v>0.00623408743798604</v>
      </c>
      <c r="E118" s="18" t="n">
        <v>0.0182474035111898</v>
      </c>
      <c r="F118" s="19" t="n">
        <v>19</v>
      </c>
      <c r="G118" s="20" t="n">
        <f aca="false">IF(E118&gt;0,D118/E118,"")</f>
        <v>0.341642438835921</v>
      </c>
      <c r="H118" s="20" t="n">
        <f aca="false">IF(G118="","",TDIST(ABS(G118),F118-1,2))</f>
        <v>0.736576115669761</v>
      </c>
    </row>
    <row r="119" customFormat="false" ht="15" hidden="false" customHeight="false" outlineLevel="0" collapsed="false">
      <c r="A119" s="7" t="s">
        <v>61</v>
      </c>
      <c r="B119" s="7" t="s">
        <v>6</v>
      </c>
      <c r="C119" s="7" t="s">
        <v>11</v>
      </c>
      <c r="D119" s="18" t="n">
        <v>-0.0165087216139925</v>
      </c>
      <c r="E119" s="18" t="n">
        <v>0.0163197256611838</v>
      </c>
      <c r="F119" s="19" t="n">
        <v>19</v>
      </c>
      <c r="G119" s="20" t="n">
        <f aca="false">IF(E119&gt;0,D119/E119,"")</f>
        <v>-1.01158082903674</v>
      </c>
      <c r="H119" s="20" t="n">
        <f aca="false">IF(G119="","",TDIST(ABS(G119),F119-1,2))</f>
        <v>0.32514417908253</v>
      </c>
    </row>
    <row r="120" customFormat="false" ht="15" hidden="false" customHeight="false" outlineLevel="0" collapsed="false">
      <c r="A120" s="7" t="s">
        <v>61</v>
      </c>
      <c r="B120" s="7" t="s">
        <v>7</v>
      </c>
      <c r="C120" s="7" t="s">
        <v>11</v>
      </c>
      <c r="D120" s="18" t="n">
        <v>-0.0119578212395331</v>
      </c>
      <c r="E120" s="18" t="n">
        <v>0.0186716518993694</v>
      </c>
      <c r="F120" s="19" t="n">
        <v>19</v>
      </c>
      <c r="G120" s="20" t="n">
        <f aca="false">IF(E120&gt;0,D120/E120,"")</f>
        <v>-0.640426530227726</v>
      </c>
      <c r="H120" s="20" t="n">
        <f aca="false">IF(G120="","",TDIST(ABS(G120),F120-1,2))</f>
        <v>0.529964394748379</v>
      </c>
    </row>
    <row r="121" customFormat="false" ht="15" hidden="false" customHeight="false" outlineLevel="0" collapsed="false">
      <c r="A121" s="7" t="s">
        <v>61</v>
      </c>
      <c r="B121" s="7" t="s">
        <v>8</v>
      </c>
      <c r="C121" s="7" t="s">
        <v>11</v>
      </c>
      <c r="D121" s="18" t="n">
        <v>-0.0122725428742683</v>
      </c>
      <c r="E121" s="18" t="n">
        <v>0.0190424667862831</v>
      </c>
      <c r="F121" s="19" t="n">
        <v>19</v>
      </c>
      <c r="G121" s="20" t="n">
        <f aca="false">IF(E121&gt;0,D121/E121,"")</f>
        <v>-0.64448282945719</v>
      </c>
      <c r="H121" s="20" t="n">
        <f aca="false">IF(G121="","",TDIST(ABS(G121),F121-1,2))</f>
        <v>0.527391019535491</v>
      </c>
    </row>
    <row r="122" customFormat="false" ht="15" hidden="false" customHeight="false" outlineLevel="0" collapsed="false">
      <c r="A122" s="7" t="s">
        <v>61</v>
      </c>
      <c r="B122" s="7" t="s">
        <v>3</v>
      </c>
      <c r="C122" s="7" t="s">
        <v>12</v>
      </c>
      <c r="D122" s="18" t="n">
        <v>-0.0447754174153007</v>
      </c>
      <c r="E122" s="18" t="n">
        <v>0.0388918959544574</v>
      </c>
      <c r="F122" s="19" t="n">
        <v>19</v>
      </c>
      <c r="G122" s="20" t="n">
        <f aca="false">IF(E122&gt;0,D122/E122,"")</f>
        <v>-1.15127885428196</v>
      </c>
      <c r="H122" s="20" t="n">
        <f aca="false">IF(G122="","",TDIST(ABS(G122),F122-1,2))</f>
        <v>0.264681410210432</v>
      </c>
    </row>
    <row r="123" customFormat="false" ht="15" hidden="false" customHeight="false" outlineLevel="0" collapsed="false">
      <c r="A123" s="7" t="s">
        <v>61</v>
      </c>
      <c r="B123" s="7" t="s">
        <v>4</v>
      </c>
      <c r="C123" s="7" t="s">
        <v>12</v>
      </c>
      <c r="D123" s="18" t="n">
        <v>0.00510338784008536</v>
      </c>
      <c r="E123" s="18" t="n">
        <v>0.0492868238428957</v>
      </c>
      <c r="F123" s="19" t="n">
        <v>19</v>
      </c>
      <c r="G123" s="20" t="n">
        <f aca="false">IF(E123&gt;0,D123/E123,"")</f>
        <v>0.103544668578212</v>
      </c>
      <c r="H123" s="20" t="n">
        <f aca="false">IF(G123="","",TDIST(ABS(G123),F123-1,2))</f>
        <v>0.918675644602728</v>
      </c>
    </row>
    <row r="124" customFormat="false" ht="15" hidden="false" customHeight="false" outlineLevel="0" collapsed="false">
      <c r="A124" s="7" t="s">
        <v>61</v>
      </c>
      <c r="B124" s="7" t="s">
        <v>5</v>
      </c>
      <c r="C124" s="7" t="s">
        <v>12</v>
      </c>
      <c r="D124" s="18" t="n">
        <v>-1.14158284818216</v>
      </c>
      <c r="E124" s="18" t="n">
        <v>0.626367237029223</v>
      </c>
      <c r="F124" s="19" t="n">
        <v>19</v>
      </c>
      <c r="G124" s="20" t="n">
        <f aca="false">IF(E124&gt;0,D124/E124,"")</f>
        <v>-1.82254559417338</v>
      </c>
      <c r="H124" s="20" t="n">
        <f aca="false">IF(G124="","",TDIST(ABS(G124),F124-1,2))</f>
        <v>0.0850284618511822</v>
      </c>
    </row>
    <row r="125" customFormat="false" ht="15" hidden="false" customHeight="false" outlineLevel="0" collapsed="false">
      <c r="A125" s="7" t="s">
        <v>61</v>
      </c>
      <c r="B125" s="7" t="s">
        <v>6</v>
      </c>
      <c r="C125" s="7" t="s">
        <v>12</v>
      </c>
      <c r="D125" s="18" t="n">
        <v>-0.287502562241056</v>
      </c>
      <c r="E125" s="18" t="n">
        <v>0.716548080017814</v>
      </c>
      <c r="F125" s="19" t="n">
        <v>19</v>
      </c>
      <c r="G125" s="20" t="n">
        <f aca="false">IF(E125&gt;0,D125/E125,"")</f>
        <v>-0.401232757798902</v>
      </c>
      <c r="H125" s="20" t="n">
        <f aca="false">IF(G125="","",TDIST(ABS(G125),F125-1,2))</f>
        <v>0.692971976255333</v>
      </c>
    </row>
    <row r="126" customFormat="false" ht="15" hidden="false" customHeight="false" outlineLevel="0" collapsed="false">
      <c r="A126" s="7" t="s">
        <v>61</v>
      </c>
      <c r="B126" s="7" t="s">
        <v>7</v>
      </c>
      <c r="C126" s="7" t="s">
        <v>12</v>
      </c>
      <c r="D126" s="18" t="n">
        <v>0.00967153483484858</v>
      </c>
      <c r="E126" s="18" t="n">
        <v>0.0495444257994707</v>
      </c>
      <c r="F126" s="19" t="n">
        <v>19</v>
      </c>
      <c r="G126" s="20" t="n">
        <f aca="false">IF(E126&gt;0,D126/E126,"")</f>
        <v>0.195209343509071</v>
      </c>
      <c r="H126" s="20" t="n">
        <f aca="false">IF(G126="","",TDIST(ABS(G126),F126-1,2))</f>
        <v>0.847415637964568</v>
      </c>
    </row>
    <row r="127" customFormat="false" ht="15" hidden="false" customHeight="false" outlineLevel="0" collapsed="false">
      <c r="A127" s="7" t="s">
        <v>61</v>
      </c>
      <c r="B127" s="7" t="s">
        <v>8</v>
      </c>
      <c r="C127" s="7" t="s">
        <v>12</v>
      </c>
      <c r="D127" s="18" t="n">
        <v>0.00742860816972524</v>
      </c>
      <c r="E127" s="18" t="n">
        <v>0.0483511410746546</v>
      </c>
      <c r="F127" s="19" t="n">
        <v>19</v>
      </c>
      <c r="G127" s="20" t="n">
        <f aca="false">IF(E127&gt;0,D127/E127,"")</f>
        <v>0.153638735397276</v>
      </c>
      <c r="H127" s="20" t="n">
        <f aca="false">IF(G127="","",TDIST(ABS(G127),F127-1,2))</f>
        <v>0.879603957863369</v>
      </c>
    </row>
    <row r="128" customFormat="false" ht="15" hidden="false" customHeight="false" outlineLevel="0" collapsed="false">
      <c r="A128" s="7" t="s">
        <v>61</v>
      </c>
      <c r="B128" s="7" t="s">
        <v>3</v>
      </c>
      <c r="C128" s="7" t="s">
        <v>13</v>
      </c>
      <c r="D128" s="18" t="n">
        <v>0.00345450384268116</v>
      </c>
      <c r="E128" s="18" t="n">
        <v>0.00440140528809362</v>
      </c>
      <c r="F128" s="19" t="n">
        <v>19</v>
      </c>
      <c r="G128" s="20" t="n">
        <f aca="false">IF(E128&gt;0,D128/E128,"")</f>
        <v>0.784863837017246</v>
      </c>
      <c r="H128" s="20" t="n">
        <f aca="false">IF(G128="","",TDIST(ABS(G128),F128-1,2))</f>
        <v>0.442741497054385</v>
      </c>
    </row>
    <row r="129" customFormat="false" ht="15" hidden="false" customHeight="false" outlineLevel="0" collapsed="false">
      <c r="A129" s="7" t="s">
        <v>61</v>
      </c>
      <c r="B129" s="7" t="s">
        <v>4</v>
      </c>
      <c r="C129" s="7" t="s">
        <v>13</v>
      </c>
      <c r="D129" s="18" t="n">
        <v>0.00366942720733366</v>
      </c>
      <c r="E129" s="18" t="n">
        <v>0.00454939576670068</v>
      </c>
      <c r="F129" s="19" t="n">
        <v>19</v>
      </c>
      <c r="G129" s="20" t="n">
        <f aca="false">IF(E129&gt;0,D129/E129,"")</f>
        <v>0.806574630018352</v>
      </c>
      <c r="H129" s="20" t="n">
        <f aca="false">IF(G129="","",TDIST(ABS(G129),F129-1,2))</f>
        <v>0.430440242966035</v>
      </c>
    </row>
    <row r="130" customFormat="false" ht="15" hidden="false" customHeight="false" outlineLevel="0" collapsed="false">
      <c r="A130" s="7" t="s">
        <v>61</v>
      </c>
      <c r="B130" s="7" t="s">
        <v>5</v>
      </c>
      <c r="C130" s="7" t="s">
        <v>13</v>
      </c>
      <c r="D130" s="18" t="n">
        <v>-0.02040280053587</v>
      </c>
      <c r="E130" s="18" t="n">
        <v>0.0132526693548304</v>
      </c>
      <c r="F130" s="19" t="n">
        <v>19</v>
      </c>
      <c r="G130" s="20" t="n">
        <f aca="false">IF(E130&gt;0,D130/E130,"")</f>
        <v>-1.53952384909034</v>
      </c>
      <c r="H130" s="20" t="n">
        <f aca="false">IF(G130="","",TDIST(ABS(G130),F130-1,2))</f>
        <v>0.141071349364981</v>
      </c>
    </row>
    <row r="131" customFormat="false" ht="15" hidden="false" customHeight="false" outlineLevel="0" collapsed="false">
      <c r="A131" s="7" t="s">
        <v>61</v>
      </c>
      <c r="B131" s="7" t="s">
        <v>6</v>
      </c>
      <c r="C131" s="7" t="s">
        <v>13</v>
      </c>
      <c r="D131" s="18" t="n">
        <v>-0.0169703155187613</v>
      </c>
      <c r="E131" s="18" t="n">
        <v>0.0111410067954065</v>
      </c>
      <c r="F131" s="19" t="n">
        <v>19</v>
      </c>
      <c r="G131" s="20" t="n">
        <f aca="false">IF(E131&gt;0,D131/E131,"")</f>
        <v>-1.5232299764648</v>
      </c>
      <c r="H131" s="20" t="n">
        <f aca="false">IF(G131="","",TDIST(ABS(G131),F131-1,2))</f>
        <v>0.145076873084059</v>
      </c>
    </row>
    <row r="132" customFormat="false" ht="15" hidden="false" customHeight="false" outlineLevel="0" collapsed="false">
      <c r="A132" s="7" t="s">
        <v>61</v>
      </c>
      <c r="B132" s="7" t="s">
        <v>7</v>
      </c>
      <c r="C132" s="7" t="s">
        <v>13</v>
      </c>
      <c r="D132" s="18" t="n">
        <v>0.00420106843091508</v>
      </c>
      <c r="E132" s="18" t="n">
        <v>0.0043907251697157</v>
      </c>
      <c r="F132" s="19" t="n">
        <v>19</v>
      </c>
      <c r="G132" s="20" t="n">
        <f aca="false">IF(E132&gt;0,D132/E132,"")</f>
        <v>0.956805144601457</v>
      </c>
      <c r="H132" s="20" t="n">
        <f aca="false">IF(G132="","",TDIST(ABS(G132),F132-1,2))</f>
        <v>0.351341017814828</v>
      </c>
    </row>
    <row r="133" customFormat="false" ht="15" hidden="false" customHeight="false" outlineLevel="0" collapsed="false">
      <c r="A133" s="7" t="s">
        <v>61</v>
      </c>
      <c r="B133" s="7" t="s">
        <v>8</v>
      </c>
      <c r="C133" s="7" t="s">
        <v>13</v>
      </c>
      <c r="D133" s="18" t="n">
        <v>0.00416451998233847</v>
      </c>
      <c r="E133" s="18" t="n">
        <v>0.00433234473235841</v>
      </c>
      <c r="F133" s="19" t="n">
        <v>19</v>
      </c>
      <c r="G133" s="20" t="n">
        <f aca="false">IF(E133&gt;0,D133/E133,"")</f>
        <v>0.961262373982742</v>
      </c>
      <c r="H133" s="20" t="n">
        <f aca="false">IF(G133="","",TDIST(ABS(G133),F133-1,2))</f>
        <v>0.349156428705161</v>
      </c>
    </row>
    <row r="134" customFormat="false" ht="15" hidden="false" customHeight="false" outlineLevel="0" collapsed="false">
      <c r="A134" s="7" t="s">
        <v>61</v>
      </c>
      <c r="B134" s="7" t="s">
        <v>3</v>
      </c>
      <c r="C134" s="7" t="s">
        <v>14</v>
      </c>
      <c r="D134" s="18" t="n">
        <v>-0.173866125943763</v>
      </c>
      <c r="E134" s="18" t="n">
        <v>0.132573862292078</v>
      </c>
      <c r="F134" s="19" t="n">
        <v>19</v>
      </c>
      <c r="G134" s="20" t="n">
        <f aca="false">IF(E134&gt;0,D134/E134,"")</f>
        <v>-1.31146609850373</v>
      </c>
      <c r="H134" s="20" t="n">
        <f aca="false">IF(G134="","",TDIST(ABS(G134),F134-1,2))</f>
        <v>0.20618337853136</v>
      </c>
    </row>
    <row r="135" customFormat="false" ht="15" hidden="false" customHeight="false" outlineLevel="0" collapsed="false">
      <c r="A135" s="7" t="s">
        <v>61</v>
      </c>
      <c r="B135" s="7" t="s">
        <v>4</v>
      </c>
      <c r="C135" s="7" t="s">
        <v>14</v>
      </c>
      <c r="D135" s="18" t="n">
        <v>-0.0165349219400622</v>
      </c>
      <c r="E135" s="18" t="n">
        <v>0.115168491849061</v>
      </c>
      <c r="F135" s="19" t="n">
        <v>19</v>
      </c>
      <c r="G135" s="20" t="n">
        <f aca="false">IF(E135&gt;0,D135/E135,"")</f>
        <v>-0.1435715765188</v>
      </c>
      <c r="H135" s="20" t="n">
        <f aca="false">IF(G135="","",TDIST(ABS(G135),F135-1,2))</f>
        <v>0.887433883684964</v>
      </c>
    </row>
    <row r="136" customFormat="false" ht="15" hidden="false" customHeight="false" outlineLevel="0" collapsed="false">
      <c r="A136" s="7" t="s">
        <v>61</v>
      </c>
      <c r="B136" s="7" t="s">
        <v>5</v>
      </c>
      <c r="C136" s="7" t="s">
        <v>14</v>
      </c>
      <c r="D136" s="18" t="n">
        <v>-0.0192168836938707</v>
      </c>
      <c r="E136" s="18" t="n">
        <v>0.173160492150841</v>
      </c>
      <c r="F136" s="19" t="n">
        <v>19</v>
      </c>
      <c r="G136" s="20" t="n">
        <f aca="false">IF(E136&gt;0,D136/E136,"")</f>
        <v>-0.11097729889293</v>
      </c>
      <c r="H136" s="20" t="n">
        <f aca="false">IF(G136="","",TDIST(ABS(G136),F136-1,2))</f>
        <v>0.912862427189226</v>
      </c>
    </row>
    <row r="137" customFormat="false" ht="15" hidden="false" customHeight="false" outlineLevel="0" collapsed="false">
      <c r="A137" s="7" t="s">
        <v>61</v>
      </c>
      <c r="B137" s="7" t="s">
        <v>6</v>
      </c>
      <c r="C137" s="7" t="s">
        <v>14</v>
      </c>
      <c r="D137" s="18" t="n">
        <v>0.00426944976527267</v>
      </c>
      <c r="E137" s="18" t="n">
        <v>0.173753879025697</v>
      </c>
      <c r="F137" s="19" t="n">
        <v>19</v>
      </c>
      <c r="G137" s="20" t="n">
        <f aca="false">IF(E137&gt;0,D137/E137,"")</f>
        <v>0.0245718241757426</v>
      </c>
      <c r="H137" s="20" t="n">
        <f aca="false">IF(G137="","",TDIST(ABS(G137),F137-1,2))</f>
        <v>0.980666852871875</v>
      </c>
    </row>
    <row r="138" customFormat="false" ht="15" hidden="false" customHeight="false" outlineLevel="0" collapsed="false">
      <c r="A138" s="7" t="s">
        <v>61</v>
      </c>
      <c r="B138" s="7" t="s">
        <v>7</v>
      </c>
      <c r="C138" s="7" t="s">
        <v>14</v>
      </c>
      <c r="D138" s="18" t="n">
        <v>0.0130520421332482</v>
      </c>
      <c r="E138" s="18" t="n">
        <v>0.110794603722265</v>
      </c>
      <c r="F138" s="19" t="n">
        <v>19</v>
      </c>
      <c r="G138" s="20" t="n">
        <f aca="false">IF(E138&gt;0,D138/E138,"")</f>
        <v>0.117803951589253</v>
      </c>
      <c r="H138" s="20" t="n">
        <f aca="false">IF(G138="","",TDIST(ABS(G138),F138-1,2))</f>
        <v>0.907527603970406</v>
      </c>
    </row>
    <row r="139" customFormat="false" ht="15" hidden="false" customHeight="false" outlineLevel="0" collapsed="false">
      <c r="A139" s="7" t="s">
        <v>61</v>
      </c>
      <c r="B139" s="7" t="s">
        <v>8</v>
      </c>
      <c r="C139" s="7" t="s">
        <v>14</v>
      </c>
      <c r="D139" s="18" t="n">
        <v>0.0145385730289888</v>
      </c>
      <c r="E139" s="18" t="n">
        <v>0.109261347923369</v>
      </c>
      <c r="F139" s="19" t="n">
        <v>19</v>
      </c>
      <c r="G139" s="20" t="n">
        <f aca="false">IF(E139&gt;0,D139/E139,"")</f>
        <v>0.133062361990861</v>
      </c>
      <c r="H139" s="20" t="n">
        <f aca="false">IF(G139="","",TDIST(ABS(G139),F139-1,2))</f>
        <v>0.895620353069593</v>
      </c>
    </row>
    <row r="140" customFormat="false" ht="15" hidden="false" customHeight="false" outlineLevel="0" collapsed="false">
      <c r="A140" s="7" t="s">
        <v>61</v>
      </c>
      <c r="B140" s="7" t="s">
        <v>3</v>
      </c>
      <c r="C140" s="7" t="s">
        <v>15</v>
      </c>
      <c r="D140" s="18" t="n">
        <v>-0.162435703576201</v>
      </c>
      <c r="E140" s="18" t="n">
        <v>0.133723721896179</v>
      </c>
      <c r="F140" s="19" t="n">
        <v>19</v>
      </c>
      <c r="G140" s="20" t="n">
        <f aca="false">IF(E140&gt;0,D140/E140,"")</f>
        <v>-1.21471120660486</v>
      </c>
      <c r="H140" s="20" t="n">
        <f aca="false">IF(G140="","",TDIST(ABS(G140),F140-1,2))</f>
        <v>0.240171464643641</v>
      </c>
    </row>
    <row r="141" customFormat="false" ht="15" hidden="false" customHeight="false" outlineLevel="0" collapsed="false">
      <c r="A141" s="7" t="s">
        <v>61</v>
      </c>
      <c r="B141" s="7" t="s">
        <v>4</v>
      </c>
      <c r="C141" s="7" t="s">
        <v>15</v>
      </c>
      <c r="D141" s="18" t="n">
        <v>-0.0129816251449903</v>
      </c>
      <c r="E141" s="18" t="n">
        <v>0.120940430109615</v>
      </c>
      <c r="F141" s="19" t="n">
        <v>19</v>
      </c>
      <c r="G141" s="20" t="n">
        <f aca="false">IF(E141&gt;0,D141/E141,"")</f>
        <v>-0.107339002624881</v>
      </c>
      <c r="H141" s="20" t="n">
        <f aca="false">IF(G141="","",TDIST(ABS(G141),F141-1,2))</f>
        <v>0.915707404693188</v>
      </c>
    </row>
    <row r="142" customFormat="false" ht="15" hidden="false" customHeight="false" outlineLevel="0" collapsed="false">
      <c r="A142" s="7" t="s">
        <v>61</v>
      </c>
      <c r="B142" s="7" t="s">
        <v>5</v>
      </c>
      <c r="C142" s="7" t="s">
        <v>15</v>
      </c>
      <c r="D142" s="18" t="n">
        <v>-0.0361861566689282</v>
      </c>
      <c r="E142" s="18" t="n">
        <v>0.178393756328716</v>
      </c>
      <c r="F142" s="19" t="n">
        <v>19</v>
      </c>
      <c r="G142" s="20" t="n">
        <f aca="false">IF(E142&gt;0,D142/E142,"")</f>
        <v>-0.202844300235766</v>
      </c>
      <c r="H142" s="20" t="n">
        <f aca="false">IF(G142="","",TDIST(ABS(G142),F142-1,2))</f>
        <v>0.841531980919242</v>
      </c>
    </row>
    <row r="143" customFormat="false" ht="15" hidden="false" customHeight="false" outlineLevel="0" collapsed="false">
      <c r="A143" s="7" t="s">
        <v>61</v>
      </c>
      <c r="B143" s="7" t="s">
        <v>6</v>
      </c>
      <c r="C143" s="7" t="s">
        <v>15</v>
      </c>
      <c r="D143" s="18" t="n">
        <v>0.000828763532773591</v>
      </c>
      <c r="E143" s="18" t="n">
        <v>0.181173384019599</v>
      </c>
      <c r="F143" s="19" t="n">
        <v>19</v>
      </c>
      <c r="G143" s="20" t="n">
        <f aca="false">IF(E143&gt;0,D143/E143,"")</f>
        <v>0.00457442210542326</v>
      </c>
      <c r="H143" s="20" t="n">
        <f aca="false">IF(G143="","",TDIST(ABS(G143),F143-1,2))</f>
        <v>0.996400468959597</v>
      </c>
    </row>
    <row r="144" customFormat="false" ht="15" hidden="false" customHeight="false" outlineLevel="0" collapsed="false">
      <c r="A144" s="7" t="s">
        <v>61</v>
      </c>
      <c r="B144" s="7" t="s">
        <v>7</v>
      </c>
      <c r="C144" s="7" t="s">
        <v>15</v>
      </c>
      <c r="D144" s="18" t="n">
        <v>0.0171946607714616</v>
      </c>
      <c r="E144" s="18" t="n">
        <v>0.116034072493851</v>
      </c>
      <c r="F144" s="19" t="n">
        <v>19</v>
      </c>
      <c r="G144" s="20" t="n">
        <f aca="false">IF(E144&gt;0,D144/E144,"")</f>
        <v>0.148186307710374</v>
      </c>
      <c r="H144" s="20" t="n">
        <f aca="false">IF(G144="","",TDIST(ABS(G144),F144-1,2))</f>
        <v>0.883843156445873</v>
      </c>
    </row>
    <row r="145" customFormat="false" ht="15" hidden="false" customHeight="false" outlineLevel="0" collapsed="false">
      <c r="A145" s="7" t="s">
        <v>61</v>
      </c>
      <c r="B145" s="7" t="s">
        <v>8</v>
      </c>
      <c r="C145" s="7" t="s">
        <v>15</v>
      </c>
      <c r="D145" s="18" t="n">
        <v>0.0188988282393717</v>
      </c>
      <c r="E145" s="18" t="n">
        <v>0.114548689020715</v>
      </c>
      <c r="F145" s="19" t="n">
        <v>19</v>
      </c>
      <c r="G145" s="20" t="n">
        <f aca="false">IF(E145&gt;0,D145/E145,"")</f>
        <v>0.164985111579531</v>
      </c>
      <c r="H145" s="20" t="n">
        <f aca="false">IF(G145="","",TDIST(ABS(G145),F145-1,2))</f>
        <v>0.870794427900078</v>
      </c>
    </row>
    <row r="146" customFormat="false" ht="15" hidden="false" customHeight="false" outlineLevel="0" collapsed="false">
      <c r="A146" s="7" t="s">
        <v>61</v>
      </c>
      <c r="B146" s="7" t="s">
        <v>3</v>
      </c>
      <c r="C146" s="7" t="s">
        <v>16</v>
      </c>
      <c r="D146" s="18" t="n">
        <v>-0.18630280912274</v>
      </c>
      <c r="E146" s="18" t="n">
        <v>0.124410601616601</v>
      </c>
      <c r="F146" s="19" t="n">
        <v>19</v>
      </c>
      <c r="G146" s="20" t="n">
        <f aca="false">IF(E146&gt;0,D146/E146,"")</f>
        <v>-1.49748338728296</v>
      </c>
      <c r="H146" s="20" t="n">
        <f aca="false">IF(G146="","",TDIST(ABS(G146),F146-1,2))</f>
        <v>0.151598411464727</v>
      </c>
    </row>
    <row r="147" customFormat="false" ht="15" hidden="false" customHeight="false" outlineLevel="0" collapsed="false">
      <c r="A147" s="7" t="s">
        <v>61</v>
      </c>
      <c r="B147" s="7" t="s">
        <v>4</v>
      </c>
      <c r="C147" s="7" t="s">
        <v>16</v>
      </c>
      <c r="D147" s="18" t="n">
        <v>-0.0182426923499903</v>
      </c>
      <c r="E147" s="18" t="n">
        <v>0.104928219986738</v>
      </c>
      <c r="F147" s="19" t="n">
        <v>19</v>
      </c>
      <c r="G147" s="20" t="n">
        <f aca="false">IF(E147&gt;0,D147/E147,"")</f>
        <v>-0.173858780338559</v>
      </c>
      <c r="H147" s="20" t="n">
        <f aca="false">IF(G147="","",TDIST(ABS(G147),F147-1,2))</f>
        <v>0.8639167938803</v>
      </c>
    </row>
    <row r="148" customFormat="false" ht="15" hidden="false" customHeight="false" outlineLevel="0" collapsed="false">
      <c r="A148" s="7" t="s">
        <v>61</v>
      </c>
      <c r="B148" s="7" t="s">
        <v>5</v>
      </c>
      <c r="C148" s="7" t="s">
        <v>16</v>
      </c>
      <c r="D148" s="18" t="n">
        <v>-0.0632673451090326</v>
      </c>
      <c r="E148" s="18" t="n">
        <v>0.175821832956092</v>
      </c>
      <c r="F148" s="19" t="n">
        <v>19</v>
      </c>
      <c r="G148" s="20" t="n">
        <f aca="false">IF(E148&gt;0,D148/E148,"")</f>
        <v>-0.359837820168969</v>
      </c>
      <c r="H148" s="20" t="n">
        <f aca="false">IF(G148="","",TDIST(ABS(G148),F148-1,2))</f>
        <v>0.723155706486663</v>
      </c>
    </row>
    <row r="149" customFormat="false" ht="15" hidden="false" customHeight="false" outlineLevel="0" collapsed="false">
      <c r="A149" s="7" t="s">
        <v>61</v>
      </c>
      <c r="B149" s="7" t="s">
        <v>6</v>
      </c>
      <c r="C149" s="7" t="s">
        <v>16</v>
      </c>
      <c r="D149" s="18" t="n">
        <v>-0.0326717559823949</v>
      </c>
      <c r="E149" s="18" t="n">
        <v>0.170949349489094</v>
      </c>
      <c r="F149" s="19" t="n">
        <v>19</v>
      </c>
      <c r="G149" s="20" t="n">
        <f aca="false">IF(E149&gt;0,D149/E149,"")</f>
        <v>-0.191119510428317</v>
      </c>
      <c r="H149" s="20" t="n">
        <f aca="false">IF(G149="","",TDIST(ABS(G149),F149-1,2))</f>
        <v>0.850571172821926</v>
      </c>
    </row>
    <row r="150" customFormat="false" ht="15" hidden="false" customHeight="false" outlineLevel="0" collapsed="false">
      <c r="A150" s="7" t="s">
        <v>61</v>
      </c>
      <c r="B150" s="7" t="s">
        <v>7</v>
      </c>
      <c r="C150" s="7" t="s">
        <v>16</v>
      </c>
      <c r="D150" s="18" t="n">
        <v>0.013891602340342</v>
      </c>
      <c r="E150" s="18" t="n">
        <v>0.102566643627474</v>
      </c>
      <c r="F150" s="19" t="n">
        <v>19</v>
      </c>
      <c r="G150" s="20" t="n">
        <f aca="false">IF(E150&gt;0,D150/E150,"")</f>
        <v>0.135439767248276</v>
      </c>
      <c r="H150" s="20" t="n">
        <f aca="false">IF(G150="","",TDIST(ABS(G150),F150-1,2))</f>
        <v>0.893767310843499</v>
      </c>
    </row>
    <row r="151" customFormat="false" ht="15" hidden="false" customHeight="false" outlineLevel="0" collapsed="false">
      <c r="A151" s="7" t="s">
        <v>61</v>
      </c>
      <c r="B151" s="7" t="s">
        <v>8</v>
      </c>
      <c r="C151" s="7" t="s">
        <v>16</v>
      </c>
      <c r="D151" s="18" t="n">
        <v>0.0134388727741456</v>
      </c>
      <c r="E151" s="18" t="n">
        <v>0.100803912520395</v>
      </c>
      <c r="F151" s="19" t="n">
        <v>19</v>
      </c>
      <c r="G151" s="20" t="n">
        <f aca="false">IF(E151&gt;0,D151/E151,"")</f>
        <v>0.13331697588054</v>
      </c>
      <c r="H151" s="20" t="n">
        <f aca="false">IF(G151="","",TDIST(ABS(G151),F151-1,2))</f>
        <v>0.895421867337991</v>
      </c>
    </row>
    <row r="152" customFormat="false" ht="15" hidden="false" customHeight="false" outlineLevel="0" collapsed="false">
      <c r="A152" s="7" t="s">
        <v>61</v>
      </c>
      <c r="B152" s="7" t="s">
        <v>3</v>
      </c>
      <c r="C152" s="7" t="s">
        <v>17</v>
      </c>
      <c r="D152" s="18" t="n">
        <v>-0.16166779058791</v>
      </c>
      <c r="E152" s="18" t="n">
        <v>0.131908305247772</v>
      </c>
      <c r="F152" s="19" t="n">
        <v>19</v>
      </c>
      <c r="G152" s="20" t="n">
        <f aca="false">IF(E152&gt;0,D152/E152,"")</f>
        <v>-1.22560736630069</v>
      </c>
      <c r="H152" s="20" t="n">
        <f aca="false">IF(G152="","",TDIST(ABS(G152),F152-1,2))</f>
        <v>0.236141337328239</v>
      </c>
    </row>
    <row r="153" customFormat="false" ht="15" hidden="false" customHeight="false" outlineLevel="0" collapsed="false">
      <c r="A153" s="7" t="s">
        <v>61</v>
      </c>
      <c r="B153" s="7" t="s">
        <v>4</v>
      </c>
      <c r="C153" s="7" t="s">
        <v>17</v>
      </c>
      <c r="D153" s="18" t="n">
        <v>-0.00400625824966786</v>
      </c>
      <c r="E153" s="18" t="n">
        <v>0.110344350895494</v>
      </c>
      <c r="F153" s="19" t="n">
        <v>19</v>
      </c>
      <c r="G153" s="20" t="n">
        <f aca="false">IF(E153&gt;0,D153/E153,"")</f>
        <v>-0.0363068722336511</v>
      </c>
      <c r="H153" s="20" t="n">
        <f aca="false">IF(G153="","",TDIST(ABS(G153),F153-1,2))</f>
        <v>0.971437289431992</v>
      </c>
    </row>
    <row r="154" customFormat="false" ht="15" hidden="false" customHeight="false" outlineLevel="0" collapsed="false">
      <c r="A154" s="7" t="s">
        <v>61</v>
      </c>
      <c r="B154" s="7" t="s">
        <v>5</v>
      </c>
      <c r="C154" s="7" t="s">
        <v>17</v>
      </c>
      <c r="D154" s="18" t="n">
        <v>-0.0395129702446605</v>
      </c>
      <c r="E154" s="18" t="n">
        <v>0.170512693001479</v>
      </c>
      <c r="F154" s="19" t="n">
        <v>19</v>
      </c>
      <c r="G154" s="20" t="n">
        <f aca="false">IF(E154&gt;0,D154/E154,"")</f>
        <v>-0.231730374725345</v>
      </c>
      <c r="H154" s="20" t="n">
        <f aca="false">IF(G154="","",TDIST(ABS(G154),F154-1,2))</f>
        <v>0.819361401713741</v>
      </c>
    </row>
    <row r="155" customFormat="false" ht="15" hidden="false" customHeight="false" outlineLevel="0" collapsed="false">
      <c r="A155" s="7" t="s">
        <v>61</v>
      </c>
      <c r="B155" s="7" t="s">
        <v>6</v>
      </c>
      <c r="C155" s="7" t="s">
        <v>17</v>
      </c>
      <c r="D155" s="18" t="n">
        <v>0.0109037085420028</v>
      </c>
      <c r="E155" s="18" t="n">
        <v>0.175990627017234</v>
      </c>
      <c r="F155" s="19" t="n">
        <v>19</v>
      </c>
      <c r="G155" s="20" t="n">
        <f aca="false">IF(E155&gt;0,D155/E155,"")</f>
        <v>0.0619561889562166</v>
      </c>
      <c r="H155" s="20" t="n">
        <f aca="false">IF(G155="","",TDIST(ABS(G155),F155-1,2))</f>
        <v>0.951280502760873</v>
      </c>
    </row>
    <row r="156" customFormat="false" ht="15" hidden="false" customHeight="false" outlineLevel="0" collapsed="false">
      <c r="A156" s="7" t="s">
        <v>61</v>
      </c>
      <c r="B156" s="7" t="s">
        <v>7</v>
      </c>
      <c r="C156" s="7" t="s">
        <v>17</v>
      </c>
      <c r="D156" s="18" t="n">
        <v>0.0245723457389056</v>
      </c>
      <c r="E156" s="18" t="n">
        <v>0.105495769756345</v>
      </c>
      <c r="F156" s="19" t="n">
        <v>19</v>
      </c>
      <c r="G156" s="20" t="n">
        <f aca="false">IF(E156&gt;0,D156/E156,"")</f>
        <v>0.232922569271339</v>
      </c>
      <c r="H156" s="20" t="n">
        <f aca="false">IF(G156="","",TDIST(ABS(G156),F156-1,2))</f>
        <v>0.818449590130145</v>
      </c>
    </row>
    <row r="157" customFormat="false" ht="15" hidden="false" customHeight="false" outlineLevel="0" collapsed="false">
      <c r="A157" s="7" t="s">
        <v>61</v>
      </c>
      <c r="B157" s="7" t="s">
        <v>8</v>
      </c>
      <c r="C157" s="7" t="s">
        <v>17</v>
      </c>
      <c r="D157" s="18" t="n">
        <v>0.0263598445063133</v>
      </c>
      <c r="E157" s="18" t="n">
        <v>0.104643699453499</v>
      </c>
      <c r="F157" s="19" t="n">
        <v>19</v>
      </c>
      <c r="G157" s="20" t="n">
        <f aca="false">IF(E157&gt;0,D157/E157,"")</f>
        <v>0.251900923266069</v>
      </c>
      <c r="H157" s="20" t="n">
        <f aca="false">IF(G157="","",TDIST(ABS(G157),F157-1,2))</f>
        <v>0.803971337545673</v>
      </c>
    </row>
    <row r="158" customFormat="false" ht="15" hidden="false" customHeight="false" outlineLevel="0" collapsed="false">
      <c r="A158" s="7" t="s">
        <v>61</v>
      </c>
      <c r="B158" s="7" t="s">
        <v>3</v>
      </c>
      <c r="C158" s="7" t="s">
        <v>18</v>
      </c>
      <c r="D158" s="18" t="n">
        <v>-0.164017787477429</v>
      </c>
      <c r="E158" s="18" t="n">
        <v>0.127746480527099</v>
      </c>
      <c r="F158" s="19" t="n">
        <v>19</v>
      </c>
      <c r="G158" s="20" t="n">
        <f aca="false">IF(E158&gt;0,D158/E158,"")</f>
        <v>-1.28393194709294</v>
      </c>
      <c r="H158" s="20" t="n">
        <f aca="false">IF(G158="","",TDIST(ABS(G158),F158-1,2))</f>
        <v>0.215447423899128</v>
      </c>
    </row>
    <row r="159" customFormat="false" ht="15" hidden="false" customHeight="false" outlineLevel="0" collapsed="false">
      <c r="A159" s="7" t="s">
        <v>61</v>
      </c>
      <c r="B159" s="7" t="s">
        <v>4</v>
      </c>
      <c r="C159" s="7" t="s">
        <v>18</v>
      </c>
      <c r="D159" s="18" t="n">
        <v>-0.00903632188013793</v>
      </c>
      <c r="E159" s="18" t="n">
        <v>0.115175174514216</v>
      </c>
      <c r="F159" s="19" t="n">
        <v>19</v>
      </c>
      <c r="G159" s="20" t="n">
        <f aca="false">IF(E159&gt;0,D159/E159,"")</f>
        <v>-0.078457201547566</v>
      </c>
      <c r="H159" s="20" t="n">
        <f aca="false">IF(G159="","",TDIST(ABS(G159),F159-1,2))</f>
        <v>0.938329986259189</v>
      </c>
    </row>
    <row r="160" customFormat="false" ht="15" hidden="false" customHeight="false" outlineLevel="0" collapsed="false">
      <c r="A160" s="7" t="s">
        <v>61</v>
      </c>
      <c r="B160" s="7" t="s">
        <v>5</v>
      </c>
      <c r="C160" s="7" t="s">
        <v>18</v>
      </c>
      <c r="D160" s="18" t="n">
        <v>-0.0229008201277517</v>
      </c>
      <c r="E160" s="18" t="n">
        <v>0.182911536151256</v>
      </c>
      <c r="F160" s="19" t="n">
        <v>19</v>
      </c>
      <c r="G160" s="20" t="n">
        <f aca="false">IF(E160&gt;0,D160/E160,"")</f>
        <v>-0.125201617184026</v>
      </c>
      <c r="H160" s="20" t="n">
        <f aca="false">IF(G160="","",TDIST(ABS(G160),F160-1,2))</f>
        <v>0.90175166605804</v>
      </c>
    </row>
    <row r="161" customFormat="false" ht="15" hidden="false" customHeight="false" outlineLevel="0" collapsed="false">
      <c r="A161" s="7" t="s">
        <v>61</v>
      </c>
      <c r="B161" s="7" t="s">
        <v>6</v>
      </c>
      <c r="C161" s="7" t="s">
        <v>18</v>
      </c>
      <c r="D161" s="18" t="n">
        <v>-0.00355664607502837</v>
      </c>
      <c r="E161" s="18" t="n">
        <v>0.172928104832293</v>
      </c>
      <c r="F161" s="19" t="n">
        <v>19</v>
      </c>
      <c r="G161" s="20" t="n">
        <f aca="false">IF(E161&gt;0,D161/E161,"")</f>
        <v>-0.0205671951270017</v>
      </c>
      <c r="H161" s="20" t="n">
        <f aca="false">IF(G161="","",TDIST(ABS(G161),F161-1,2))</f>
        <v>0.983817186273231</v>
      </c>
    </row>
    <row r="162" customFormat="false" ht="15" hidden="false" customHeight="false" outlineLevel="0" collapsed="false">
      <c r="A162" s="7" t="s">
        <v>61</v>
      </c>
      <c r="B162" s="7" t="s">
        <v>7</v>
      </c>
      <c r="C162" s="7" t="s">
        <v>18</v>
      </c>
      <c r="D162" s="18" t="n">
        <v>0.022363172023922</v>
      </c>
      <c r="E162" s="18" t="n">
        <v>0.110528736225176</v>
      </c>
      <c r="F162" s="19" t="n">
        <v>19</v>
      </c>
      <c r="G162" s="20" t="n">
        <f aca="false">IF(E162&gt;0,D162/E162,"")</f>
        <v>0.202329030328931</v>
      </c>
      <c r="H162" s="20" t="n">
        <f aca="false">IF(G162="","",TDIST(ABS(G162),F162-1,2))</f>
        <v>0.841928760796016</v>
      </c>
    </row>
    <row r="163" customFormat="false" ht="15" hidden="false" customHeight="false" outlineLevel="0" collapsed="false">
      <c r="A163" s="7" t="s">
        <v>61</v>
      </c>
      <c r="B163" s="7" t="s">
        <v>8</v>
      </c>
      <c r="C163" s="7" t="s">
        <v>18</v>
      </c>
      <c r="D163" s="18" t="n">
        <v>0.0235021270430311</v>
      </c>
      <c r="E163" s="18" t="n">
        <v>0.108781320034833</v>
      </c>
      <c r="F163" s="19" t="n">
        <v>19</v>
      </c>
      <c r="G163" s="20" t="n">
        <f aca="false">IF(E163&gt;0,D163/E163,"")</f>
        <v>0.216049290774423</v>
      </c>
      <c r="H163" s="20" t="n">
        <f aca="false">IF(G163="","",TDIST(ABS(G163),F163-1,2))</f>
        <v>0.831378769225413</v>
      </c>
    </row>
    <row r="164" customFormat="false" ht="15" hidden="false" customHeight="false" outlineLevel="0" collapsed="false">
      <c r="A164" s="7" t="s">
        <v>61</v>
      </c>
      <c r="B164" s="7" t="s">
        <v>3</v>
      </c>
      <c r="C164" s="7" t="s">
        <v>19</v>
      </c>
      <c r="D164" s="18" t="n">
        <v>-0.182096323387663</v>
      </c>
      <c r="E164" s="18" t="n">
        <v>0.125058420007472</v>
      </c>
      <c r="F164" s="19" t="n">
        <v>19</v>
      </c>
      <c r="G164" s="20" t="n">
        <f aca="false">IF(E164&gt;0,D164/E164,"")</f>
        <v>-1.45609006875973</v>
      </c>
      <c r="H164" s="20" t="n">
        <f aca="false">IF(G164="","",TDIST(ABS(G164),F164-1,2))</f>
        <v>0.162589293252327</v>
      </c>
    </row>
    <row r="165" customFormat="false" ht="15" hidden="false" customHeight="false" outlineLevel="0" collapsed="false">
      <c r="A165" s="7" t="s">
        <v>61</v>
      </c>
      <c r="B165" s="7" t="s">
        <v>4</v>
      </c>
      <c r="C165" s="7" t="s">
        <v>19</v>
      </c>
      <c r="D165" s="18" t="n">
        <v>-0.0190534765468231</v>
      </c>
      <c r="E165" s="18" t="n">
        <v>0.113286710027909</v>
      </c>
      <c r="F165" s="19" t="n">
        <v>19</v>
      </c>
      <c r="G165" s="20" t="n">
        <f aca="false">IF(E165&gt;0,D165/E165,"")</f>
        <v>-0.168188100282276</v>
      </c>
      <c r="H165" s="20" t="n">
        <f aca="false">IF(G165="","",TDIST(ABS(G165),F165-1,2))</f>
        <v>0.868310662660271</v>
      </c>
    </row>
    <row r="166" customFormat="false" ht="15" hidden="false" customHeight="false" outlineLevel="0" collapsed="false">
      <c r="A166" s="7" t="s">
        <v>61</v>
      </c>
      <c r="B166" s="7" t="s">
        <v>5</v>
      </c>
      <c r="C166" s="7" t="s">
        <v>19</v>
      </c>
      <c r="D166" s="18" t="n">
        <v>-0.0398045741551278</v>
      </c>
      <c r="E166" s="18" t="n">
        <v>0.180739574334222</v>
      </c>
      <c r="F166" s="19" t="n">
        <v>19</v>
      </c>
      <c r="G166" s="20" t="n">
        <f aca="false">IF(E166&gt;0,D166/E166,"")</f>
        <v>-0.220231647118531</v>
      </c>
      <c r="H166" s="20" t="n">
        <f aca="false">IF(G166="","",TDIST(ABS(G166),F166-1,2))</f>
        <v>0.828169254815482</v>
      </c>
    </row>
    <row r="167" customFormat="false" ht="15" hidden="false" customHeight="false" outlineLevel="0" collapsed="false">
      <c r="A167" s="7" t="s">
        <v>61</v>
      </c>
      <c r="B167" s="7" t="s">
        <v>6</v>
      </c>
      <c r="C167" s="7" t="s">
        <v>19</v>
      </c>
      <c r="D167" s="18" t="n">
        <v>0.0165351087650357</v>
      </c>
      <c r="E167" s="18" t="n">
        <v>0.182528895341694</v>
      </c>
      <c r="F167" s="19" t="n">
        <v>19</v>
      </c>
      <c r="G167" s="20" t="n">
        <f aca="false">IF(E167&gt;0,D167/E167,"")</f>
        <v>0.0905889926856893</v>
      </c>
      <c r="H167" s="20" t="n">
        <f aca="false">IF(G167="","",TDIST(ABS(G167),F167-1,2))</f>
        <v>0.928819642183735</v>
      </c>
    </row>
    <row r="168" customFormat="false" ht="15" hidden="false" customHeight="false" outlineLevel="0" collapsed="false">
      <c r="A168" s="7" t="s">
        <v>61</v>
      </c>
      <c r="B168" s="7" t="s">
        <v>7</v>
      </c>
      <c r="C168" s="7" t="s">
        <v>19</v>
      </c>
      <c r="D168" s="18" t="n">
        <v>0.011454736125053</v>
      </c>
      <c r="E168" s="18" t="n">
        <v>0.109660616078714</v>
      </c>
      <c r="F168" s="19" t="n">
        <v>19</v>
      </c>
      <c r="G168" s="20" t="n">
        <f aca="false">IF(E168&gt;0,D168/E168,"")</f>
        <v>0.104456244499217</v>
      </c>
      <c r="H168" s="20" t="n">
        <f aca="false">IF(G168="","",TDIST(ABS(G168),F168-1,2))</f>
        <v>0.91796242102568</v>
      </c>
    </row>
    <row r="169" customFormat="false" ht="15" hidden="false" customHeight="false" outlineLevel="0" collapsed="false">
      <c r="A169" s="7" t="s">
        <v>61</v>
      </c>
      <c r="B169" s="7" t="s">
        <v>8</v>
      </c>
      <c r="C169" s="7" t="s">
        <v>19</v>
      </c>
      <c r="D169" s="18" t="n">
        <v>0.0128769474999996</v>
      </c>
      <c r="E169" s="18" t="n">
        <v>0.107955740840313</v>
      </c>
      <c r="F169" s="19" t="n">
        <v>19</v>
      </c>
      <c r="G169" s="20" t="n">
        <f aca="false">IF(E169&gt;0,D169/E169,"")</f>
        <v>0.119279877103035</v>
      </c>
      <c r="H169" s="20" t="n">
        <f aca="false">IF(G169="","",TDIST(ABS(G169),F169-1,2))</f>
        <v>0.906374798507214</v>
      </c>
    </row>
    <row r="170" customFormat="false" ht="15" hidden="false" customHeight="false" outlineLevel="0" collapsed="false">
      <c r="A170" s="7" t="s">
        <v>61</v>
      </c>
      <c r="B170" s="7" t="s">
        <v>3</v>
      </c>
      <c r="C170" s="7" t="s">
        <v>20</v>
      </c>
      <c r="D170" s="18" t="n">
        <v>-0.201303299769601</v>
      </c>
      <c r="E170" s="18" t="n">
        <v>0.13658598146686</v>
      </c>
      <c r="F170" s="19" t="n">
        <v>19</v>
      </c>
      <c r="G170" s="20" t="n">
        <f aca="false">IF(E170&gt;0,D170/E170,"")</f>
        <v>-1.47382108769664</v>
      </c>
      <c r="H170" s="20" t="n">
        <f aca="false">IF(G170="","",TDIST(ABS(G170),F170-1,2))</f>
        <v>0.157803795582659</v>
      </c>
    </row>
    <row r="171" customFormat="false" ht="15" hidden="false" customHeight="false" outlineLevel="0" collapsed="false">
      <c r="A171" s="7" t="s">
        <v>61</v>
      </c>
      <c r="B171" s="7" t="s">
        <v>4</v>
      </c>
      <c r="C171" s="7" t="s">
        <v>20</v>
      </c>
      <c r="D171" s="18" t="n">
        <v>-0.028210023644918</v>
      </c>
      <c r="E171" s="18" t="n">
        <v>0.115464182042801</v>
      </c>
      <c r="F171" s="19" t="n">
        <v>19</v>
      </c>
      <c r="G171" s="20" t="n">
        <f aca="false">IF(E171&gt;0,D171/E171,"")</f>
        <v>-0.244318395071305</v>
      </c>
      <c r="H171" s="20" t="n">
        <f aca="false">IF(G171="","",TDIST(ABS(G171),F171-1,2))</f>
        <v>0.809747488220169</v>
      </c>
    </row>
    <row r="172" customFormat="false" ht="15" hidden="false" customHeight="false" outlineLevel="0" collapsed="false">
      <c r="A172" s="7" t="s">
        <v>61</v>
      </c>
      <c r="B172" s="7" t="s">
        <v>5</v>
      </c>
      <c r="C172" s="7" t="s">
        <v>20</v>
      </c>
      <c r="D172" s="18" t="n">
        <v>-0.0484802511853085</v>
      </c>
      <c r="E172" s="18" t="n">
        <v>0.186179340670248</v>
      </c>
      <c r="F172" s="19" t="n">
        <v>19</v>
      </c>
      <c r="G172" s="20" t="n">
        <f aca="false">IF(E172&gt;0,D172/E172,"")</f>
        <v>-0.260395439208125</v>
      </c>
      <c r="H172" s="20" t="n">
        <f aca="false">IF(G172="","",TDIST(ABS(G172),F172-1,2))</f>
        <v>0.797514244721581</v>
      </c>
    </row>
    <row r="173" customFormat="false" ht="15" hidden="false" customHeight="false" outlineLevel="0" collapsed="false">
      <c r="A173" s="7" t="s">
        <v>61</v>
      </c>
      <c r="B173" s="7" t="s">
        <v>6</v>
      </c>
      <c r="C173" s="7" t="s">
        <v>20</v>
      </c>
      <c r="D173" s="18" t="n">
        <v>-0.014536488962695</v>
      </c>
      <c r="E173" s="18" t="n">
        <v>0.175665968592833</v>
      </c>
      <c r="F173" s="19" t="n">
        <v>19</v>
      </c>
      <c r="G173" s="20" t="n">
        <f aca="false">IF(E173&gt;0,D173/E173,"")</f>
        <v>-0.082750740391774</v>
      </c>
      <c r="H173" s="20" t="n">
        <f aca="false">IF(G173="","",TDIST(ABS(G173),F173-1,2))</f>
        <v>0.934963030444339</v>
      </c>
    </row>
    <row r="174" customFormat="false" ht="15" hidden="false" customHeight="false" outlineLevel="0" collapsed="false">
      <c r="A174" s="7" t="s">
        <v>61</v>
      </c>
      <c r="B174" s="7" t="s">
        <v>7</v>
      </c>
      <c r="C174" s="7" t="s">
        <v>20</v>
      </c>
      <c r="D174" s="18" t="n">
        <v>0.00243974161126127</v>
      </c>
      <c r="E174" s="18" t="n">
        <v>0.112086754544109</v>
      </c>
      <c r="F174" s="19" t="n">
        <v>19</v>
      </c>
      <c r="G174" s="20" t="n">
        <f aca="false">IF(E174&gt;0,D174/E174,"")</f>
        <v>0.0217665470035638</v>
      </c>
      <c r="H174" s="20" t="n">
        <f aca="false">IF(G174="","",TDIST(ABS(G174),F174-1,2))</f>
        <v>0.982873657425256</v>
      </c>
    </row>
    <row r="175" customFormat="false" ht="15" hidden="false" customHeight="false" outlineLevel="0" collapsed="false">
      <c r="A175" s="7" t="s">
        <v>61</v>
      </c>
      <c r="B175" s="7" t="s">
        <v>8</v>
      </c>
      <c r="C175" s="7" t="s">
        <v>20</v>
      </c>
      <c r="D175" s="18" t="n">
        <v>0.00236788428383482</v>
      </c>
      <c r="E175" s="18" t="n">
        <v>0.110701841155425</v>
      </c>
      <c r="F175" s="19" t="n">
        <v>19</v>
      </c>
      <c r="G175" s="20" t="n">
        <f aca="false">IF(E175&gt;0,D175/E175,"")</f>
        <v>0.0213897461787498</v>
      </c>
      <c r="H175" s="20" t="n">
        <f aca="false">IF(G175="","",TDIST(ABS(G175),F175-1,2))</f>
        <v>0.983170083500675</v>
      </c>
    </row>
    <row r="176" customFormat="false" ht="15" hidden="false" customHeight="false" outlineLevel="0" collapsed="false">
      <c r="A176" s="7" t="s">
        <v>61</v>
      </c>
      <c r="B176" s="7" t="s">
        <v>3</v>
      </c>
      <c r="C176" s="7" t="s">
        <v>21</v>
      </c>
      <c r="D176" s="18" t="n">
        <v>-0.129674832181399</v>
      </c>
      <c r="E176" s="18" t="n">
        <v>0.146231050016442</v>
      </c>
      <c r="F176" s="19" t="n">
        <v>19</v>
      </c>
      <c r="G176" s="20" t="n">
        <f aca="false">IF(E176&gt;0,D176/E176,"")</f>
        <v>-0.886780421578171</v>
      </c>
      <c r="H176" s="20" t="n">
        <f aca="false">IF(G176="","",TDIST(ABS(G176),F176-1,2))</f>
        <v>0.386892201808881</v>
      </c>
    </row>
    <row r="177" customFormat="false" ht="15" hidden="false" customHeight="false" outlineLevel="0" collapsed="false">
      <c r="A177" s="7" t="s">
        <v>61</v>
      </c>
      <c r="B177" s="7" t="s">
        <v>4</v>
      </c>
      <c r="C177" s="7" t="s">
        <v>21</v>
      </c>
      <c r="D177" s="18" t="n">
        <v>0.0142461719201512</v>
      </c>
      <c r="E177" s="18" t="n">
        <v>0.131592701948485</v>
      </c>
      <c r="F177" s="19" t="n">
        <v>19</v>
      </c>
      <c r="G177" s="20" t="n">
        <f aca="false">IF(E177&gt;0,D177/E177,"")</f>
        <v>0.108259589697673</v>
      </c>
      <c r="H177" s="20" t="n">
        <f aca="false">IF(G177="","",TDIST(ABS(G177),F177-1,2))</f>
        <v>0.914987436332893</v>
      </c>
    </row>
    <row r="178" customFormat="false" ht="15" hidden="false" customHeight="false" outlineLevel="0" collapsed="false">
      <c r="A178" s="7" t="s">
        <v>61</v>
      </c>
      <c r="B178" s="7" t="s">
        <v>5</v>
      </c>
      <c r="C178" s="7" t="s">
        <v>21</v>
      </c>
      <c r="D178" s="18" t="n">
        <v>0.0211817573994166</v>
      </c>
      <c r="E178" s="18" t="n">
        <v>0.199268480131488</v>
      </c>
      <c r="F178" s="19" t="n">
        <v>19</v>
      </c>
      <c r="G178" s="20" t="n">
        <f aca="false">IF(E178&gt;0,D178/E178,"")</f>
        <v>0.106297580959315</v>
      </c>
      <c r="H178" s="20" t="n">
        <f aca="false">IF(G178="","",TDIST(ABS(G178),F178-1,2))</f>
        <v>0.916521965238879</v>
      </c>
    </row>
    <row r="179" customFormat="false" ht="15" hidden="false" customHeight="false" outlineLevel="0" collapsed="false">
      <c r="A179" s="7" t="s">
        <v>61</v>
      </c>
      <c r="B179" s="7" t="s">
        <v>6</v>
      </c>
      <c r="C179" s="7" t="s">
        <v>21</v>
      </c>
      <c r="D179" s="18" t="n">
        <v>0.0478104917903322</v>
      </c>
      <c r="E179" s="18" t="n">
        <v>0.187431202792415</v>
      </c>
      <c r="F179" s="19" t="n">
        <v>19</v>
      </c>
      <c r="G179" s="20" t="n">
        <f aca="false">IF(E179&gt;0,D179/E179,"")</f>
        <v>0.255082884162482</v>
      </c>
      <c r="H179" s="20" t="n">
        <f aca="false">IF(G179="","",TDIST(ABS(G179),F179-1,2))</f>
        <v>0.801550846388705</v>
      </c>
    </row>
    <row r="180" customFormat="false" ht="15" hidden="false" customHeight="false" outlineLevel="0" collapsed="false">
      <c r="A180" s="7" t="s">
        <v>61</v>
      </c>
      <c r="B180" s="7" t="s">
        <v>7</v>
      </c>
      <c r="C180" s="7" t="s">
        <v>21</v>
      </c>
      <c r="D180" s="18" t="n">
        <v>0.0475566561834804</v>
      </c>
      <c r="E180" s="18" t="n">
        <v>0.126222674003979</v>
      </c>
      <c r="F180" s="19" t="n">
        <v>19</v>
      </c>
      <c r="G180" s="20" t="n">
        <f aca="false">IF(E180&gt;0,D180/E180,"")</f>
        <v>0.376767934594552</v>
      </c>
      <c r="H180" s="20" t="n">
        <f aca="false">IF(G180="","",TDIST(ABS(G180),F180-1,2))</f>
        <v>0.710750860337572</v>
      </c>
    </row>
    <row r="181" customFormat="false" ht="15" hidden="false" customHeight="false" outlineLevel="0" collapsed="false">
      <c r="A181" s="7" t="s">
        <v>61</v>
      </c>
      <c r="B181" s="7" t="s">
        <v>8</v>
      </c>
      <c r="C181" s="7" t="s">
        <v>21</v>
      </c>
      <c r="D181" s="18" t="n">
        <v>0.0479260711486674</v>
      </c>
      <c r="E181" s="18" t="n">
        <v>0.125018956926105</v>
      </c>
      <c r="F181" s="19" t="n">
        <v>19</v>
      </c>
      <c r="G181" s="20" t="n">
        <f aca="false">IF(E181&gt;0,D181/E181,"")</f>
        <v>0.383350432022842</v>
      </c>
      <c r="H181" s="20" t="n">
        <f aca="false">IF(G181="","",TDIST(ABS(G181),F181-1,2))</f>
        <v>0.705949933804408</v>
      </c>
    </row>
    <row r="182" customFormat="false" ht="15" hidden="false" customHeight="false" outlineLevel="0" collapsed="false">
      <c r="A182" s="7" t="s">
        <v>61</v>
      </c>
      <c r="B182" s="7" t="s">
        <v>3</v>
      </c>
      <c r="C182" s="7" t="s">
        <v>22</v>
      </c>
      <c r="D182" s="18" t="n">
        <v>-0.129065127718609</v>
      </c>
      <c r="E182" s="18" t="n">
        <v>0.0635454663817521</v>
      </c>
      <c r="F182" s="19" t="n">
        <v>19</v>
      </c>
      <c r="G182" s="20" t="n">
        <f aca="false">IF(E182&gt;0,D182/E182,"")</f>
        <v>-2.03106743985865</v>
      </c>
      <c r="H182" s="20" t="n">
        <f aca="false">IF(G182="","",TDIST(ABS(G182),F182-1,2))</f>
        <v>0.057284328053492</v>
      </c>
    </row>
    <row r="183" customFormat="false" ht="15" hidden="false" customHeight="false" outlineLevel="0" collapsed="false">
      <c r="A183" s="7" t="s">
        <v>61</v>
      </c>
      <c r="B183" s="7" t="s">
        <v>4</v>
      </c>
      <c r="C183" s="7" t="s">
        <v>22</v>
      </c>
      <c r="D183" s="18" t="n">
        <v>-0.134967734268837</v>
      </c>
      <c r="E183" s="18" t="n">
        <v>0.0723443630543426</v>
      </c>
      <c r="F183" s="19" t="n">
        <v>19</v>
      </c>
      <c r="G183" s="20" t="n">
        <f aca="false">IF(E183&gt;0,D183/E183,"")</f>
        <v>-1.86562889727088</v>
      </c>
      <c r="H183" s="20" t="n">
        <f aca="false">IF(G183="","",TDIST(ABS(G183),F183-1,2))</f>
        <v>0.0784772582202644</v>
      </c>
    </row>
    <row r="184" customFormat="false" ht="15" hidden="false" customHeight="false" outlineLevel="0" collapsed="false">
      <c r="A184" s="7" t="s">
        <v>61</v>
      </c>
      <c r="B184" s="7" t="s">
        <v>7</v>
      </c>
      <c r="C184" s="7" t="s">
        <v>22</v>
      </c>
      <c r="D184" s="18" t="n">
        <v>-0.122001280175342</v>
      </c>
      <c r="E184" s="18" t="n">
        <v>0.0708063193762598</v>
      </c>
      <c r="F184" s="19" t="n">
        <v>19</v>
      </c>
      <c r="G184" s="20" t="n">
        <f aca="false">IF(E184&gt;0,D184/E184,"")</f>
        <v>-1.72302813152928</v>
      </c>
      <c r="H184" s="20" t="n">
        <f aca="false">IF(G184="","",TDIST(ABS(G184),F184-1,2))</f>
        <v>0.102018810030355</v>
      </c>
    </row>
    <row r="185" customFormat="false" ht="15" hidden="false" customHeight="false" outlineLevel="0" collapsed="false">
      <c r="A185" s="7" t="s">
        <v>61</v>
      </c>
      <c r="B185" s="7" t="s">
        <v>8</v>
      </c>
      <c r="C185" s="7" t="s">
        <v>22</v>
      </c>
      <c r="D185" s="18" t="n">
        <v>-0.136192009460428</v>
      </c>
      <c r="E185" s="18" t="n">
        <v>0.0709676629272869</v>
      </c>
      <c r="F185" s="19" t="n">
        <v>19</v>
      </c>
      <c r="G185" s="20" t="n">
        <f aca="false">IF(E185&gt;0,D185/E185,"")</f>
        <v>-1.91907136071213</v>
      </c>
      <c r="H185" s="20" t="n">
        <f aca="false">IF(G185="","",TDIST(ABS(G185),F185-1,2))</f>
        <v>0.070972757215201</v>
      </c>
    </row>
    <row r="186" customFormat="false" ht="15" hidden="false" customHeight="false" outlineLevel="0" collapsed="false">
      <c r="A186" s="7" t="s">
        <v>61</v>
      </c>
      <c r="B186" s="7" t="s">
        <v>4</v>
      </c>
      <c r="C186" s="7" t="s">
        <v>23</v>
      </c>
      <c r="D186" s="18" t="n">
        <v>-1.21975334066391</v>
      </c>
      <c r="E186" s="18" t="n">
        <v>0.375007728543239</v>
      </c>
      <c r="F186" s="19" t="n">
        <v>19</v>
      </c>
      <c r="G186" s="20" t="n">
        <f aca="false">IF(E186&gt;0,D186/E186,"")</f>
        <v>-3.25260854063512</v>
      </c>
      <c r="H186" s="20" t="n">
        <f aca="false">IF(G186="","",TDIST(ABS(G186),F186-1,2))</f>
        <v>0.00441993553168758</v>
      </c>
    </row>
    <row r="187" customFormat="false" ht="15" hidden="false" customHeight="false" outlineLevel="0" collapsed="false">
      <c r="A187" s="7" t="s">
        <v>61</v>
      </c>
      <c r="B187" s="7" t="s">
        <v>5</v>
      </c>
      <c r="C187" s="7" t="s">
        <v>23</v>
      </c>
      <c r="D187" s="18" t="n">
        <v>-0.220665974133054</v>
      </c>
      <c r="E187" s="18" t="n">
        <v>0.704513942380175</v>
      </c>
      <c r="F187" s="19" t="n">
        <v>19</v>
      </c>
      <c r="G187" s="20" t="n">
        <f aca="false">IF(E187&gt;0,D187/E187,"")</f>
        <v>-0.31321732737828</v>
      </c>
      <c r="H187" s="20" t="n">
        <f aca="false">IF(G187="","",TDIST(ABS(G187),F187-1,2))</f>
        <v>0.757715831070699</v>
      </c>
    </row>
    <row r="188" customFormat="false" ht="15" hidden="false" customHeight="false" outlineLevel="0" collapsed="false">
      <c r="A188" s="7" t="s">
        <v>61</v>
      </c>
      <c r="B188" s="7" t="s">
        <v>6</v>
      </c>
      <c r="C188" s="7" t="s">
        <v>23</v>
      </c>
      <c r="D188" s="18" t="n">
        <v>0.117476213820024</v>
      </c>
      <c r="E188" s="18" t="n">
        <v>0.718451958975239</v>
      </c>
      <c r="F188" s="19" t="n">
        <v>19</v>
      </c>
      <c r="G188" s="20" t="n">
        <f aca="false">IF(E188&gt;0,D188/E188,"")</f>
        <v>0.16351297028626</v>
      </c>
      <c r="H188" s="20" t="n">
        <f aca="false">IF(G188="","",TDIST(ABS(G188),F188-1,2))</f>
        <v>0.871936469104115</v>
      </c>
    </row>
    <row r="189" customFormat="false" ht="15" hidden="false" customHeight="false" outlineLevel="0" collapsed="false">
      <c r="A189" s="7" t="s">
        <v>61</v>
      </c>
      <c r="B189" s="7" t="s">
        <v>7</v>
      </c>
      <c r="C189" s="7" t="s">
        <v>23</v>
      </c>
      <c r="D189" s="18" t="n">
        <v>-1.12316686323179</v>
      </c>
      <c r="E189" s="18" t="n">
        <v>0.402571450824791</v>
      </c>
      <c r="F189" s="19" t="n">
        <v>19</v>
      </c>
      <c r="G189" s="20" t="n">
        <f aca="false">IF(E189&gt;0,D189/E189,"")</f>
        <v>-2.78998140809696</v>
      </c>
      <c r="H189" s="20" t="n">
        <f aca="false">IF(G189="","",TDIST(ABS(G189),F189-1,2))</f>
        <v>0.0120934750076577</v>
      </c>
    </row>
    <row r="190" customFormat="false" ht="15" hidden="false" customHeight="false" outlineLevel="0" collapsed="false">
      <c r="A190" s="7" t="s">
        <v>61</v>
      </c>
      <c r="B190" s="7" t="s">
        <v>8</v>
      </c>
      <c r="C190" s="7" t="s">
        <v>23</v>
      </c>
      <c r="D190" s="18" t="n">
        <v>-1.16445693082084</v>
      </c>
      <c r="E190" s="18" t="n">
        <v>0.40287983284081</v>
      </c>
      <c r="F190" s="19" t="n">
        <v>19</v>
      </c>
      <c r="G190" s="20" t="n">
        <f aca="false">IF(E190&gt;0,D190/E190,"")</f>
        <v>-2.89033313633485</v>
      </c>
      <c r="H190" s="20" t="n">
        <f aca="false">IF(G190="","",TDIST(ABS(G190),F190-1,2))</f>
        <v>0.00974670725234747</v>
      </c>
    </row>
    <row r="191" customFormat="false" ht="15" hidden="false" customHeight="false" outlineLevel="0" collapsed="false">
      <c r="A191" s="7" t="s">
        <v>61</v>
      </c>
      <c r="B191" s="7" t="s">
        <v>4</v>
      </c>
      <c r="C191" s="7" t="s">
        <v>24</v>
      </c>
      <c r="D191" s="18" t="n">
        <v>-0.00102236755958857</v>
      </c>
      <c r="E191" s="18" t="n">
        <v>0.0976809398501891</v>
      </c>
      <c r="F191" s="19" t="n">
        <v>19</v>
      </c>
      <c r="G191" s="20" t="n">
        <f aca="false">IF(E191&gt;0,D191/E191,"")</f>
        <v>-0.0104663976529767</v>
      </c>
      <c r="H191" s="20" t="n">
        <f aca="false">IF(G191="","",TDIST(ABS(G191),F191-1,2))</f>
        <v>0.991764307050135</v>
      </c>
    </row>
    <row r="192" customFormat="false" ht="15" hidden="false" customHeight="false" outlineLevel="0" collapsed="false">
      <c r="A192" s="7" t="s">
        <v>61</v>
      </c>
      <c r="B192" s="7" t="s">
        <v>5</v>
      </c>
      <c r="C192" s="7" t="s">
        <v>24</v>
      </c>
      <c r="D192" s="18" t="n">
        <v>-0.0443917179829551</v>
      </c>
      <c r="E192" s="18" t="n">
        <v>0.111470451408767</v>
      </c>
      <c r="F192" s="19" t="n">
        <v>19</v>
      </c>
      <c r="G192" s="20" t="n">
        <f aca="false">IF(E192&gt;0,D192/E192,"")</f>
        <v>-0.398237536691842</v>
      </c>
      <c r="H192" s="20" t="n">
        <f aca="false">IF(G192="","",TDIST(ABS(G192),F192-1,2))</f>
        <v>0.695139063695263</v>
      </c>
    </row>
    <row r="193" customFormat="false" ht="15" hidden="false" customHeight="false" outlineLevel="0" collapsed="false">
      <c r="A193" s="7" t="s">
        <v>61</v>
      </c>
      <c r="B193" s="7" t="s">
        <v>6</v>
      </c>
      <c r="C193" s="7" t="s">
        <v>24</v>
      </c>
      <c r="D193" s="18" t="n">
        <v>-0.148925516276161</v>
      </c>
      <c r="E193" s="18" t="n">
        <v>0.118065402828504</v>
      </c>
      <c r="F193" s="19" t="n">
        <v>19</v>
      </c>
      <c r="G193" s="20" t="n">
        <f aca="false">IF(E193&gt;0,D193/E193,"")</f>
        <v>-1.26138151150412</v>
      </c>
      <c r="H193" s="20" t="n">
        <f aca="false">IF(G193="","",TDIST(ABS(G193),F193-1,2))</f>
        <v>0.223274391649768</v>
      </c>
    </row>
    <row r="194" customFormat="false" ht="15" hidden="false" customHeight="false" outlineLevel="0" collapsed="false">
      <c r="A194" s="7" t="s">
        <v>61</v>
      </c>
      <c r="B194" s="7" t="s">
        <v>7</v>
      </c>
      <c r="C194" s="7" t="s">
        <v>24</v>
      </c>
      <c r="D194" s="18" t="n">
        <v>0.0150000924722506</v>
      </c>
      <c r="E194" s="18" t="n">
        <v>0.0964900132394058</v>
      </c>
      <c r="F194" s="19" t="n">
        <v>19</v>
      </c>
      <c r="G194" s="20" t="n">
        <f aca="false">IF(E194&gt;0,D194/E194,"")</f>
        <v>0.155457461022761</v>
      </c>
      <c r="H194" s="20" t="n">
        <f aca="false">IF(G194="","",TDIST(ABS(G194),F194-1,2))</f>
        <v>0.878190745889677</v>
      </c>
    </row>
    <row r="195" customFormat="false" ht="15" hidden="false" customHeight="false" outlineLevel="0" collapsed="false">
      <c r="A195" s="7" t="s">
        <v>61</v>
      </c>
      <c r="B195" s="7" t="s">
        <v>8</v>
      </c>
      <c r="C195" s="7" t="s">
        <v>24</v>
      </c>
      <c r="D195" s="18" t="n">
        <v>0.014812658764906</v>
      </c>
      <c r="E195" s="18" t="n">
        <v>0.0969583213873663</v>
      </c>
      <c r="F195" s="19" t="n">
        <v>19</v>
      </c>
      <c r="G195" s="20" t="n">
        <f aca="false">IF(E195&gt;0,D195/E195,"")</f>
        <v>0.152773465474167</v>
      </c>
      <c r="H195" s="20" t="n">
        <f aca="false">IF(G195="","",TDIST(ABS(G195),F195-1,2))</f>
        <v>0.880276448619083</v>
      </c>
    </row>
    <row r="196" customFormat="false" ht="15" hidden="false" customHeight="false" outlineLevel="0" collapsed="false">
      <c r="A196" s="7" t="s">
        <v>61</v>
      </c>
      <c r="B196" s="7" t="s">
        <v>4</v>
      </c>
      <c r="C196" s="7" t="s">
        <v>25</v>
      </c>
      <c r="D196" s="18" t="n">
        <v>0.116488323643995</v>
      </c>
      <c r="E196" s="18" t="n">
        <v>0.107132100636906</v>
      </c>
      <c r="F196" s="19" t="n">
        <v>19</v>
      </c>
      <c r="G196" s="20" t="n">
        <f aca="false">IF(E196&gt;0,D196/E196,"")</f>
        <v>1.087333515832</v>
      </c>
      <c r="H196" s="20" t="n">
        <f aca="false">IF(G196="","",TDIST(ABS(G196),F196-1,2))</f>
        <v>0.291235642521123</v>
      </c>
    </row>
    <row r="197" customFormat="false" ht="15" hidden="false" customHeight="false" outlineLevel="0" collapsed="false">
      <c r="A197" s="7" t="s">
        <v>61</v>
      </c>
      <c r="B197" s="7" t="s">
        <v>5</v>
      </c>
      <c r="C197" s="7" t="s">
        <v>25</v>
      </c>
      <c r="D197" s="18" t="n">
        <v>0.127008201003315</v>
      </c>
      <c r="E197" s="18" t="n">
        <v>0.206050257090942</v>
      </c>
      <c r="F197" s="19" t="n">
        <v>19</v>
      </c>
      <c r="G197" s="20" t="n">
        <f aca="false">IF(E197&gt;0,D197/E197,"")</f>
        <v>0.616394285532286</v>
      </c>
      <c r="H197" s="20" t="n">
        <f aca="false">IF(G197="","",TDIST(ABS(G197),F197-1,2))</f>
        <v>0.545351714428228</v>
      </c>
    </row>
    <row r="198" customFormat="false" ht="15" hidden="false" customHeight="false" outlineLevel="0" collapsed="false">
      <c r="A198" s="7" t="s">
        <v>61</v>
      </c>
      <c r="B198" s="7" t="s">
        <v>6</v>
      </c>
      <c r="C198" s="7" t="s">
        <v>25</v>
      </c>
      <c r="D198" s="18" t="n">
        <v>0.102393642473381</v>
      </c>
      <c r="E198" s="18" t="n">
        <v>0.220319477664049</v>
      </c>
      <c r="F198" s="19" t="n">
        <v>19</v>
      </c>
      <c r="G198" s="20" t="n">
        <f aca="false">IF(E198&gt;0,D198/E198,"")</f>
        <v>0.464750749951913</v>
      </c>
      <c r="H198" s="20" t="n">
        <f aca="false">IF(G198="","",TDIST(ABS(G198),F198-1,2))</f>
        <v>0.647682463903777</v>
      </c>
    </row>
    <row r="199" customFormat="false" ht="15" hidden="false" customHeight="false" outlineLevel="0" collapsed="false">
      <c r="A199" s="7" t="s">
        <v>61</v>
      </c>
      <c r="B199" s="7" t="s">
        <v>7</v>
      </c>
      <c r="C199" s="7" t="s">
        <v>25</v>
      </c>
      <c r="D199" s="18" t="n">
        <v>0.0194208095821036</v>
      </c>
      <c r="E199" s="18" t="n">
        <v>0.119943154757702</v>
      </c>
      <c r="F199" s="19" t="n">
        <v>19</v>
      </c>
      <c r="G199" s="20" t="n">
        <f aca="false">IF(E199&gt;0,D199/E199,"")</f>
        <v>0.161916781506504</v>
      </c>
      <c r="H199" s="20" t="n">
        <f aca="false">IF(G199="","",TDIST(ABS(G199),F199-1,2))</f>
        <v>0.873175069831288</v>
      </c>
    </row>
    <row r="200" customFormat="false" ht="15" hidden="false" customHeight="false" outlineLevel="0" collapsed="false">
      <c r="A200" s="7" t="s">
        <v>61</v>
      </c>
      <c r="B200" s="7" t="s">
        <v>8</v>
      </c>
      <c r="C200" s="7" t="s">
        <v>25</v>
      </c>
      <c r="D200" s="18" t="n">
        <v>0.0504617500608555</v>
      </c>
      <c r="E200" s="18" t="n">
        <v>0.119943232368412</v>
      </c>
      <c r="F200" s="19" t="n">
        <v>19</v>
      </c>
      <c r="G200" s="20" t="n">
        <f aca="false">IF(E200&gt;0,D200/E200,"")</f>
        <v>0.420713608133051</v>
      </c>
      <c r="H200" s="20" t="n">
        <f aca="false">IF(G200="","",TDIST(ABS(G200),F200-1,2))</f>
        <v>0.67894447158577</v>
      </c>
    </row>
    <row r="201" customFormat="false" ht="15" hidden="false" customHeight="false" outlineLevel="0" collapsed="false">
      <c r="A201" s="7" t="s">
        <v>61</v>
      </c>
      <c r="B201" s="7" t="s">
        <v>4</v>
      </c>
      <c r="C201" s="7" t="s">
        <v>26</v>
      </c>
      <c r="D201" s="18" t="n">
        <v>-0.162392224177421</v>
      </c>
      <c r="E201" s="18" t="n">
        <v>0.141042537133677</v>
      </c>
      <c r="F201" s="19" t="n">
        <v>19</v>
      </c>
      <c r="G201" s="20" t="n">
        <f aca="false">IF(E201&gt;0,D201/E201,"")</f>
        <v>-1.15137055442721</v>
      </c>
      <c r="H201" s="20" t="n">
        <f aca="false">IF(G201="","",TDIST(ABS(G201),F201-1,2))</f>
        <v>0.264644672023795</v>
      </c>
    </row>
    <row r="202" customFormat="false" ht="15" hidden="false" customHeight="false" outlineLevel="0" collapsed="false">
      <c r="A202" s="7" t="s">
        <v>61</v>
      </c>
      <c r="B202" s="7" t="s">
        <v>5</v>
      </c>
      <c r="C202" s="7" t="s">
        <v>26</v>
      </c>
      <c r="D202" s="18" t="n">
        <v>0.120183125950122</v>
      </c>
      <c r="E202" s="18" t="n">
        <v>0.188766561626585</v>
      </c>
      <c r="F202" s="19" t="n">
        <v>19</v>
      </c>
      <c r="G202" s="20" t="n">
        <f aca="false">IF(E202&gt;0,D202/E202,"")</f>
        <v>0.636675928800705</v>
      </c>
      <c r="H202" s="20" t="n">
        <f aca="false">IF(G202="","",TDIST(ABS(G202),F202-1,2))</f>
        <v>0.532349978447169</v>
      </c>
    </row>
    <row r="203" customFormat="false" ht="15" hidden="false" customHeight="false" outlineLevel="0" collapsed="false">
      <c r="A203" s="7" t="s">
        <v>61</v>
      </c>
      <c r="B203" s="7" t="s">
        <v>6</v>
      </c>
      <c r="C203" s="7" t="s">
        <v>26</v>
      </c>
      <c r="D203" s="18" t="n">
        <v>-0.00755821714389377</v>
      </c>
      <c r="E203" s="18" t="n">
        <v>0.1997354646308</v>
      </c>
      <c r="F203" s="19" t="n">
        <v>19</v>
      </c>
      <c r="G203" s="20" t="n">
        <f aca="false">IF(E203&gt;0,D203/E203,"")</f>
        <v>-0.0378411373156225</v>
      </c>
      <c r="H203" s="20" t="n">
        <f aca="false">IF(G203="","",TDIST(ABS(G203),F203-1,2))</f>
        <v>0.970230874768984</v>
      </c>
    </row>
    <row r="204" customFormat="false" ht="15" hidden="false" customHeight="false" outlineLevel="0" collapsed="false">
      <c r="A204" s="7" t="s">
        <v>61</v>
      </c>
      <c r="B204" s="7" t="s">
        <v>7</v>
      </c>
      <c r="C204" s="7" t="s">
        <v>26</v>
      </c>
      <c r="D204" s="18" t="n">
        <v>-0.121713109515</v>
      </c>
      <c r="E204" s="18" t="n">
        <v>0.137163468660446</v>
      </c>
      <c r="F204" s="19" t="n">
        <v>19</v>
      </c>
      <c r="G204" s="20" t="n">
        <f aca="false">IF(E204&gt;0,D204/E204,"")</f>
        <v>-0.887358060449065</v>
      </c>
      <c r="H204" s="20" t="n">
        <f aca="false">IF(G204="","",TDIST(ABS(G204),F204-1,2))</f>
        <v>0.386589486342478</v>
      </c>
    </row>
    <row r="205" customFormat="false" ht="15" hidden="false" customHeight="false" outlineLevel="0" collapsed="false">
      <c r="A205" s="7" t="s">
        <v>61</v>
      </c>
      <c r="B205" s="7" t="s">
        <v>8</v>
      </c>
      <c r="C205" s="7" t="s">
        <v>26</v>
      </c>
      <c r="D205" s="18" t="n">
        <v>-0.131192432327904</v>
      </c>
      <c r="E205" s="18" t="n">
        <v>0.138479445609214</v>
      </c>
      <c r="F205" s="19" t="n">
        <v>19</v>
      </c>
      <c r="G205" s="20" t="n">
        <f aca="false">IF(E205&gt;0,D205/E205,"")</f>
        <v>-0.947378376269119</v>
      </c>
      <c r="H205" s="20" t="n">
        <f aca="false">IF(G205="","",TDIST(ABS(G205),F205-1,2))</f>
        <v>0.355992182872378</v>
      </c>
    </row>
    <row r="206" customFormat="false" ht="15" hidden="false" customHeight="false" outlineLevel="0" collapsed="false">
      <c r="A206" s="7" t="s">
        <v>61</v>
      </c>
      <c r="B206" s="7" t="s">
        <v>4</v>
      </c>
      <c r="C206" s="7" t="s">
        <v>27</v>
      </c>
      <c r="D206" s="18" t="n">
        <v>0.307973771919527</v>
      </c>
      <c r="E206" s="18" t="n">
        <v>0.166199551845408</v>
      </c>
      <c r="F206" s="19" t="n">
        <v>19</v>
      </c>
      <c r="G206" s="20" t="n">
        <f aca="false">IF(E206&gt;0,D206/E206,"")</f>
        <v>1.85303611531992</v>
      </c>
      <c r="H206" s="20" t="n">
        <f aca="false">IF(G206="","",TDIST(ABS(G206),F206-1,2))</f>
        <v>0.0803444965077869</v>
      </c>
    </row>
    <row r="207" customFormat="false" ht="15" hidden="false" customHeight="false" outlineLevel="0" collapsed="false">
      <c r="A207" s="7" t="s">
        <v>61</v>
      </c>
      <c r="B207" s="7" t="s">
        <v>5</v>
      </c>
      <c r="C207" s="7" t="s">
        <v>27</v>
      </c>
      <c r="D207" s="18" t="n">
        <v>-0.0751935096787499</v>
      </c>
      <c r="E207" s="18" t="n">
        <v>0.939236875763757</v>
      </c>
      <c r="F207" s="19" t="n">
        <v>19</v>
      </c>
      <c r="G207" s="20" t="n">
        <f aca="false">IF(E207&gt;0,D207/E207,"")</f>
        <v>-0.0800580893053256</v>
      </c>
      <c r="H207" s="20" t="n">
        <f aca="false">IF(G207="","",TDIST(ABS(G207),F207-1,2))</f>
        <v>0.93707444057485</v>
      </c>
    </row>
    <row r="208" customFormat="false" ht="15" hidden="false" customHeight="false" outlineLevel="0" collapsed="false">
      <c r="A208" s="7" t="s">
        <v>61</v>
      </c>
      <c r="B208" s="7" t="s">
        <v>6</v>
      </c>
      <c r="C208" s="7" t="s">
        <v>27</v>
      </c>
      <c r="D208" s="18" t="n">
        <v>0.494378004296467</v>
      </c>
      <c r="E208" s="18" t="n">
        <v>0.755600291711588</v>
      </c>
      <c r="F208" s="19" t="n">
        <v>19</v>
      </c>
      <c r="G208" s="20" t="n">
        <f aca="false">IF(E208&gt;0,D208/E208,"")</f>
        <v>0.654285089245532</v>
      </c>
      <c r="H208" s="20" t="n">
        <f aca="false">IF(G208="","",TDIST(ABS(G208),F208-1,2))</f>
        <v>0.521200982253618</v>
      </c>
    </row>
    <row r="209" customFormat="false" ht="15" hidden="false" customHeight="false" outlineLevel="0" collapsed="false">
      <c r="A209" s="7" t="s">
        <v>61</v>
      </c>
      <c r="B209" s="7" t="s">
        <v>7</v>
      </c>
      <c r="C209" s="7" t="s">
        <v>27</v>
      </c>
      <c r="D209" s="18" t="n">
        <v>0.315072126029549</v>
      </c>
      <c r="E209" s="18" t="n">
        <v>0.163701934889111</v>
      </c>
      <c r="F209" s="19" t="n">
        <v>19</v>
      </c>
      <c r="G209" s="20" t="n">
        <f aca="false">IF(E209&gt;0,D209/E209,"")</f>
        <v>1.92466952967278</v>
      </c>
      <c r="H209" s="20" t="n">
        <f aca="false">IF(G209="","",TDIST(ABS(G209),F209-1,2))</f>
        <v>0.0702247607271097</v>
      </c>
    </row>
    <row r="210" customFormat="false" ht="15" hidden="false" customHeight="false" outlineLevel="0" collapsed="false">
      <c r="A210" s="7" t="s">
        <v>61</v>
      </c>
      <c r="B210" s="7" t="s">
        <v>8</v>
      </c>
      <c r="C210" s="7" t="s">
        <v>27</v>
      </c>
      <c r="D210" s="18" t="n">
        <v>0.310468590886053</v>
      </c>
      <c r="E210" s="18" t="n">
        <v>0.165662935197707</v>
      </c>
      <c r="F210" s="19" t="n">
        <v>19</v>
      </c>
      <c r="G210" s="20" t="n">
        <f aca="false">IF(E210&gt;0,D210/E210,"")</f>
        <v>1.87409809270572</v>
      </c>
      <c r="H210" s="20" t="n">
        <f aca="false">IF(G210="","",TDIST(ABS(G210),F210-1,2))</f>
        <v>0.0772430951507266</v>
      </c>
    </row>
    <row r="211" customFormat="false" ht="15" hidden="false" customHeight="false" outlineLevel="0" collapsed="false">
      <c r="A211" s="7" t="s">
        <v>61</v>
      </c>
      <c r="B211" s="7" t="s">
        <v>4</v>
      </c>
      <c r="C211" s="7" t="s">
        <v>28</v>
      </c>
      <c r="D211" s="18" t="n">
        <v>0.00846884221946621</v>
      </c>
      <c r="E211" s="18" t="n">
        <v>0.199754299083998</v>
      </c>
      <c r="F211" s="19" t="n">
        <v>19</v>
      </c>
      <c r="G211" s="20" t="n">
        <f aca="false">IF(E211&gt;0,D211/E211,"")</f>
        <v>0.0423962951400862</v>
      </c>
      <c r="H211" s="20" t="n">
        <f aca="false">IF(G211="","",TDIST(ABS(G211),F211-1,2))</f>
        <v>0.966649535892613</v>
      </c>
    </row>
    <row r="212" customFormat="false" ht="15" hidden="false" customHeight="false" outlineLevel="0" collapsed="false">
      <c r="A212" s="7" t="s">
        <v>61</v>
      </c>
      <c r="B212" s="7" t="s">
        <v>5</v>
      </c>
      <c r="C212" s="7" t="s">
        <v>28</v>
      </c>
      <c r="D212" s="18" t="n">
        <v>0.372725866608045</v>
      </c>
      <c r="E212" s="18" t="n">
        <v>1.65279170389357</v>
      </c>
      <c r="F212" s="19" t="n">
        <v>19</v>
      </c>
      <c r="G212" s="20" t="n">
        <f aca="false">IF(E212&gt;0,D212/E212,"")</f>
        <v>0.225512909902679</v>
      </c>
      <c r="H212" s="20" t="n">
        <f aca="false">IF(G212="","",TDIST(ABS(G212),F212-1,2))</f>
        <v>0.824120897260045</v>
      </c>
    </row>
    <row r="213" customFormat="false" ht="15" hidden="false" customHeight="false" outlineLevel="0" collapsed="false">
      <c r="A213" s="7" t="s">
        <v>61</v>
      </c>
      <c r="B213" s="7" t="s">
        <v>6</v>
      </c>
      <c r="C213" s="7" t="s">
        <v>28</v>
      </c>
      <c r="D213" s="18" t="n">
        <v>-0.312394930164684</v>
      </c>
      <c r="E213" s="18" t="n">
        <v>1.33597675403425</v>
      </c>
      <c r="F213" s="19" t="n">
        <v>19</v>
      </c>
      <c r="G213" s="20" t="n">
        <f aca="false">IF(E213&gt;0,D213/E213,"")</f>
        <v>-0.233832609153823</v>
      </c>
      <c r="H213" s="20" t="n">
        <f aca="false">IF(G213="","",TDIST(ABS(G213),F213-1,2))</f>
        <v>0.817753754686217</v>
      </c>
    </row>
    <row r="214" customFormat="false" ht="15" hidden="false" customHeight="false" outlineLevel="0" collapsed="false">
      <c r="A214" s="7" t="s">
        <v>61</v>
      </c>
      <c r="B214" s="7" t="s">
        <v>7</v>
      </c>
      <c r="C214" s="7" t="s">
        <v>28</v>
      </c>
      <c r="D214" s="18" t="n">
        <v>-0.0070111924802096</v>
      </c>
      <c r="E214" s="18" t="n">
        <v>0.211053125558614</v>
      </c>
      <c r="F214" s="19" t="n">
        <v>19</v>
      </c>
      <c r="G214" s="20" t="n">
        <f aca="false">IF(E214&gt;0,D214/E214,"")</f>
        <v>-0.033220036242782</v>
      </c>
      <c r="H214" s="20" t="n">
        <f aca="false">IF(G214="","",TDIST(ABS(G214),F214-1,2))</f>
        <v>0.973864724753061</v>
      </c>
    </row>
    <row r="215" customFormat="false" ht="15" hidden="false" customHeight="false" outlineLevel="0" collapsed="false">
      <c r="A215" s="7" t="s">
        <v>61</v>
      </c>
      <c r="B215" s="7" t="s">
        <v>8</v>
      </c>
      <c r="C215" s="7" t="s">
        <v>28</v>
      </c>
      <c r="D215" s="18" t="n">
        <v>0.00036824564624612</v>
      </c>
      <c r="E215" s="18" t="n">
        <v>0.208742196143058</v>
      </c>
      <c r="F215" s="19" t="n">
        <v>19</v>
      </c>
      <c r="G215" s="20" t="n">
        <f aca="false">IF(E215&gt;0,D215/E215,"")</f>
        <v>0.00176411694928106</v>
      </c>
      <c r="H215" s="20" t="n">
        <f aca="false">IF(G215="","",TDIST(ABS(G215),F215-1,2))</f>
        <v>0.998611843535251</v>
      </c>
    </row>
    <row r="216" customFormat="false" ht="15" hidden="false" customHeight="false" outlineLevel="0" collapsed="false">
      <c r="A216" s="7" t="s">
        <v>62</v>
      </c>
      <c r="B216" s="7" t="s">
        <v>3</v>
      </c>
      <c r="C216" s="7" t="s">
        <v>63</v>
      </c>
      <c r="D216" s="18" t="n">
        <v>-0.556970128853978</v>
      </c>
      <c r="E216" s="18" t="n">
        <v>0.151418221611061</v>
      </c>
      <c r="F216" s="19" t="n">
        <v>19</v>
      </c>
      <c r="G216" s="20" t="n">
        <f aca="false">IF(E216&gt;0,D216/E216,"")</f>
        <v>-3.67835603223921</v>
      </c>
      <c r="H216" s="20" t="n">
        <f aca="false">IF(G216="","",TDIST(ABS(G216),F216-1,2))</f>
        <v>0.00171957647915605</v>
      </c>
    </row>
    <row r="217" customFormat="false" ht="15" hidden="false" customHeight="false" outlineLevel="0" collapsed="false">
      <c r="A217" s="7" t="s">
        <v>62</v>
      </c>
      <c r="B217" s="7" t="s">
        <v>4</v>
      </c>
      <c r="C217" s="7" t="s">
        <v>63</v>
      </c>
      <c r="D217" s="18" t="n">
        <v>-0.582325183586496</v>
      </c>
      <c r="E217" s="18" t="n">
        <v>0.18629979837381</v>
      </c>
      <c r="F217" s="19" t="n">
        <v>19</v>
      </c>
      <c r="G217" s="20" t="n">
        <f aca="false">IF(E217&gt;0,D217/E217,"")</f>
        <v>-3.12574242521757</v>
      </c>
      <c r="H217" s="20" t="n">
        <f aca="false">IF(G217="","",TDIST(ABS(G217),F217-1,2))</f>
        <v>0.00584075673311107</v>
      </c>
    </row>
    <row r="218" customFormat="false" ht="15" hidden="false" customHeight="false" outlineLevel="0" collapsed="false">
      <c r="A218" s="7" t="s">
        <v>62</v>
      </c>
      <c r="B218" s="7" t="s">
        <v>5</v>
      </c>
      <c r="C218" s="7" t="s">
        <v>63</v>
      </c>
      <c r="D218" s="18" t="n">
        <v>-0.640763115495849</v>
      </c>
      <c r="E218" s="18" t="n">
        <v>0.290379989745637</v>
      </c>
      <c r="F218" s="19" t="n">
        <v>19</v>
      </c>
      <c r="G218" s="20" t="n">
        <f aca="false">IF(E218&gt;0,D218/E218,"")</f>
        <v>-2.20663660762966</v>
      </c>
      <c r="H218" s="20" t="n">
        <f aca="false">IF(G218="","",TDIST(ABS(G218),F218-1,2))</f>
        <v>0.0405682102179361</v>
      </c>
    </row>
    <row r="219" customFormat="false" ht="15" hidden="false" customHeight="false" outlineLevel="0" collapsed="false">
      <c r="A219" s="7" t="s">
        <v>62</v>
      </c>
      <c r="B219" s="7" t="s">
        <v>6</v>
      </c>
      <c r="C219" s="7" t="s">
        <v>63</v>
      </c>
      <c r="D219" s="18" t="n">
        <v>-0.697921913178826</v>
      </c>
      <c r="E219" s="18" t="n">
        <v>0.29373848060631</v>
      </c>
      <c r="F219" s="19" t="n">
        <v>19</v>
      </c>
      <c r="G219" s="20" t="n">
        <f aca="false">IF(E219&gt;0,D219/E219,"")</f>
        <v>-2.37599755993234</v>
      </c>
      <c r="H219" s="20" t="n">
        <f aca="false">IF(G219="","",TDIST(ABS(G219),F219-1,2))</f>
        <v>0.0288096004414067</v>
      </c>
    </row>
    <row r="220" customFormat="false" ht="15" hidden="false" customHeight="false" outlineLevel="0" collapsed="false">
      <c r="A220" s="7" t="s">
        <v>62</v>
      </c>
      <c r="B220" s="7" t="s">
        <v>7</v>
      </c>
      <c r="C220" s="7" t="s">
        <v>63</v>
      </c>
      <c r="D220" s="18" t="n">
        <v>-0.474523744857271</v>
      </c>
      <c r="E220" s="18" t="n">
        <v>0.226399807940325</v>
      </c>
      <c r="F220" s="19" t="n">
        <v>19</v>
      </c>
      <c r="G220" s="20" t="n">
        <f aca="false">IF(E220&gt;0,D220/E220,"")</f>
        <v>-2.09595471468927</v>
      </c>
      <c r="H220" s="20" t="n">
        <f aca="false">IF(G220="","",TDIST(ABS(G220),F220-1,2))</f>
        <v>0.0504888025854171</v>
      </c>
    </row>
    <row r="221" customFormat="false" ht="15" hidden="false" customHeight="false" outlineLevel="0" collapsed="false">
      <c r="A221" s="7" t="s">
        <v>62</v>
      </c>
      <c r="B221" s="7" t="s">
        <v>8</v>
      </c>
      <c r="C221" s="7" t="s">
        <v>63</v>
      </c>
      <c r="D221" s="18" t="n">
        <v>-0.508346162347472</v>
      </c>
      <c r="E221" s="18" t="n">
        <v>0.182691603391415</v>
      </c>
      <c r="F221" s="19" t="n">
        <v>19</v>
      </c>
      <c r="G221" s="20" t="n">
        <f aca="false">IF(E221&gt;0,D221/E221,"")</f>
        <v>-2.78253708933927</v>
      </c>
      <c r="H221" s="20" t="n">
        <f aca="false">IF(G221="","",TDIST(ABS(G221),F221-1,2))</f>
        <v>0.0122877085969546</v>
      </c>
    </row>
    <row r="222" customFormat="false" ht="15" hidden="false" customHeight="false" outlineLevel="0" collapsed="false">
      <c r="A222" s="7" t="s">
        <v>64</v>
      </c>
      <c r="B222" s="7" t="s">
        <v>3</v>
      </c>
      <c r="C222" s="7" t="s">
        <v>63</v>
      </c>
      <c r="D222" s="18" t="n">
        <v>-0.517997864862033</v>
      </c>
      <c r="E222" s="18" t="n">
        <v>0.195743133924596</v>
      </c>
      <c r="F222" s="19" t="n">
        <v>19</v>
      </c>
      <c r="G222" s="20" t="n">
        <f aca="false">IF(E222&gt;0,D222/E222,"")</f>
        <v>-2.64631435328698</v>
      </c>
      <c r="H222" s="20" t="n">
        <f aca="false">IF(G222="","",TDIST(ABS(G222),F222-1,2))</f>
        <v>0.0164162273701272</v>
      </c>
    </row>
    <row r="223" customFormat="false" ht="15" hidden="false" customHeight="false" outlineLevel="0" collapsed="false">
      <c r="A223" s="7" t="s">
        <v>64</v>
      </c>
      <c r="B223" s="7" t="s">
        <v>4</v>
      </c>
      <c r="C223" s="7" t="s">
        <v>63</v>
      </c>
      <c r="D223" s="18" t="n">
        <v>-0.597851667469211</v>
      </c>
      <c r="E223" s="18" t="n">
        <v>0.187310532404121</v>
      </c>
      <c r="F223" s="19" t="n">
        <v>19</v>
      </c>
      <c r="G223" s="20" t="n">
        <f aca="false">IF(E223&gt;0,D223/E223,"")</f>
        <v>-3.19176748790266</v>
      </c>
      <c r="H223" s="20" t="n">
        <f aca="false">IF(G223="","",TDIST(ABS(G223),F223-1,2))</f>
        <v>0.00505309902097788</v>
      </c>
    </row>
    <row r="224" customFormat="false" ht="15" hidden="false" customHeight="false" outlineLevel="0" collapsed="false">
      <c r="A224" s="7" t="s">
        <v>64</v>
      </c>
      <c r="B224" s="7" t="s">
        <v>5</v>
      </c>
      <c r="C224" s="7" t="s">
        <v>63</v>
      </c>
      <c r="D224" s="18" t="n">
        <v>-0.958519085881109</v>
      </c>
      <c r="E224" s="18" t="n">
        <v>0.428949550010895</v>
      </c>
      <c r="F224" s="19" t="n">
        <v>19</v>
      </c>
      <c r="G224" s="20" t="n">
        <f aca="false">IF(E224&gt;0,D224/E224,"")</f>
        <v>-2.23457300714446</v>
      </c>
      <c r="H224" s="20" t="n">
        <f aca="false">IF(G224="","",TDIST(ABS(G224),F224-1,2))</f>
        <v>0.038364381755286</v>
      </c>
    </row>
    <row r="225" customFormat="false" ht="15" hidden="false" customHeight="false" outlineLevel="0" collapsed="false">
      <c r="A225" s="7" t="s">
        <v>64</v>
      </c>
      <c r="B225" s="7" t="s">
        <v>6</v>
      </c>
      <c r="C225" s="7" t="s">
        <v>63</v>
      </c>
      <c r="D225" s="18" t="n">
        <v>-0.889293555948048</v>
      </c>
      <c r="E225" s="18" t="n">
        <v>0.425418601179579</v>
      </c>
      <c r="F225" s="19" t="n">
        <v>19</v>
      </c>
      <c r="G225" s="20" t="n">
        <f aca="false">IF(E225&gt;0,D225/E225,"")</f>
        <v>-2.09039650236793</v>
      </c>
      <c r="H225" s="20" t="n">
        <f aca="false">IF(G225="","",TDIST(ABS(G225),F225-1,2))</f>
        <v>0.0510408936940047</v>
      </c>
    </row>
    <row r="226" customFormat="false" ht="15" hidden="false" customHeight="false" outlineLevel="0" collapsed="false">
      <c r="A226" s="7" t="s">
        <v>64</v>
      </c>
      <c r="B226" s="7" t="s">
        <v>7</v>
      </c>
      <c r="C226" s="7" t="s">
        <v>63</v>
      </c>
      <c r="D226" s="18" t="n">
        <v>-0.596481685394031</v>
      </c>
      <c r="E226" s="18" t="n">
        <v>0.319368917795803</v>
      </c>
      <c r="F226" s="19" t="n">
        <v>19</v>
      </c>
      <c r="G226" s="20" t="n">
        <f aca="false">IF(E226&gt;0,D226/E226,"")</f>
        <v>-1.8676885950918</v>
      </c>
      <c r="H226" s="20" t="n">
        <f aca="false">IF(G226="","",TDIST(ABS(G226),F226-1,2))</f>
        <v>0.0781755200730347</v>
      </c>
    </row>
    <row r="227" customFormat="false" ht="15" hidden="false" customHeight="false" outlineLevel="0" collapsed="false">
      <c r="A227" s="7" t="s">
        <v>64</v>
      </c>
      <c r="B227" s="7" t="s">
        <v>8</v>
      </c>
      <c r="C227" s="7" t="s">
        <v>63</v>
      </c>
      <c r="D227" s="18" t="n">
        <v>-0.610686135244288</v>
      </c>
      <c r="E227" s="18" t="n">
        <v>0.272051331470494</v>
      </c>
      <c r="F227" s="19" t="n">
        <v>19</v>
      </c>
      <c r="G227" s="20" t="n">
        <f aca="false">IF(E227&gt;0,D227/E227,"")</f>
        <v>-2.24474598945501</v>
      </c>
      <c r="H227" s="20" t="n">
        <f aca="false">IF(G227="","",TDIST(ABS(G227),F227-1,2))</f>
        <v>0.0375896400182695</v>
      </c>
    </row>
    <row r="228" customFormat="false" ht="15" hidden="false" customHeight="false" outlineLevel="0" collapsed="false">
      <c r="A228" s="7" t="s">
        <v>65</v>
      </c>
      <c r="B228" s="7" t="s">
        <v>3</v>
      </c>
      <c r="C228" s="7" t="s">
        <v>63</v>
      </c>
      <c r="D228" s="18" t="n">
        <v>-0.393156900896232</v>
      </c>
      <c r="E228" s="18" t="n">
        <v>0.157708451768736</v>
      </c>
      <c r="F228" s="19" t="n">
        <v>19</v>
      </c>
      <c r="G228" s="20" t="n">
        <f aca="false">IF(E228&gt;0,D228/E228,"")</f>
        <v>-2.49293488387521</v>
      </c>
      <c r="H228" s="20" t="n">
        <f aca="false">IF(G228="","",TDIST(ABS(G228),F228-1,2))</f>
        <v>0.0226379070740412</v>
      </c>
    </row>
    <row r="229" customFormat="false" ht="15" hidden="false" customHeight="false" outlineLevel="0" collapsed="false">
      <c r="A229" s="7" t="s">
        <v>65</v>
      </c>
      <c r="B229" s="7" t="s">
        <v>4</v>
      </c>
      <c r="C229" s="7" t="s">
        <v>63</v>
      </c>
      <c r="D229" s="18" t="n">
        <v>-0.434075836399544</v>
      </c>
      <c r="E229" s="18" t="n">
        <v>0.105410977916435</v>
      </c>
      <c r="F229" s="19" t="n">
        <v>19</v>
      </c>
      <c r="G229" s="20" t="n">
        <f aca="false">IF(E229&gt;0,D229/E229,"")</f>
        <v>-4.11793766626149</v>
      </c>
      <c r="H229" s="20" t="n">
        <f aca="false">IF(G229="","",TDIST(ABS(G229),F229-1,2))</f>
        <v>0.000645925083584212</v>
      </c>
    </row>
    <row r="230" customFormat="false" ht="15" hidden="false" customHeight="false" outlineLevel="0" collapsed="false">
      <c r="A230" s="7" t="s">
        <v>65</v>
      </c>
      <c r="B230" s="7" t="s">
        <v>5</v>
      </c>
      <c r="C230" s="7" t="s">
        <v>63</v>
      </c>
      <c r="D230" s="18" t="n">
        <v>-0.318822917428424</v>
      </c>
      <c r="E230" s="18" t="n">
        <v>0.166071487152509</v>
      </c>
      <c r="F230" s="19" t="n">
        <v>19</v>
      </c>
      <c r="G230" s="20" t="n">
        <f aca="false">IF(E230&gt;0,D230/E230,"")</f>
        <v>-1.91979323419702</v>
      </c>
      <c r="H230" s="20" t="n">
        <f aca="false">IF(G230="","",TDIST(ABS(G230),F230-1,2))</f>
        <v>0.0708759082502851</v>
      </c>
    </row>
    <row r="231" customFormat="false" ht="15" hidden="false" customHeight="false" outlineLevel="0" collapsed="false">
      <c r="A231" s="7" t="s">
        <v>65</v>
      </c>
      <c r="B231" s="7" t="s">
        <v>6</v>
      </c>
      <c r="C231" s="7" t="s">
        <v>63</v>
      </c>
      <c r="D231" s="18" t="n">
        <v>-0.33318677911114</v>
      </c>
      <c r="E231" s="18" t="n">
        <v>0.156813617007179</v>
      </c>
      <c r="F231" s="19" t="n">
        <v>19</v>
      </c>
      <c r="G231" s="20" t="n">
        <f aca="false">IF(E231&gt;0,D231/E231,"")</f>
        <v>-2.12473116474245</v>
      </c>
      <c r="H231" s="20" t="n">
        <f aca="false">IF(G231="","",TDIST(ABS(G231),F231-1,2))</f>
        <v>0.0477163106769723</v>
      </c>
    </row>
    <row r="232" customFormat="false" ht="15" hidden="false" customHeight="false" outlineLevel="0" collapsed="false">
      <c r="A232" s="7" t="s">
        <v>65</v>
      </c>
      <c r="B232" s="7" t="s">
        <v>7</v>
      </c>
      <c r="C232" s="7" t="s">
        <v>63</v>
      </c>
      <c r="D232" s="18" t="n">
        <v>-0.379656656623057</v>
      </c>
      <c r="E232" s="18" t="n">
        <v>0.197801233813328</v>
      </c>
      <c r="F232" s="19" t="n">
        <v>19</v>
      </c>
      <c r="G232" s="20" t="n">
        <f aca="false">IF(E232&gt;0,D232/E232,"")</f>
        <v>-1.91938467371418</v>
      </c>
      <c r="H232" s="20" t="n">
        <f aca="false">IF(G232="","",TDIST(ABS(G232),F232-1,2))</f>
        <v>0.0709307076511832</v>
      </c>
    </row>
    <row r="233" customFormat="false" ht="15" hidden="false" customHeight="false" outlineLevel="0" collapsed="false">
      <c r="A233" s="7" t="s">
        <v>65</v>
      </c>
      <c r="B233" s="7" t="s">
        <v>8</v>
      </c>
      <c r="C233" s="7" t="s">
        <v>63</v>
      </c>
      <c r="D233" s="18" t="n">
        <v>-0.42391614176869</v>
      </c>
      <c r="E233" s="18" t="n">
        <v>0.175153672898041</v>
      </c>
      <c r="F233" s="19" t="n">
        <v>19</v>
      </c>
      <c r="G233" s="20" t="n">
        <f aca="false">IF(E233&gt;0,D233/E233,"")</f>
        <v>-2.42025265445308</v>
      </c>
      <c r="H233" s="20" t="n">
        <f aca="false">IF(G233="","",TDIST(ABS(G233),F233-1,2))</f>
        <v>0.0263086769418776</v>
      </c>
    </row>
    <row r="234" customFormat="false" ht="15" hidden="false" customHeight="false" outlineLevel="0" collapsed="false">
      <c r="A234" s="7" t="s">
        <v>66</v>
      </c>
      <c r="B234" s="7" t="s">
        <v>3</v>
      </c>
      <c r="C234" s="7" t="s">
        <v>63</v>
      </c>
      <c r="D234" s="18" t="n">
        <v>-0.385370759637945</v>
      </c>
      <c r="E234" s="18" t="n">
        <v>0.156841814903703</v>
      </c>
      <c r="F234" s="19" t="n">
        <v>19</v>
      </c>
      <c r="G234" s="20" t="n">
        <f aca="false">IF(E234&gt;0,D234/E234,"")</f>
        <v>-2.45706643903957</v>
      </c>
      <c r="H234" s="20" t="n">
        <f aca="false">IF(G234="","",TDIST(ABS(G234),F234-1,2))</f>
        <v>0.0243847145712003</v>
      </c>
    </row>
    <row r="235" customFormat="false" ht="15" hidden="false" customHeight="false" outlineLevel="0" collapsed="false">
      <c r="A235" s="7" t="s">
        <v>66</v>
      </c>
      <c r="B235" s="7" t="s">
        <v>4</v>
      </c>
      <c r="C235" s="7" t="s">
        <v>63</v>
      </c>
      <c r="D235" s="18" t="n">
        <v>-0.491373057903354</v>
      </c>
      <c r="E235" s="18" t="n">
        <v>0.118300628428849</v>
      </c>
      <c r="F235" s="19" t="n">
        <v>19</v>
      </c>
      <c r="G235" s="20" t="n">
        <f aca="false">IF(E235&gt;0,D235/E235,"")</f>
        <v>-4.15359634542337</v>
      </c>
      <c r="H235" s="20" t="n">
        <f aca="false">IF(G235="","",TDIST(ABS(G235),F235-1,2))</f>
        <v>0.000596684215074408</v>
      </c>
    </row>
    <row r="236" customFormat="false" ht="15" hidden="false" customHeight="false" outlineLevel="0" collapsed="false">
      <c r="A236" s="7" t="s">
        <v>66</v>
      </c>
      <c r="B236" s="7" t="s">
        <v>5</v>
      </c>
      <c r="C236" s="7" t="s">
        <v>63</v>
      </c>
      <c r="D236" s="18" t="n">
        <v>-0.37306686983076</v>
      </c>
      <c r="E236" s="18" t="n">
        <v>0.167668655283197</v>
      </c>
      <c r="F236" s="19" t="n">
        <v>19</v>
      </c>
      <c r="G236" s="20" t="n">
        <f aca="false">IF(E236&gt;0,D236/E236,"")</f>
        <v>-2.22502452352016</v>
      </c>
      <c r="H236" s="20" t="n">
        <f aca="false">IF(G236="","",TDIST(ABS(G236),F236-1,2))</f>
        <v>0.0391049246194761</v>
      </c>
    </row>
    <row r="237" customFormat="false" ht="15" hidden="false" customHeight="false" outlineLevel="0" collapsed="false">
      <c r="A237" s="7" t="s">
        <v>66</v>
      </c>
      <c r="B237" s="7" t="s">
        <v>6</v>
      </c>
      <c r="C237" s="7" t="s">
        <v>63</v>
      </c>
      <c r="D237" s="18" t="n">
        <v>-0.411441281849561</v>
      </c>
      <c r="E237" s="18" t="n">
        <v>0.191635803149997</v>
      </c>
      <c r="F237" s="19" t="n">
        <v>19</v>
      </c>
      <c r="G237" s="20" t="n">
        <f aca="false">IF(E237&gt;0,D237/E237,"")</f>
        <v>-2.14699589057227</v>
      </c>
      <c r="H237" s="20" t="n">
        <f aca="false">IF(G237="","",TDIST(ABS(G237),F237-1,2))</f>
        <v>0.0456671750124047</v>
      </c>
    </row>
    <row r="238" customFormat="false" ht="15" hidden="false" customHeight="false" outlineLevel="0" collapsed="false">
      <c r="A238" s="7" t="s">
        <v>66</v>
      </c>
      <c r="B238" s="7" t="s">
        <v>7</v>
      </c>
      <c r="C238" s="7" t="s">
        <v>63</v>
      </c>
      <c r="D238" s="18" t="n">
        <v>-0.384393195590659</v>
      </c>
      <c r="E238" s="18" t="n">
        <v>0.209076687437065</v>
      </c>
      <c r="F238" s="19" t="n">
        <v>19</v>
      </c>
      <c r="G238" s="20" t="n">
        <f aca="false">IF(E238&gt;0,D238/E238,"")</f>
        <v>-1.83852729016651</v>
      </c>
      <c r="H238" s="20" t="n">
        <f aca="false">IF(G238="","",TDIST(ABS(G238),F238-1,2))</f>
        <v>0.0825442670945184</v>
      </c>
    </row>
    <row r="239" customFormat="false" ht="15" hidden="false" customHeight="false" outlineLevel="0" collapsed="false">
      <c r="A239" s="7" t="s">
        <v>66</v>
      </c>
      <c r="B239" s="7" t="s">
        <v>8</v>
      </c>
      <c r="C239" s="7" t="s">
        <v>63</v>
      </c>
      <c r="D239" s="18" t="n">
        <v>-0.440661429872031</v>
      </c>
      <c r="E239" s="18" t="n">
        <v>0.186580065475634</v>
      </c>
      <c r="F239" s="19" t="n">
        <v>19</v>
      </c>
      <c r="G239" s="20" t="n">
        <f aca="false">IF(E239&gt;0,D239/E239,"")</f>
        <v>-2.36178194465034</v>
      </c>
      <c r="H239" s="20" t="n">
        <f aca="false">IF(G239="","",TDIST(ABS(G239),F239-1,2))</f>
        <v>0.0296589359269055</v>
      </c>
    </row>
    <row r="240" customFormat="false" ht="15" hidden="false" customHeight="false" outlineLevel="0" collapsed="false">
      <c r="A240" s="7" t="s">
        <v>67</v>
      </c>
      <c r="B240" s="7" t="s">
        <v>3</v>
      </c>
      <c r="C240" s="7" t="s">
        <v>63</v>
      </c>
      <c r="D240" s="18" t="n">
        <v>-0.410597062749664</v>
      </c>
      <c r="E240" s="18" t="n">
        <v>0.152253818783598</v>
      </c>
      <c r="F240" s="19" t="n">
        <v>19</v>
      </c>
      <c r="G240" s="20" t="n">
        <f aca="false">IF(E240&gt;0,D240/E240,"")</f>
        <v>-2.69679319724161</v>
      </c>
      <c r="H240" s="20" t="n">
        <f aca="false">IF(G240="","",TDIST(ABS(G240),F240-1,2))</f>
        <v>0.0147517728692194</v>
      </c>
    </row>
    <row r="241" customFormat="false" ht="15" hidden="false" customHeight="false" outlineLevel="0" collapsed="false">
      <c r="A241" s="7" t="s">
        <v>67</v>
      </c>
      <c r="B241" s="7" t="s">
        <v>4</v>
      </c>
      <c r="C241" s="7" t="s">
        <v>63</v>
      </c>
      <c r="D241" s="18" t="n">
        <v>-0.534556152996466</v>
      </c>
      <c r="E241" s="18" t="n">
        <v>0.121207323545031</v>
      </c>
      <c r="F241" s="19" t="n">
        <v>19</v>
      </c>
      <c r="G241" s="20" t="n">
        <f aca="false">IF(E241&gt;0,D241/E241,"")</f>
        <v>-4.41026282374653</v>
      </c>
      <c r="H241" s="20" t="n">
        <f aca="false">IF(G241="","",TDIST(ABS(G241),F241-1,2))</f>
        <v>0.000337711519686912</v>
      </c>
    </row>
    <row r="242" customFormat="false" ht="15" hidden="false" customHeight="false" outlineLevel="0" collapsed="false">
      <c r="A242" s="7" t="s">
        <v>67</v>
      </c>
      <c r="B242" s="7" t="s">
        <v>5</v>
      </c>
      <c r="C242" s="7" t="s">
        <v>63</v>
      </c>
      <c r="D242" s="18" t="n">
        <v>-0.456841212372736</v>
      </c>
      <c r="E242" s="18" t="n">
        <v>0.146726443635662</v>
      </c>
      <c r="F242" s="19" t="n">
        <v>19</v>
      </c>
      <c r="G242" s="20" t="n">
        <f aca="false">IF(E242&gt;0,D242/E242,"")</f>
        <v>-3.11355745462707</v>
      </c>
      <c r="H242" s="20" t="n">
        <f aca="false">IF(G242="","",TDIST(ABS(G242),F242-1,2))</f>
        <v>0.00599869336663462</v>
      </c>
    </row>
    <row r="243" customFormat="false" ht="15" hidden="false" customHeight="false" outlineLevel="0" collapsed="false">
      <c r="A243" s="7" t="s">
        <v>67</v>
      </c>
      <c r="B243" s="7" t="s">
        <v>6</v>
      </c>
      <c r="C243" s="7" t="s">
        <v>63</v>
      </c>
      <c r="D243" s="18" t="n">
        <v>-0.408608486460097</v>
      </c>
      <c r="E243" s="18" t="n">
        <v>0.17306750509011</v>
      </c>
      <c r="F243" s="19" t="n">
        <v>19</v>
      </c>
      <c r="G243" s="20" t="n">
        <f aca="false">IF(E243&gt;0,D243/E243,"")</f>
        <v>-2.36097750555397</v>
      </c>
      <c r="H243" s="20" t="n">
        <f aca="false">IF(G243="","",TDIST(ABS(G243),F243-1,2))</f>
        <v>0.0297076895771614</v>
      </c>
    </row>
    <row r="244" customFormat="false" ht="15" hidden="false" customHeight="false" outlineLevel="0" collapsed="false">
      <c r="A244" s="7" t="s">
        <v>67</v>
      </c>
      <c r="B244" s="7" t="s">
        <v>7</v>
      </c>
      <c r="C244" s="7" t="s">
        <v>63</v>
      </c>
      <c r="D244" s="18" t="n">
        <v>-0.40308855995044</v>
      </c>
      <c r="E244" s="18" t="n">
        <v>0.207438643542513</v>
      </c>
      <c r="F244" s="19" t="n">
        <v>19</v>
      </c>
      <c r="G244" s="20" t="n">
        <f aca="false">IF(E244&gt;0,D244/E244,"")</f>
        <v>-1.94317005292136</v>
      </c>
      <c r="H244" s="20" t="n">
        <f aca="false">IF(G244="","",TDIST(ABS(G244),F244-1,2))</f>
        <v>0.0678024830560195</v>
      </c>
    </row>
    <row r="245" customFormat="false" ht="15" hidden="false" customHeight="false" outlineLevel="0" collapsed="false">
      <c r="A245" s="7" t="s">
        <v>67</v>
      </c>
      <c r="B245" s="7" t="s">
        <v>8</v>
      </c>
      <c r="C245" s="7" t="s">
        <v>63</v>
      </c>
      <c r="D245" s="18" t="n">
        <v>-0.461798789564624</v>
      </c>
      <c r="E245" s="18" t="n">
        <v>0.184309527092193</v>
      </c>
      <c r="F245" s="19" t="n">
        <v>19</v>
      </c>
      <c r="G245" s="20" t="n">
        <f aca="false">IF(E245&gt;0,D245/E245,"")</f>
        <v>-2.50556114407276</v>
      </c>
      <c r="H245" s="20" t="n">
        <f aca="false">IF(G245="","",TDIST(ABS(G245),F245-1,2))</f>
        <v>0.0220515490366173</v>
      </c>
    </row>
    <row r="246" customFormat="false" ht="15" hidden="false" customHeight="false" outlineLevel="0" collapsed="false">
      <c r="A246" s="7" t="s">
        <v>68</v>
      </c>
      <c r="B246" s="7" t="s">
        <v>3</v>
      </c>
      <c r="C246" s="7" t="s">
        <v>63</v>
      </c>
      <c r="D246" s="18" t="n">
        <v>-0.404328759636601</v>
      </c>
      <c r="E246" s="18" t="n">
        <v>0.153974321708479</v>
      </c>
      <c r="F246" s="19" t="n">
        <v>19</v>
      </c>
      <c r="G246" s="20" t="n">
        <f aca="false">IF(E246&gt;0,D246/E246,"")</f>
        <v>-2.62594928264806</v>
      </c>
      <c r="H246" s="20" t="n">
        <f aca="false">IF(G246="","",TDIST(ABS(G246),F246-1,2))</f>
        <v>0.0171371311138972</v>
      </c>
    </row>
    <row r="247" customFormat="false" ht="15" hidden="false" customHeight="false" outlineLevel="0" collapsed="false">
      <c r="A247" s="7" t="s">
        <v>68</v>
      </c>
      <c r="B247" s="7" t="s">
        <v>4</v>
      </c>
      <c r="C247" s="7" t="s">
        <v>63</v>
      </c>
      <c r="D247" s="18" t="n">
        <v>-0.503083624700757</v>
      </c>
      <c r="E247" s="18" t="n">
        <v>0.11954342813191</v>
      </c>
      <c r="F247" s="19" t="n">
        <v>19</v>
      </c>
      <c r="G247" s="20" t="n">
        <f aca="false">IF(E247&gt;0,D247/E247,"")</f>
        <v>-4.20837542106983</v>
      </c>
      <c r="H247" s="20" t="n">
        <f aca="false">IF(G247="","",TDIST(ABS(G247),F247-1,2))</f>
        <v>0.000528298176550172</v>
      </c>
    </row>
    <row r="248" customFormat="false" ht="15" hidden="false" customHeight="false" outlineLevel="0" collapsed="false">
      <c r="A248" s="7" t="s">
        <v>68</v>
      </c>
      <c r="B248" s="7" t="s">
        <v>5</v>
      </c>
      <c r="C248" s="7" t="s">
        <v>63</v>
      </c>
      <c r="D248" s="18" t="n">
        <v>-0.31965735476892</v>
      </c>
      <c r="E248" s="18" t="n">
        <v>0.151604524928145</v>
      </c>
      <c r="F248" s="19" t="n">
        <v>19</v>
      </c>
      <c r="G248" s="20" t="n">
        <f aca="false">IF(E248&gt;0,D248/E248,"")</f>
        <v>-2.10849481518066</v>
      </c>
      <c r="H248" s="20" t="n">
        <f aca="false">IF(G248="","",TDIST(ABS(G248),F248-1,2))</f>
        <v>0.0492630856098202</v>
      </c>
    </row>
    <row r="249" customFormat="false" ht="15" hidden="false" customHeight="false" outlineLevel="0" collapsed="false">
      <c r="A249" s="7" t="s">
        <v>68</v>
      </c>
      <c r="B249" s="7" t="s">
        <v>6</v>
      </c>
      <c r="C249" s="7" t="s">
        <v>63</v>
      </c>
      <c r="D249" s="18" t="n">
        <v>-0.356814048567281</v>
      </c>
      <c r="E249" s="18" t="n">
        <v>0.173371217247754</v>
      </c>
      <c r="F249" s="19" t="n">
        <v>19</v>
      </c>
      <c r="G249" s="20" t="n">
        <f aca="false">IF(E249&gt;0,D249/E249,"")</f>
        <v>-2.05809276898241</v>
      </c>
      <c r="H249" s="20" t="n">
        <f aca="false">IF(G249="","",TDIST(ABS(G249),F249-1,2))</f>
        <v>0.0543594170374528</v>
      </c>
    </row>
    <row r="250" customFormat="false" ht="15" hidden="false" customHeight="false" outlineLevel="0" collapsed="false">
      <c r="A250" s="7" t="s">
        <v>68</v>
      </c>
      <c r="B250" s="7" t="s">
        <v>7</v>
      </c>
      <c r="C250" s="7" t="s">
        <v>63</v>
      </c>
      <c r="D250" s="18" t="n">
        <v>-0.389754651571212</v>
      </c>
      <c r="E250" s="18" t="n">
        <v>0.204922887287056</v>
      </c>
      <c r="F250" s="19" t="n">
        <v>19</v>
      </c>
      <c r="G250" s="20" t="n">
        <f aca="false">IF(E250&gt;0,D250/E250,"")</f>
        <v>-1.90195764236546</v>
      </c>
      <c r="H250" s="20" t="n">
        <f aca="false">IF(G250="","",TDIST(ABS(G250),F250-1,2))</f>
        <v>0.0733034965746836</v>
      </c>
    </row>
    <row r="251" customFormat="false" ht="15" hidden="false" customHeight="false" outlineLevel="0" collapsed="false">
      <c r="A251" s="7" t="s">
        <v>68</v>
      </c>
      <c r="B251" s="7" t="s">
        <v>8</v>
      </c>
      <c r="C251" s="7" t="s">
        <v>63</v>
      </c>
      <c r="D251" s="18" t="n">
        <v>-0.444586298619564</v>
      </c>
      <c r="E251" s="18" t="n">
        <v>0.179830680418305</v>
      </c>
      <c r="F251" s="19" t="n">
        <v>19</v>
      </c>
      <c r="G251" s="20" t="n">
        <f aca="false">IF(E251&gt;0,D251/E251,"")</f>
        <v>-2.47224943811262</v>
      </c>
      <c r="H251" s="20" t="n">
        <f aca="false">IF(G251="","",TDIST(ABS(G251),F251-1,2))</f>
        <v>0.023630367798148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2026-10-16T16:24:11Z</dcterms:created>
  <dc:creator>openpyxl</dc:creator>
  <dc:description/>
  <dc:language>en-US</dc:language>
  <cp:lastModifiedBy/>
  <dcterms:modified xsi:type="dcterms:W3CDTF">2026-10-16T16:24:11Z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