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V" sheetId="1" state="visible" r:id="rId3"/>
    <sheet name="Table VI" sheetId="2" state="visible" r:id="rId4"/>
    <sheet name="Table VII" sheetId="3" state="visible" r:id="rId5"/>
    <sheet name="Benchmark versions" sheetId="4" state="visible" r:id="rId6"/>
    <sheet name="Estima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<sst xmlns="http://schemas.openxmlformats.org/spreadsheetml/2006/main" count="762" uniqueCount="94">
  <si>
    <t xml:space="preserve">Table V: Conflicted CIOs: CIO Incentives and Plan Performance (updated benchmark)</t>
  </si>
  <si>
    <t xml:space="preserve">This table divides the sample by two proxies for a CIO's susceptibility to become conflicted: an indicator equal to 1 if the CIO is underpaid relative to the size of the plan, and an indicator equal to 1 for CIOs who are 46 years old or younger. Each panel reports regressions of plan performance on Conflicted CIO interacted with the group indicator, with all control variables also interacted with the group indicator, so that the two coefficients are estimated in one regression. The first pair of columns uses Peer-Adjusted Return, as in the paper. The second pair uses Benchmark-Adjusted Return computed with the original policy benchmark, and the third pair uses Benchmark-Adjusted Return recomputed as the plan's return minus the updated policy benchmark (the benchmark return reported in the plan's financial report; where none is stated, a value inferred from the plan's multi-year benchmark returns or from its policy weights and component index returns, graded A or B). The control variables are those of the corresponding regressions in the paper and are defined in Table I. All regressions include year fixed effects. The p-value row tests that the two Conflicted CIO coefficients are equal. The standard errors are double clustered by plan and year. Coefficients marked with ***, **, and * are significant at the 1%, 5%, and 10% level, respectively.</t>
  </si>
  <si>
    <t xml:space="preserve">Panel A. Effect of Conflict for Underpaid CIOs</t>
  </si>
  <si>
    <t xml:space="preserve">Peer-Adjusted Return (t)</t>
  </si>
  <si>
    <t xml:space="preserve">Benchmark-Adjusted Return, Original Benchmark (t)</t>
  </si>
  <si>
    <t xml:space="preserve">Benchmark-Adjusted Return, Updated Benchmark (t)</t>
  </si>
  <si>
    <t xml:space="preserve">Underpaid CIOs</t>
  </si>
  <si>
    <t xml:space="preserve">Not Underpaid CIOs</t>
  </si>
  <si>
    <t xml:space="preserve">Conflicted CIO</t>
  </si>
  <si>
    <t xml:space="preserve">p-value: equal coefficients</t>
  </si>
  <si>
    <t xml:space="preserve">Observations</t>
  </si>
  <si>
    <t xml:space="preserve">Adjusted R-squared</t>
  </si>
  <si>
    <t xml:space="preserve">Controls</t>
  </si>
  <si>
    <t xml:space="preserve">Yes</t>
  </si>
  <si>
    <t xml:space="preserve">Year FE</t>
  </si>
  <si>
    <t xml:space="preserve">Panel B. Effect of Conflict for Younger CIOs</t>
  </si>
  <si>
    <t xml:space="preserve">Young CIOs</t>
  </si>
  <si>
    <t xml:space="preserve">Not Young CIOs</t>
  </si>
  <si>
    <t xml:space="preserve">Table VI: Conflicted CIOs: Alternative Pathways and Plan Performance (updated benchmark)</t>
  </si>
  <si>
    <t xml:space="preserve">This table divides the sample by two proxies for alternative pathways to the private sector: an indicator equal to 1 for CIOs with prior private firm experience, and an indicator equal to 1 for plans headquartered in financial centers. Each panel reports regressions of plan performance on Conflicted CIO interacted with the group indicator, with all control variables also interacted with the group indicator, so that the two coefficients are estimated in one regression. The first pair of columns uses Peer-Adjusted Return, as in the paper. The second pair uses Benchmark-Adjusted Return computed with the original policy benchmark, and the third pair uses Benchmark-Adjusted Return recomputed as the plan's return minus the updated policy benchmark (the benchmark return reported in the plan's financial report; where none is stated, a value inferred from the plan's multi-year benchmark returns or from its policy weights and component index returns, graded A or B). The control variables are those of the corresponding regressions in the paper and are defined in Table I. All regressions include year fixed effects. The p-value row tests that the two Conflicted CIO coefficients are equal. The standard errors are double clustered by plan and year (by plan and fiscal-year-end date in Panel B, as in the paper's code). Coefficients marked with ***, **, and * are significant at the 1%, 5%, and 10% level, respectively.</t>
  </si>
  <si>
    <t xml:space="preserve">Panel A. Effect of Conflict for CIOs With and Without Prior Private Experience</t>
  </si>
  <si>
    <t xml:space="preserve">No Prior Private Exp.</t>
  </si>
  <si>
    <t xml:space="preserve">Prior Private Exp.</t>
  </si>
  <si>
    <t xml:space="preserve">Panel B. Effect of Conflict for Plans Located in Financial Centers</t>
  </si>
  <si>
    <t xml:space="preserve">Non-Financial Center</t>
  </si>
  <si>
    <t xml:space="preserve">Financial Center</t>
  </si>
  <si>
    <t xml:space="preserve">Table VII: Conflicted CIOs: Governance and Plan Performance (updated benchmark)</t>
  </si>
  <si>
    <t xml:space="preserve">This table divides the sample by two proxies for the strength of plan governance: an indicator equal to 1 if the plan's discount rate is above 8%, and an indicator equal to 1 for plans with a funding ratio of at least 92%. Each panel reports regressions of plan performance on Conflicted CIO interacted with the group indicator, with all control variables also interacted with the group indicator, so that the two coefficients are estimated in one regression. The first pair of columns uses Peer-Adjusted Return, as in the paper. The second pair uses Benchmark-Adjusted Return computed with the original policy benchmark, and the third pair uses Benchmark-Adjusted Return recomputed as the plan's return minus the updated policy benchmark (the benchmark return reported in the plan's financial report; where none is stated, a value inferred from the plan's multi-year benchmark returns or from its policy weights and component index returns, graded A or B). The control variables are those of the corresponding regressions in the paper and are defined in Table I. All regressions include year fixed effects. The p-value row tests that the two Conflicted CIO coefficients are equal. The standard errors are double clustered by plan and year. Coefficients marked with ***, **, and * are significant at the 1%, 5%, and 10% level, respectively.</t>
  </si>
  <si>
    <t xml:space="preserve">Panel A. Effect of Conflict Based on Liability Discount Rate</t>
  </si>
  <si>
    <t xml:space="preserve">High Discount Rate</t>
  </si>
  <si>
    <t xml:space="preserve">Not High Discount Rate</t>
  </si>
  <si>
    <t xml:space="preserve">Panel B. Effect of Conflict Based on Funding</t>
  </si>
  <si>
    <t xml:space="preserve">High Funding</t>
  </si>
  <si>
    <t xml:space="preserve">Lower Funding</t>
  </si>
  <si>
    <t xml:space="preserve">Cross-sectional Conflicted CIO coefficients under alternative performance measures</t>
  </si>
  <si>
    <t xml:space="preserve">Each block re-estimates one cross-sectional split with each performance measure. 'Updated' measures use the updated policy benchmark; 'reported only' drops inferred benchmark values; 'all inferred' adds grade C inferred values; 'document-matched' uses the total-fund return reported on the same page as the benchmark instead of the PPD return; the last row keeps only plan-years in which the PPD and document returns agree within 0.5 percentage points. Specifications, fixed effects and clustering as in the corresponding table.</t>
  </si>
  <si>
    <t xml:space="preserve">Table V, Panel A: Underpaid CIOs vs. Not Underpaid CIOs</t>
  </si>
  <si>
    <t xml:space="preserve">Underpaid CIOs x Conflicted</t>
  </si>
  <si>
    <t xml:space="preserve">Not Underpaid CIOs x Conflicted</t>
  </si>
  <si>
    <t xml:space="preserve">p-value: equal</t>
  </si>
  <si>
    <t xml:space="preserve">Peer-adjusted return (paper)</t>
  </si>
  <si>
    <t xml:space="preserve">Benchmark-adjusted, original benchmark</t>
  </si>
  <si>
    <t xml:space="preserve">Benchmark-adjusted, updated benchmark</t>
  </si>
  <si>
    <t xml:space="preserve">Updated, reported benchmarks only</t>
  </si>
  <si>
    <t xml:space="preserve">Updated, reported + all inferred</t>
  </si>
  <si>
    <t xml:space="preserve">Updated, document-matched return</t>
  </si>
  <si>
    <t xml:space="preserve">Updated, PPD and document returns agree within 0.5 pp</t>
  </si>
  <si>
    <t xml:space="preserve">Table V, Panel B: Young CIOs vs. Not Young CIOs</t>
  </si>
  <si>
    <t xml:space="preserve">Young CIOs x Conflicted</t>
  </si>
  <si>
    <t xml:space="preserve">Not Young CIOs x Conflicted</t>
  </si>
  <si>
    <t xml:space="preserve">Table VI, Panel A: Prior Private Exp. vs. No Prior Private Exp.</t>
  </si>
  <si>
    <t xml:space="preserve">Prior Private Exp. x Conflicted</t>
  </si>
  <si>
    <t xml:space="preserve">No Prior Private Exp. x Conflicted</t>
  </si>
  <si>
    <t xml:space="preserve">Table VI, Panel B: Financial Center vs. Non-Financial Center</t>
  </si>
  <si>
    <t xml:space="preserve">Financial Center x Conflicted</t>
  </si>
  <si>
    <t xml:space="preserve">Non-Financial Center x Conflicted</t>
  </si>
  <si>
    <t xml:space="preserve">Table VII, Panel A: High Discount Rate vs. Not High Discount Rate</t>
  </si>
  <si>
    <t xml:space="preserve">High Discount Rate x Conflicted</t>
  </si>
  <si>
    <t xml:space="preserve">Not High Discount Rate x Conflicted</t>
  </si>
  <si>
    <t xml:space="preserve">Table VII, Panel B: High Funding vs. Lower Funding</t>
  </si>
  <si>
    <t xml:space="preserve">High Funding x Conflicted</t>
  </si>
  <si>
    <t xml:space="preserve">Lower Funding x Conflicted</t>
  </si>
  <si>
    <t xml:space="preserve">Note on inference: coefficients reproduce the paper's code exactly and observations match except the funding split (1,660 here, 1,665 in the paper, identical coefficients). These two-way clustered t-statistics and p-values differ from reghdfe's published ones, in both directions depending on the split; use the attached Stata code for the exact figures.</t>
  </si>
  <si>
    <t xml:space="preserve">Estimates behind the tables. Blue = regression output (coefficient, SE, minimum cluster count). t and p are formulas; p uses the t distribution with (min clusters - 1) df. SE double clustered by plan and fiscal year (plan and fiscal-year-end date for the financial-center split), with the eigenvalue fix.</t>
  </si>
  <si>
    <t xml:space="preserve">Split</t>
  </si>
  <si>
    <t xml:space="preserve">Dependent variable</t>
  </si>
  <si>
    <t xml:space="preserve">Term</t>
  </si>
  <si>
    <t xml:space="preserve">Coefficient</t>
  </si>
  <si>
    <t xml:space="preserve">SE</t>
  </si>
  <si>
    <t xml:space="preserve">Clusters (min)</t>
  </si>
  <si>
    <t xml:space="preserve">t</t>
  </si>
  <si>
    <t xml:space="preserve">p</t>
  </si>
  <si>
    <t xml:space="preserve">underpaid</t>
  </si>
  <si>
    <t xml:space="preserve">peer_adj_ret100</t>
  </si>
  <si>
    <t xml:space="preserve">bench_adj_ret_pct</t>
  </si>
  <si>
    <t xml:space="preserve">b_AB</t>
  </si>
  <si>
    <t xml:space="preserve">difference</t>
  </si>
  <si>
    <t xml:space="preserve">young</t>
  </si>
  <si>
    <t xml:space="preserve">priv</t>
  </si>
  <si>
    <t xml:space="preserve">fin</t>
  </si>
  <si>
    <t xml:space="preserve">rate</t>
  </si>
  <si>
    <t xml:space="preserve">fund</t>
  </si>
  <si>
    <t xml:space="preserve">underpaid (versions)</t>
  </si>
  <si>
    <t xml:space="preserve">a</t>
  </si>
  <si>
    <t xml:space="preserve">b</t>
  </si>
  <si>
    <t xml:space="preserve">b_rep</t>
  </si>
  <si>
    <t xml:space="preserve">b_all</t>
  </si>
  <si>
    <t xml:space="preserve">b_docAB</t>
  </si>
  <si>
    <t xml:space="preserve">b_AB_ok</t>
  </si>
  <si>
    <t xml:space="preserve">young (versions)</t>
  </si>
  <si>
    <t xml:space="preserve">priv (versions)</t>
  </si>
  <si>
    <t xml:space="preserve">fin (versions)</t>
  </si>
  <si>
    <t xml:space="preserve">rate (versions)</t>
  </si>
  <si>
    <t xml:space="preserve">fund (versions)</t>
  </si>
</sst>
</file>

<file path=xl/styles.xml><?xml version="1.0" encoding="utf-8"?>
<styleSheet xmlns="http://schemas.openxmlformats.org/spreadsheetml/2006/main">
  <numFmts count="4">
    <numFmt numFmtId="164" formatCode="General"/>
    <numFmt numFmtId="165" formatCode="0.000"/>
    <numFmt numFmtId="166" formatCode="#,##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true" applyAlignment="true" applyProtection="false">
      <alignment horizontal="center" vertical="center" textRotation="0" wrapText="true" indent="0" shrinkToFit="false"/>
      <protection locked="true" hidden="false"/>
    </xf>
    <xf numFmtId="166" fontId="5"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s>
  <sheetData>
    <row r="1" customFormat="false" ht="15" hidden="false" customHeight="false" outlineLevel="0" collapsed="false">
      <c r="A1" s="1" t="s">
        <v>0</v>
      </c>
    </row>
    <row r="2" customFormat="false" ht="210" hidden="false" customHeight="true" outlineLevel="0" collapsed="false">
      <c r="A2" s="2" t="s">
        <v>1</v>
      </c>
      <c r="B2" s="2"/>
      <c r="C2" s="2"/>
      <c r="D2" s="2"/>
      <c r="E2" s="2"/>
      <c r="F2" s="2"/>
      <c r="G2" s="2"/>
    </row>
    <row r="4" customFormat="false" ht="15" hidden="false" customHeight="false" outlineLevel="0" collapsed="false">
      <c r="A4" s="1" t="s">
        <v>2</v>
      </c>
    </row>
    <row r="5" customFormat="false" ht="30" hidden="false" customHeight="true" outlineLevel="0" collapsed="false">
      <c r="A5" s="3"/>
      <c r="B5" s="4" t="s">
        <v>3</v>
      </c>
      <c r="C5" s="4"/>
      <c r="D5" s="4" t="s">
        <v>4</v>
      </c>
      <c r="E5" s="4"/>
      <c r="F5" s="4" t="s">
        <v>5</v>
      </c>
      <c r="G5" s="4"/>
    </row>
    <row r="6" customFormat="false" ht="30" hidden="false" customHeight="true" outlineLevel="0" collapsed="false">
      <c r="A6" s="5"/>
      <c r="B6" s="6" t="s">
        <v>6</v>
      </c>
      <c r="C6" s="6" t="s">
        <v>7</v>
      </c>
      <c r="D6" s="6" t="s">
        <v>6</v>
      </c>
      <c r="E6" s="6" t="s">
        <v>7</v>
      </c>
      <c r="F6" s="6" t="s">
        <v>6</v>
      </c>
      <c r="G6" s="6" t="s">
        <v>7</v>
      </c>
    </row>
    <row r="7" customFormat="false" ht="15" hidden="false" customHeight="false" outlineLevel="0" collapsed="false">
      <c r="A7" s="7" t="s">
        <v>8</v>
      </c>
      <c r="B7" s="8" t="str">
        <f aca="false">IF(Estimates!H4="","n/a",TEXT(Estimates!D4,"0.000")&amp;IF(Estimates!H4&lt;0.01,"***",IF(Estimates!H4&lt;0.05,"**",IF(Estimates!H4&lt;0.1,"*",""))))</f>
        <v>-0.870***</v>
      </c>
      <c r="C7" s="8" t="str">
        <f aca="false">IF(Estimates!H5="","n/a",TEXT(Estimates!D5,"0.000")&amp;IF(Estimates!H5&lt;0.01,"***",IF(Estimates!H5&lt;0.05,"**",IF(Estimates!H5&lt;0.1,"*",""))))</f>
        <v>-0.394</v>
      </c>
      <c r="D7" s="8" t="str">
        <f aca="false">IF(Estimates!H6="","n/a",TEXT(Estimates!D6,"0.000")&amp;IF(Estimates!H6&lt;0.01,"***",IF(Estimates!H6&lt;0.05,"**",IF(Estimates!H6&lt;0.1,"*",""))))</f>
        <v>-0.674*</v>
      </c>
      <c r="E7" s="8" t="str">
        <f aca="false">IF(Estimates!H7="","n/a",TEXT(Estimates!D7,"0.000")&amp;IF(Estimates!H7&lt;0.01,"***",IF(Estimates!H7&lt;0.05,"**",IF(Estimates!H7&lt;0.1,"*",""))))</f>
        <v>-0.474</v>
      </c>
      <c r="F7" s="8" t="str">
        <f aca="false">IF(Estimates!H8="","n/a",TEXT(Estimates!D8,"0.000")&amp;IF(Estimates!H8&lt;0.01,"***",IF(Estimates!H8&lt;0.05,"**",IF(Estimates!H8&lt;0.1,"*",""))))</f>
        <v>-0.704***</v>
      </c>
      <c r="G7" s="8" t="str">
        <f aca="false">IF(Estimates!H9="","n/a",TEXT(Estimates!D9,"0.000")&amp;IF(Estimates!H9&lt;0.01,"***",IF(Estimates!H9&lt;0.05,"**",IF(Estimates!H9&lt;0.1,"*",""))))</f>
        <v>-0.193</v>
      </c>
    </row>
    <row r="8" customFormat="false" ht="15" hidden="false" customHeight="false" outlineLevel="0" collapsed="false">
      <c r="B8" s="8" t="str">
        <f aca="false">IF(Estimates!G4="","","("&amp;TEXT(Estimates!G4,"0.00")&amp;")")</f>
        <v>(-4.27)</v>
      </c>
      <c r="C8" s="8" t="str">
        <f aca="false">IF(Estimates!G5="","","("&amp;TEXT(Estimates!G5,"0.00")&amp;")")</f>
        <v>(-1.51)</v>
      </c>
      <c r="D8" s="8" t="str">
        <f aca="false">IF(Estimates!G6="","","("&amp;TEXT(Estimates!G6,"0.00")&amp;")")</f>
        <v>(-1.75)</v>
      </c>
      <c r="E8" s="8" t="str">
        <f aca="false">IF(Estimates!G7="","","("&amp;TEXT(Estimates!G7,"0.00")&amp;")")</f>
        <v>(-1.72)</v>
      </c>
      <c r="F8" s="8" t="str">
        <f aca="false">IF(Estimates!G8="","","("&amp;TEXT(Estimates!G8,"0.00")&amp;")")</f>
        <v>(-2.98)</v>
      </c>
      <c r="G8" s="8" t="str">
        <f aca="false">IF(Estimates!G9="","","("&amp;TEXT(Estimates!G9,"0.00")&amp;")")</f>
        <v>(-1.00)</v>
      </c>
    </row>
    <row r="10" customFormat="false" ht="15" hidden="false" customHeight="false" outlineLevel="0" collapsed="false">
      <c r="A10" s="7" t="s">
        <v>9</v>
      </c>
      <c r="B10" s="9" t="n">
        <f aca="false">IF(Estimates!H10="","",Estimates!H10)</f>
        <v>0.101172747488938</v>
      </c>
      <c r="C10" s="9"/>
      <c r="D10" s="9" t="n">
        <f aca="false">IF(Estimates!H11="","",Estimates!H11)</f>
        <v>0.658221994508034</v>
      </c>
      <c r="E10" s="9"/>
      <c r="F10" s="9" t="n">
        <f aca="false">IF(Estimates!H12="","",Estimates!H12)</f>
        <v>0.117212192395935</v>
      </c>
      <c r="G10" s="9"/>
    </row>
    <row r="11" customFormat="false" ht="15" hidden="false" customHeight="false" outlineLevel="0" collapsed="false">
      <c r="A11" s="7" t="s">
        <v>10</v>
      </c>
      <c r="B11" s="10" t="n">
        <v>1495</v>
      </c>
      <c r="C11" s="10"/>
      <c r="D11" s="10" t="n">
        <v>1061</v>
      </c>
      <c r="E11" s="10"/>
      <c r="F11" s="10" t="n">
        <v>1308</v>
      </c>
      <c r="G11" s="10"/>
    </row>
    <row r="12" customFormat="false" ht="15" hidden="false" customHeight="false" outlineLevel="0" collapsed="false">
      <c r="A12" s="7" t="s">
        <v>11</v>
      </c>
      <c r="B12" s="9" t="n">
        <v>0.0822151844128241</v>
      </c>
      <c r="C12" s="9"/>
      <c r="D12" s="9" t="n">
        <v>0.132804019378722</v>
      </c>
      <c r="E12" s="9"/>
      <c r="F12" s="9" t="n">
        <v>0.141808011668143</v>
      </c>
      <c r="G12" s="9"/>
    </row>
    <row r="13" customFormat="false" ht="15" hidden="false" customHeight="true" outlineLevel="0" collapsed="false">
      <c r="A13" s="7" t="s">
        <v>12</v>
      </c>
      <c r="B13" s="11" t="s">
        <v>13</v>
      </c>
      <c r="C13" s="11"/>
      <c r="D13" s="11" t="s">
        <v>13</v>
      </c>
      <c r="E13" s="11"/>
      <c r="F13" s="11" t="s">
        <v>13</v>
      </c>
      <c r="G13" s="11"/>
    </row>
    <row r="14" customFormat="false" ht="15" hidden="false" customHeight="true" outlineLevel="0" collapsed="false">
      <c r="A14" s="12" t="s">
        <v>14</v>
      </c>
      <c r="B14" s="6" t="s">
        <v>13</v>
      </c>
      <c r="C14" s="6"/>
      <c r="D14" s="6" t="s">
        <v>13</v>
      </c>
      <c r="E14" s="6"/>
      <c r="F14" s="6" t="s">
        <v>13</v>
      </c>
      <c r="G14" s="6"/>
    </row>
    <row r="17" customFormat="false" ht="15" hidden="false" customHeight="false" outlineLevel="0" collapsed="false">
      <c r="A17" s="1" t="s">
        <v>15</v>
      </c>
    </row>
    <row r="18" customFormat="false" ht="30" hidden="false" customHeight="true" outlineLevel="0" collapsed="false">
      <c r="A18" s="3"/>
      <c r="B18" s="4" t="s">
        <v>3</v>
      </c>
      <c r="C18" s="4"/>
      <c r="D18" s="4" t="s">
        <v>4</v>
      </c>
      <c r="E18" s="4"/>
      <c r="F18" s="4" t="s">
        <v>5</v>
      </c>
      <c r="G18" s="4"/>
    </row>
    <row r="19" customFormat="false" ht="30" hidden="false" customHeight="true" outlineLevel="0" collapsed="false">
      <c r="A19" s="5"/>
      <c r="B19" s="6" t="s">
        <v>16</v>
      </c>
      <c r="C19" s="6" t="s">
        <v>17</v>
      </c>
      <c r="D19" s="6" t="s">
        <v>16</v>
      </c>
      <c r="E19" s="6" t="s">
        <v>17</v>
      </c>
      <c r="F19" s="6" t="s">
        <v>16</v>
      </c>
      <c r="G19" s="6" t="s">
        <v>17</v>
      </c>
    </row>
    <row r="20" customFormat="false" ht="15" hidden="false" customHeight="false" outlineLevel="0" collapsed="false">
      <c r="A20" s="7" t="s">
        <v>8</v>
      </c>
      <c r="B20" s="8" t="str">
        <f aca="false">IF(Estimates!H13="","n/a",TEXT(Estimates!D13,"0.000")&amp;IF(Estimates!H13&lt;0.01,"***",IF(Estimates!H13&lt;0.05,"**",IF(Estimates!H13&lt;0.1,"*",""))))</f>
        <v>-1.213***</v>
      </c>
      <c r="C20" s="8" t="str">
        <f aca="false">IF(Estimates!H14="","n/a",TEXT(Estimates!D14,"0.000")&amp;IF(Estimates!H14&lt;0.01,"***",IF(Estimates!H14&lt;0.05,"**",IF(Estimates!H14&lt;0.1,"*",""))))</f>
        <v>-0.385*</v>
      </c>
      <c r="D20" s="8" t="str">
        <f aca="false">IF(Estimates!H15="","n/a",TEXT(Estimates!D15,"0.000")&amp;IF(Estimates!H15&lt;0.01,"***",IF(Estimates!H15&lt;0.05,"**",IF(Estimates!H15&lt;0.1,"*",""))))</f>
        <v>-0.865***</v>
      </c>
      <c r="E20" s="8" t="str">
        <f aca="false">IF(Estimates!H16="","n/a",TEXT(Estimates!D16,"0.000")&amp;IF(Estimates!H16&lt;0.01,"***",IF(Estimates!H16&lt;0.05,"**",IF(Estimates!H16&lt;0.1,"*",""))))</f>
        <v>-0.630**</v>
      </c>
      <c r="F20" s="8" t="str">
        <f aca="false">IF(Estimates!H17="","n/a",TEXT(Estimates!D17,"0.000")&amp;IF(Estimates!H17&lt;0.01,"***",IF(Estimates!H17&lt;0.05,"**",IF(Estimates!H17&lt;0.1,"*",""))))</f>
        <v>-0.793***</v>
      </c>
      <c r="G20" s="8" t="str">
        <f aca="false">IF(Estimates!H18="","n/a",TEXT(Estimates!D18,"0.000")&amp;IF(Estimates!H18&lt;0.01,"***",IF(Estimates!H18&lt;0.05,"**",IF(Estimates!H18&lt;0.1,"*",""))))</f>
        <v>-0.364</v>
      </c>
    </row>
    <row r="21" customFormat="false" ht="15" hidden="false" customHeight="false" outlineLevel="0" collapsed="false">
      <c r="B21" s="8" t="str">
        <f aca="false">IF(Estimates!G13="","","("&amp;TEXT(Estimates!G13,"0.00")&amp;")")</f>
        <v>(-3.56)</v>
      </c>
      <c r="C21" s="8" t="str">
        <f aca="false">IF(Estimates!G14="","","("&amp;TEXT(Estimates!G14,"0.00")&amp;")")</f>
        <v>(-1.86)</v>
      </c>
      <c r="D21" s="8" t="str">
        <f aca="false">IF(Estimates!G15="","","("&amp;TEXT(Estimates!G15,"0.00")&amp;")")</f>
        <v>(-3.07)</v>
      </c>
      <c r="E21" s="8" t="str">
        <f aca="false">IF(Estimates!G16="","","("&amp;TEXT(Estimates!G16,"0.00")&amp;")")</f>
        <v>(-2.27)</v>
      </c>
      <c r="F21" s="8" t="str">
        <f aca="false">IF(Estimates!G17="","","("&amp;TEXT(Estimates!G17,"0.00")&amp;")")</f>
        <v>(-4.88)</v>
      </c>
      <c r="G21" s="8" t="str">
        <f aca="false">IF(Estimates!G18="","","("&amp;TEXT(Estimates!G18,"0.00")&amp;")")</f>
        <v>(-1.31)</v>
      </c>
    </row>
    <row r="23" customFormat="false" ht="15" hidden="false" customHeight="false" outlineLevel="0" collapsed="false">
      <c r="A23" s="7" t="s">
        <v>9</v>
      </c>
      <c r="B23" s="9" t="n">
        <f aca="false">IF(Estimates!H19="","",Estimates!H19)</f>
        <v>0.0581270698279712</v>
      </c>
      <c r="C23" s="9"/>
      <c r="D23" s="9" t="n">
        <f aca="false">IF(Estimates!H20="","",Estimates!H20)</f>
        <v>0.615218489151691</v>
      </c>
      <c r="E23" s="9"/>
      <c r="F23" s="9" t="n">
        <f aca="false">IF(Estimates!H21="","",Estimates!H21)</f>
        <v>0.242558435935887</v>
      </c>
      <c r="G23" s="9"/>
    </row>
    <row r="24" customFormat="false" ht="15" hidden="false" customHeight="false" outlineLevel="0" collapsed="false">
      <c r="A24" s="7" t="s">
        <v>10</v>
      </c>
      <c r="B24" s="10" t="n">
        <v>1628</v>
      </c>
      <c r="C24" s="10"/>
      <c r="D24" s="10" t="n">
        <v>1165</v>
      </c>
      <c r="E24" s="10"/>
      <c r="F24" s="10" t="n">
        <v>1426</v>
      </c>
      <c r="G24" s="10"/>
    </row>
    <row r="25" customFormat="false" ht="15" hidden="false" customHeight="false" outlineLevel="0" collapsed="false">
      <c r="A25" s="7" t="s">
        <v>11</v>
      </c>
      <c r="B25" s="9" t="n">
        <v>0.0826937558880466</v>
      </c>
      <c r="C25" s="9"/>
      <c r="D25" s="9" t="n">
        <v>0.131866168652751</v>
      </c>
      <c r="E25" s="9"/>
      <c r="F25" s="9" t="n">
        <v>0.130765506034857</v>
      </c>
      <c r="G25" s="9"/>
    </row>
    <row r="26" customFormat="false" ht="15" hidden="false" customHeight="true" outlineLevel="0" collapsed="false">
      <c r="A26" s="7" t="s">
        <v>12</v>
      </c>
      <c r="B26" s="11" t="s">
        <v>13</v>
      </c>
      <c r="C26" s="11"/>
      <c r="D26" s="11" t="s">
        <v>13</v>
      </c>
      <c r="E26" s="11"/>
      <c r="F26" s="11" t="s">
        <v>13</v>
      </c>
      <c r="G26" s="11"/>
    </row>
    <row r="27" customFormat="false" ht="15" hidden="false" customHeight="true" outlineLevel="0" collapsed="false">
      <c r="A27" s="12" t="s">
        <v>14</v>
      </c>
      <c r="B27" s="6" t="s">
        <v>13</v>
      </c>
      <c r="C27" s="6"/>
      <c r="D27" s="6" t="s">
        <v>13</v>
      </c>
      <c r="E27" s="6"/>
      <c r="F27" s="6" t="s">
        <v>13</v>
      </c>
      <c r="G27" s="6"/>
    </row>
  </sheetData>
  <mergeCells count="37">
    <mergeCell ref="A2:G2"/>
    <mergeCell ref="B5:C5"/>
    <mergeCell ref="D5:E5"/>
    <mergeCell ref="F5:G5"/>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C18"/>
    <mergeCell ref="D18:E18"/>
    <mergeCell ref="F18:G18"/>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s>
  <sheetData>
    <row r="1" customFormat="false" ht="15" hidden="false" customHeight="false" outlineLevel="0" collapsed="false">
      <c r="A1" s="1" t="s">
        <v>18</v>
      </c>
    </row>
    <row r="2" customFormat="false" ht="225" hidden="false" customHeight="true" outlineLevel="0" collapsed="false">
      <c r="A2" s="2" t="s">
        <v>19</v>
      </c>
      <c r="B2" s="2"/>
      <c r="C2" s="2"/>
      <c r="D2" s="2"/>
      <c r="E2" s="2"/>
      <c r="F2" s="2"/>
      <c r="G2" s="2"/>
    </row>
    <row r="4" customFormat="false" ht="15" hidden="false" customHeight="false" outlineLevel="0" collapsed="false">
      <c r="A4" s="1" t="s">
        <v>20</v>
      </c>
    </row>
    <row r="5" customFormat="false" ht="30" hidden="false" customHeight="true" outlineLevel="0" collapsed="false">
      <c r="A5" s="3"/>
      <c r="B5" s="4" t="s">
        <v>3</v>
      </c>
      <c r="C5" s="4"/>
      <c r="D5" s="4" t="s">
        <v>4</v>
      </c>
      <c r="E5" s="4"/>
      <c r="F5" s="4" t="s">
        <v>5</v>
      </c>
      <c r="G5" s="4"/>
    </row>
    <row r="6" customFormat="false" ht="30" hidden="false" customHeight="true" outlineLevel="0" collapsed="false">
      <c r="A6" s="5"/>
      <c r="B6" s="6" t="s">
        <v>21</v>
      </c>
      <c r="C6" s="6" t="s">
        <v>22</v>
      </c>
      <c r="D6" s="6" t="s">
        <v>21</v>
      </c>
      <c r="E6" s="6" t="s">
        <v>22</v>
      </c>
      <c r="F6" s="6" t="s">
        <v>21</v>
      </c>
      <c r="G6" s="6" t="s">
        <v>22</v>
      </c>
    </row>
    <row r="7" customFormat="false" ht="15" hidden="false" customHeight="false" outlineLevel="0" collapsed="false">
      <c r="A7" s="7" t="s">
        <v>8</v>
      </c>
      <c r="B7" s="8" t="str">
        <f aca="false">IF(Estimates!H22="","n/a",TEXT(Estimates!D22,"0.000")&amp;IF(Estimates!H22&lt;0.01,"***",IF(Estimates!H22&lt;0.05,"**",IF(Estimates!H22&lt;0.1,"*",""))))</f>
        <v>-0.774**</v>
      </c>
      <c r="C7" s="8" t="str">
        <f aca="false">IF(Estimates!H23="","n/a",TEXT(Estimates!D23,"0.000")&amp;IF(Estimates!H23&lt;0.01,"***",IF(Estimates!H23&lt;0.05,"**",IF(Estimates!H23&lt;0.1,"*",""))))</f>
        <v>-0.266</v>
      </c>
      <c r="D7" s="8" t="str">
        <f aca="false">IF(Estimates!H24="","n/a",TEXT(Estimates!D24,"0.000")&amp;IF(Estimates!H24&lt;0.01,"***",IF(Estimates!H24&lt;0.05,"**",IF(Estimates!H24&lt;0.1,"*",""))))</f>
        <v>-0.447</v>
      </c>
      <c r="E7" s="8" t="str">
        <f aca="false">IF(Estimates!H25="","n/a",TEXT(Estimates!D25,"0.000")&amp;IF(Estimates!H25&lt;0.01,"***",IF(Estimates!H25&lt;0.05,"**",IF(Estimates!H25&lt;0.1,"*",""))))</f>
        <v>-0.817*</v>
      </c>
      <c r="F7" s="8" t="str">
        <f aca="false">IF(Estimates!H26="","n/a",TEXT(Estimates!D26,"0.000")&amp;IF(Estimates!H26&lt;0.01,"***",IF(Estimates!H26&lt;0.05,"**",IF(Estimates!H26&lt;0.1,"*",""))))</f>
        <v>-0.388*</v>
      </c>
      <c r="G7" s="8" t="str">
        <f aca="false">IF(Estimates!H27="","n/a",TEXT(Estimates!D27,"0.000")&amp;IF(Estimates!H27&lt;0.01,"***",IF(Estimates!H27&lt;0.05,"**",IF(Estimates!H27&lt;0.1,"*",""))))</f>
        <v>-0.366*</v>
      </c>
    </row>
    <row r="8" customFormat="false" ht="15" hidden="false" customHeight="false" outlineLevel="0" collapsed="false">
      <c r="B8" s="8" t="str">
        <f aca="false">IF(Estimates!G22="","","("&amp;TEXT(Estimates!G22,"0.00")&amp;")")</f>
        <v>(-2.30)</v>
      </c>
      <c r="C8" s="8" t="str">
        <f aca="false">IF(Estimates!G23="","","("&amp;TEXT(Estimates!G23,"0.00")&amp;")")</f>
        <v>(-1.05)</v>
      </c>
      <c r="D8" s="8" t="str">
        <f aca="false">IF(Estimates!G24="","","("&amp;TEXT(Estimates!G24,"0.00")&amp;")")</f>
        <v>(-1.31)</v>
      </c>
      <c r="E8" s="8" t="str">
        <f aca="false">IF(Estimates!G25="","","("&amp;TEXT(Estimates!G25,"0.00")&amp;")")</f>
        <v>(-1.81)</v>
      </c>
      <c r="F8" s="8" t="str">
        <f aca="false">IF(Estimates!G26="","","("&amp;TEXT(Estimates!G26,"0.00")&amp;")")</f>
        <v>(-1.80)</v>
      </c>
      <c r="G8" s="8" t="str">
        <f aca="false">IF(Estimates!G27="","","("&amp;TEXT(Estimates!G27,"0.00")&amp;")")</f>
        <v>(-1.90)</v>
      </c>
    </row>
    <row r="10" customFormat="false" ht="15" hidden="false" customHeight="false" outlineLevel="0" collapsed="false">
      <c r="A10" s="7" t="s">
        <v>9</v>
      </c>
      <c r="B10" s="9" t="n">
        <f aca="false">IF(Estimates!H28="","",Estimates!H28)</f>
        <v>0.348313299591622</v>
      </c>
      <c r="C10" s="9"/>
      <c r="D10" s="9" t="n">
        <f aca="false">IF(Estimates!H29="","",Estimates!H29)</f>
        <v>0.535297400640764</v>
      </c>
      <c r="E10" s="9"/>
      <c r="F10" s="9" t="n">
        <f aca="false">IF(Estimates!H30="","",Estimates!H30)</f>
        <v>0.948753027771774</v>
      </c>
      <c r="G10" s="9"/>
    </row>
    <row r="11" customFormat="false" ht="15" hidden="false" customHeight="false" outlineLevel="0" collapsed="false">
      <c r="A11" s="7" t="s">
        <v>10</v>
      </c>
      <c r="B11" s="10" t="n">
        <v>1484</v>
      </c>
      <c r="C11" s="10"/>
      <c r="D11" s="10" t="n">
        <v>1073</v>
      </c>
      <c r="E11" s="10"/>
      <c r="F11" s="10" t="n">
        <v>1304</v>
      </c>
      <c r="G11" s="10"/>
    </row>
    <row r="12" customFormat="false" ht="15" hidden="false" customHeight="false" outlineLevel="0" collapsed="false">
      <c r="A12" s="7" t="s">
        <v>11</v>
      </c>
      <c r="B12" s="9" t="n">
        <v>0.0647560536424392</v>
      </c>
      <c r="C12" s="9"/>
      <c r="D12" s="9" t="n">
        <v>0.119954760695981</v>
      </c>
      <c r="E12" s="9"/>
      <c r="F12" s="9" t="n">
        <v>0.117175102902302</v>
      </c>
      <c r="G12" s="9"/>
    </row>
    <row r="13" customFormat="false" ht="15" hidden="false" customHeight="true" outlineLevel="0" collapsed="false">
      <c r="A13" s="7" t="s">
        <v>12</v>
      </c>
      <c r="B13" s="11" t="s">
        <v>13</v>
      </c>
      <c r="C13" s="11"/>
      <c r="D13" s="11" t="s">
        <v>13</v>
      </c>
      <c r="E13" s="11"/>
      <c r="F13" s="11" t="s">
        <v>13</v>
      </c>
      <c r="G13" s="11"/>
    </row>
    <row r="14" customFormat="false" ht="15" hidden="false" customHeight="true" outlineLevel="0" collapsed="false">
      <c r="A14" s="12" t="s">
        <v>14</v>
      </c>
      <c r="B14" s="6" t="s">
        <v>13</v>
      </c>
      <c r="C14" s="6"/>
      <c r="D14" s="6" t="s">
        <v>13</v>
      </c>
      <c r="E14" s="6"/>
      <c r="F14" s="6" t="s">
        <v>13</v>
      </c>
      <c r="G14" s="6"/>
    </row>
    <row r="17" customFormat="false" ht="15" hidden="false" customHeight="false" outlineLevel="0" collapsed="false">
      <c r="A17" s="1" t="s">
        <v>23</v>
      </c>
    </row>
    <row r="18" customFormat="false" ht="30" hidden="false" customHeight="true" outlineLevel="0" collapsed="false">
      <c r="A18" s="3"/>
      <c r="B18" s="4" t="s">
        <v>3</v>
      </c>
      <c r="C18" s="4"/>
      <c r="D18" s="4" t="s">
        <v>4</v>
      </c>
      <c r="E18" s="4"/>
      <c r="F18" s="4" t="s">
        <v>5</v>
      </c>
      <c r="G18" s="4"/>
    </row>
    <row r="19" customFormat="false" ht="30" hidden="false" customHeight="true" outlineLevel="0" collapsed="false">
      <c r="A19" s="5"/>
      <c r="B19" s="6" t="s">
        <v>24</v>
      </c>
      <c r="C19" s="6" t="s">
        <v>25</v>
      </c>
      <c r="D19" s="6" t="s">
        <v>24</v>
      </c>
      <c r="E19" s="6" t="s">
        <v>25</v>
      </c>
      <c r="F19" s="6" t="s">
        <v>24</v>
      </c>
      <c r="G19" s="6" t="s">
        <v>25</v>
      </c>
    </row>
    <row r="20" customFormat="false" ht="15" hidden="false" customHeight="false" outlineLevel="0" collapsed="false">
      <c r="A20" s="7" t="s">
        <v>8</v>
      </c>
      <c r="B20" s="8" t="str">
        <f aca="false">IF(Estimates!H31="","n/a",TEXT(Estimates!D31,"0.000")&amp;IF(Estimates!H31&lt;0.01,"***",IF(Estimates!H31&lt;0.05,"**",IF(Estimates!H31&lt;0.1,"*",""))))</f>
        <v>-0.612***</v>
      </c>
      <c r="C20" s="8" t="str">
        <f aca="false">IF(Estimates!H32="","n/a",TEXT(Estimates!D32,"0.000")&amp;IF(Estimates!H32&lt;0.01,"***",IF(Estimates!H32&lt;0.05,"**",IF(Estimates!H32&lt;0.1,"*",""))))</f>
        <v>-0.027</v>
      </c>
      <c r="D20" s="8" t="str">
        <f aca="false">IF(Estimates!H33="","n/a",TEXT(Estimates!D33,"0.000")&amp;IF(Estimates!H33&lt;0.01,"***",IF(Estimates!H33&lt;0.05,"**",IF(Estimates!H33&lt;0.1,"*",""))))</f>
        <v>-0.456</v>
      </c>
      <c r="E20" s="8" t="str">
        <f aca="false">IF(Estimates!H34="","n/a",TEXT(Estimates!D34,"0.000")&amp;IF(Estimates!H34&lt;0.01,"***",IF(Estimates!H34&lt;0.05,"**",IF(Estimates!H34&lt;0.1,"*",""))))</f>
        <v>-0.673**</v>
      </c>
      <c r="F20" s="8" t="str">
        <f aca="false">IF(Estimates!H35="","n/a",TEXT(Estimates!D35,"0.000")&amp;IF(Estimates!H35&lt;0.01,"***",IF(Estimates!H35&lt;0.05,"**",IF(Estimates!H35&lt;0.1,"*",""))))</f>
        <v>-0.284</v>
      </c>
      <c r="G20" s="8" t="str">
        <f aca="false">IF(Estimates!H36="","n/a",TEXT(Estimates!D36,"0.000")&amp;IF(Estimates!H36&lt;0.01,"***",IF(Estimates!H36&lt;0.05,"**",IF(Estimates!H36&lt;0.1,"*",""))))</f>
        <v>-0.449</v>
      </c>
    </row>
    <row r="21" customFormat="false" ht="15" hidden="false" customHeight="false" outlineLevel="0" collapsed="false">
      <c r="B21" s="8" t="str">
        <f aca="false">IF(Estimates!G31="","","("&amp;TEXT(Estimates!G31,"0.00")&amp;")")</f>
        <v>(-2.88)</v>
      </c>
      <c r="C21" s="8" t="str">
        <f aca="false">IF(Estimates!G32="","","("&amp;TEXT(Estimates!G32,"0.00")&amp;")")</f>
        <v>(-0.09)</v>
      </c>
      <c r="D21" s="8" t="str">
        <f aca="false">IF(Estimates!G33="","","("&amp;TEXT(Estimates!G33,"0.00")&amp;")")</f>
        <v>(-1.64)</v>
      </c>
      <c r="E21" s="8" t="str">
        <f aca="false">IF(Estimates!G34="","","("&amp;TEXT(Estimates!G34,"0.00")&amp;")")</f>
        <v>(-2.00)</v>
      </c>
      <c r="F21" s="8" t="str">
        <f aca="false">IF(Estimates!G35="","","("&amp;TEXT(Estimates!G35,"0.00")&amp;")")</f>
        <v>(-1.55)</v>
      </c>
      <c r="G21" s="8" t="str">
        <f aca="false">IF(Estimates!G36="","","("&amp;TEXT(Estimates!G36,"0.00")&amp;")")</f>
        <v>(-1.33)</v>
      </c>
    </row>
    <row r="23" customFormat="false" ht="15" hidden="false" customHeight="false" outlineLevel="0" collapsed="false">
      <c r="A23" s="7" t="s">
        <v>9</v>
      </c>
      <c r="B23" s="9" t="n">
        <f aca="false">IF(Estimates!H37="","",Estimates!H37)</f>
        <v>0.134222642269026</v>
      </c>
      <c r="C23" s="9"/>
      <c r="D23" s="9" t="n">
        <f aca="false">IF(Estimates!H38="","",Estimates!H38)</f>
        <v>0.593070885714367</v>
      </c>
      <c r="E23" s="9"/>
      <c r="F23" s="9" t="n">
        <f aca="false">IF(Estimates!H39="","",Estimates!H39)</f>
        <v>0.66311730112471</v>
      </c>
      <c r="G23" s="9"/>
    </row>
    <row r="24" customFormat="false" ht="15" hidden="false" customHeight="false" outlineLevel="0" collapsed="false">
      <c r="A24" s="7" t="s">
        <v>10</v>
      </c>
      <c r="B24" s="10" t="n">
        <v>1567</v>
      </c>
      <c r="C24" s="10"/>
      <c r="D24" s="10" t="n">
        <v>1127</v>
      </c>
      <c r="E24" s="10"/>
      <c r="F24" s="10" t="n">
        <v>1378</v>
      </c>
      <c r="G24" s="10"/>
    </row>
    <row r="25" customFormat="false" ht="15" hidden="false" customHeight="false" outlineLevel="0" collapsed="false">
      <c r="A25" s="7" t="s">
        <v>11</v>
      </c>
      <c r="B25" s="9" t="n">
        <v>0.0522393824821904</v>
      </c>
      <c r="C25" s="9"/>
      <c r="D25" s="9" t="n">
        <v>0.125426065320399</v>
      </c>
      <c r="E25" s="9"/>
      <c r="F25" s="9" t="n">
        <v>0.124625564780964</v>
      </c>
      <c r="G25" s="9"/>
    </row>
    <row r="26" customFormat="false" ht="15" hidden="false" customHeight="true" outlineLevel="0" collapsed="false">
      <c r="A26" s="7" t="s">
        <v>12</v>
      </c>
      <c r="B26" s="11" t="s">
        <v>13</v>
      </c>
      <c r="C26" s="11"/>
      <c r="D26" s="11" t="s">
        <v>13</v>
      </c>
      <c r="E26" s="11"/>
      <c r="F26" s="11" t="s">
        <v>13</v>
      </c>
      <c r="G26" s="11"/>
    </row>
    <row r="27" customFormat="false" ht="15" hidden="false" customHeight="true" outlineLevel="0" collapsed="false">
      <c r="A27" s="12" t="s">
        <v>14</v>
      </c>
      <c r="B27" s="6" t="s">
        <v>13</v>
      </c>
      <c r="C27" s="6"/>
      <c r="D27" s="6" t="s">
        <v>13</v>
      </c>
      <c r="E27" s="6"/>
      <c r="F27" s="6" t="s">
        <v>13</v>
      </c>
      <c r="G27" s="6"/>
    </row>
  </sheetData>
  <mergeCells count="37">
    <mergeCell ref="A2:G2"/>
    <mergeCell ref="B5:C5"/>
    <mergeCell ref="D5:E5"/>
    <mergeCell ref="F5:G5"/>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C18"/>
    <mergeCell ref="D18:E18"/>
    <mergeCell ref="F18:G18"/>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4"/>
  </cols>
  <sheetData>
    <row r="1" customFormat="false" ht="15" hidden="false" customHeight="false" outlineLevel="0" collapsed="false">
      <c r="A1" s="1" t="s">
        <v>26</v>
      </c>
    </row>
    <row r="2" customFormat="false" ht="210" hidden="false" customHeight="true" outlineLevel="0" collapsed="false">
      <c r="A2" s="2" t="s">
        <v>27</v>
      </c>
      <c r="B2" s="2"/>
      <c r="C2" s="2"/>
      <c r="D2" s="2"/>
      <c r="E2" s="2"/>
      <c r="F2" s="2"/>
      <c r="G2" s="2"/>
    </row>
    <row r="4" customFormat="false" ht="15" hidden="false" customHeight="false" outlineLevel="0" collapsed="false">
      <c r="A4" s="1" t="s">
        <v>28</v>
      </c>
    </row>
    <row r="5" customFormat="false" ht="30" hidden="false" customHeight="true" outlineLevel="0" collapsed="false">
      <c r="A5" s="3"/>
      <c r="B5" s="4" t="s">
        <v>3</v>
      </c>
      <c r="C5" s="4"/>
      <c r="D5" s="4" t="s">
        <v>4</v>
      </c>
      <c r="E5" s="4"/>
      <c r="F5" s="4" t="s">
        <v>5</v>
      </c>
      <c r="G5" s="4"/>
    </row>
    <row r="6" customFormat="false" ht="30" hidden="false" customHeight="true" outlineLevel="0" collapsed="false">
      <c r="A6" s="5"/>
      <c r="B6" s="6" t="s">
        <v>29</v>
      </c>
      <c r="C6" s="6" t="s">
        <v>30</v>
      </c>
      <c r="D6" s="6" t="s">
        <v>29</v>
      </c>
      <c r="E6" s="6" t="s">
        <v>30</v>
      </c>
      <c r="F6" s="6" t="s">
        <v>29</v>
      </c>
      <c r="G6" s="6" t="s">
        <v>30</v>
      </c>
    </row>
    <row r="7" customFormat="false" ht="15" hidden="false" customHeight="false" outlineLevel="0" collapsed="false">
      <c r="A7" s="7" t="s">
        <v>8</v>
      </c>
      <c r="B7" s="8" t="str">
        <f aca="false">IF(Estimates!H40="","n/a",TEXT(Estimates!D40,"0.000")&amp;IF(Estimates!H40&lt;0.01,"***",IF(Estimates!H40&lt;0.05,"**",IF(Estimates!H40&lt;0.1,"*",""))))</f>
        <v>-1.409</v>
      </c>
      <c r="C7" s="8" t="str">
        <f aca="false">IF(Estimates!H41="","n/a",TEXT(Estimates!D41,"0.000")&amp;IF(Estimates!H41&lt;0.01,"***",IF(Estimates!H41&lt;0.05,"**",IF(Estimates!H41&lt;0.1,"*",""))))</f>
        <v>-0.382</v>
      </c>
      <c r="D7" s="8" t="str">
        <f aca="false">IF(Estimates!H42="","n/a",TEXT(Estimates!D42,"0.000")&amp;IF(Estimates!H42&lt;0.01,"***",IF(Estimates!H42&lt;0.05,"**",IF(Estimates!H42&lt;0.1,"*",""))))</f>
        <v>-0.849</v>
      </c>
      <c r="E7" s="8" t="str">
        <f aca="false">IF(Estimates!H43="","n/a",TEXT(Estimates!D43,"0.000")&amp;IF(Estimates!H43&lt;0.01,"***",IF(Estimates!H43&lt;0.05,"**",IF(Estimates!H43&lt;0.1,"*",""))))</f>
        <v>-0.339*</v>
      </c>
      <c r="F7" s="8" t="str">
        <f aca="false">IF(Estimates!H44="","n/a",TEXT(Estimates!D44,"0.000")&amp;IF(Estimates!H44&lt;0.01,"***",IF(Estimates!H44&lt;0.05,"**",IF(Estimates!H44&lt;0.1,"*",""))))</f>
        <v>-0.964***</v>
      </c>
      <c r="G7" s="8" t="str">
        <f aca="false">IF(Estimates!H45="","n/a",TEXT(Estimates!D45,"0.000")&amp;IF(Estimates!H45&lt;0.01,"***",IF(Estimates!H45&lt;0.05,"**",IF(Estimates!H45&lt;0.1,"*",""))))</f>
        <v>-0.094</v>
      </c>
    </row>
    <row r="8" customFormat="false" ht="15" hidden="false" customHeight="false" outlineLevel="0" collapsed="false">
      <c r="B8" s="8" t="str">
        <f aca="false">IF(Estimates!G40="","","("&amp;TEXT(Estimates!G40,"0.00")&amp;")")</f>
        <v>(-1.45)</v>
      </c>
      <c r="C8" s="8" t="str">
        <f aca="false">IF(Estimates!G41="","","("&amp;TEXT(Estimates!G41,"0.00")&amp;")")</f>
        <v>(-1.26)</v>
      </c>
      <c r="D8" s="8" t="str">
        <f aca="false">IF(Estimates!G42="","","("&amp;TEXT(Estimates!G42,"0.00")&amp;")")</f>
        <v>(-1.10)</v>
      </c>
      <c r="E8" s="8" t="str">
        <f aca="false">IF(Estimates!G43="","","("&amp;TEXT(Estimates!G43,"0.00")&amp;")")</f>
        <v>(-1.98)</v>
      </c>
      <c r="F8" s="8" t="str">
        <f aca="false">IF(Estimates!G44="","","("&amp;TEXT(Estimates!G44,"0.00")&amp;")")</f>
        <v>(-3.64)</v>
      </c>
      <c r="G8" s="8" t="str">
        <f aca="false">IF(Estimates!G45="","","("&amp;TEXT(Estimates!G45,"0.00")&amp;")")</f>
        <v>(-0.65)</v>
      </c>
    </row>
    <row r="10" customFormat="false" ht="15" hidden="false" customHeight="false" outlineLevel="0" collapsed="false">
      <c r="A10" s="7" t="s">
        <v>9</v>
      </c>
      <c r="B10" s="9" t="n">
        <f aca="false">IF(Estimates!H46="","",Estimates!H46)</f>
        <v>0.418795613138911</v>
      </c>
      <c r="C10" s="9"/>
      <c r="D10" s="9" t="n">
        <f aca="false">IF(Estimates!H47="","",Estimates!H47)</f>
        <v>0.535035250535236</v>
      </c>
      <c r="E10" s="9"/>
      <c r="F10" s="9" t="n">
        <f aca="false">IF(Estimates!H48="","",Estimates!H48)</f>
        <v>0.0184175265073535</v>
      </c>
      <c r="G10" s="9"/>
    </row>
    <row r="11" customFormat="false" ht="15" hidden="false" customHeight="false" outlineLevel="0" collapsed="false">
      <c r="A11" s="7" t="s">
        <v>10</v>
      </c>
      <c r="B11" s="10" t="n">
        <v>1552</v>
      </c>
      <c r="C11" s="10"/>
      <c r="D11" s="10" t="n">
        <v>1116</v>
      </c>
      <c r="E11" s="10"/>
      <c r="F11" s="10" t="n">
        <v>1365</v>
      </c>
      <c r="G11" s="10"/>
    </row>
    <row r="12" customFormat="false" ht="15" hidden="false" customHeight="false" outlineLevel="0" collapsed="false">
      <c r="A12" s="7" t="s">
        <v>11</v>
      </c>
      <c r="B12" s="9" t="n">
        <v>0.065747272805162</v>
      </c>
      <c r="C12" s="9"/>
      <c r="D12" s="9" t="n">
        <v>0.154154921344753</v>
      </c>
      <c r="E12" s="9"/>
      <c r="F12" s="9" t="n">
        <v>0.137073759379891</v>
      </c>
      <c r="G12" s="9"/>
    </row>
    <row r="13" customFormat="false" ht="15" hidden="false" customHeight="true" outlineLevel="0" collapsed="false">
      <c r="A13" s="7" t="s">
        <v>12</v>
      </c>
      <c r="B13" s="11" t="s">
        <v>13</v>
      </c>
      <c r="C13" s="11"/>
      <c r="D13" s="11" t="s">
        <v>13</v>
      </c>
      <c r="E13" s="11"/>
      <c r="F13" s="11" t="s">
        <v>13</v>
      </c>
      <c r="G13" s="11"/>
    </row>
    <row r="14" customFormat="false" ht="15" hidden="false" customHeight="true" outlineLevel="0" collapsed="false">
      <c r="A14" s="12" t="s">
        <v>14</v>
      </c>
      <c r="B14" s="6" t="s">
        <v>13</v>
      </c>
      <c r="C14" s="6"/>
      <c r="D14" s="6" t="s">
        <v>13</v>
      </c>
      <c r="E14" s="6"/>
      <c r="F14" s="6" t="s">
        <v>13</v>
      </c>
      <c r="G14" s="6"/>
    </row>
    <row r="17" customFormat="false" ht="15" hidden="false" customHeight="false" outlineLevel="0" collapsed="false">
      <c r="A17" s="1" t="s">
        <v>31</v>
      </c>
    </row>
    <row r="18" customFormat="false" ht="30" hidden="false" customHeight="true" outlineLevel="0" collapsed="false">
      <c r="A18" s="3"/>
      <c r="B18" s="4" t="s">
        <v>3</v>
      </c>
      <c r="C18" s="4"/>
      <c r="D18" s="4" t="s">
        <v>4</v>
      </c>
      <c r="E18" s="4"/>
      <c r="F18" s="4" t="s">
        <v>5</v>
      </c>
      <c r="G18" s="4"/>
    </row>
    <row r="19" customFormat="false" ht="30" hidden="false" customHeight="true" outlineLevel="0" collapsed="false">
      <c r="A19" s="5"/>
      <c r="B19" s="6" t="s">
        <v>32</v>
      </c>
      <c r="C19" s="6" t="s">
        <v>33</v>
      </c>
      <c r="D19" s="6" t="s">
        <v>32</v>
      </c>
      <c r="E19" s="6" t="s">
        <v>33</v>
      </c>
      <c r="F19" s="6" t="s">
        <v>32</v>
      </c>
      <c r="G19" s="6" t="s">
        <v>33</v>
      </c>
    </row>
    <row r="20" customFormat="false" ht="15" hidden="false" customHeight="false" outlineLevel="0" collapsed="false">
      <c r="A20" s="7" t="s">
        <v>8</v>
      </c>
      <c r="B20" s="8" t="str">
        <f aca="false">IF(Estimates!H49="","n/a",TEXT(Estimates!D49,"0.000")&amp;IF(Estimates!H49&lt;0.01,"***",IF(Estimates!H49&lt;0.05,"**",IF(Estimates!H49&lt;0.1,"*",""))))</f>
        <v>-1.356***</v>
      </c>
      <c r="C20" s="8" t="str">
        <f aca="false">IF(Estimates!H50="","n/a",TEXT(Estimates!D50,"0.000")&amp;IF(Estimates!H50&lt;0.01,"***",IF(Estimates!H50&lt;0.05,"**",IF(Estimates!H50&lt;0.1,"*",""))))</f>
        <v>-0.314*</v>
      </c>
      <c r="D20" s="8" t="str">
        <f aca="false">IF(Estimates!H51="","n/a",TEXT(Estimates!D51,"0.000")&amp;IF(Estimates!H51&lt;0.01,"***",IF(Estimates!H51&lt;0.05,"**",IF(Estimates!H51&lt;0.1,"*",""))))</f>
        <v>-1.077</v>
      </c>
      <c r="E20" s="8" t="str">
        <f aca="false">IF(Estimates!H52="","n/a",TEXT(Estimates!D52,"0.000")&amp;IF(Estimates!H52&lt;0.01,"***",IF(Estimates!H52&lt;0.05,"**",IF(Estimates!H52&lt;0.1,"*",""))))</f>
        <v>-0.434</v>
      </c>
      <c r="F20" s="8" t="str">
        <f aca="false">IF(Estimates!H53="","n/a",TEXT(Estimates!D53,"0.000")&amp;IF(Estimates!H53&lt;0.01,"***",IF(Estimates!H53&lt;0.05,"**",IF(Estimates!H53&lt;0.1,"*",""))))</f>
        <v>-0.983**</v>
      </c>
      <c r="G20" s="8" t="str">
        <f aca="false">IF(Estimates!H54="","n/a",TEXT(Estimates!D54,"0.000")&amp;IF(Estimates!H54&lt;0.01,"***",IF(Estimates!H54&lt;0.05,"**",IF(Estimates!H54&lt;0.1,"*",""))))</f>
        <v>-0.185*</v>
      </c>
    </row>
    <row r="21" customFormat="false" ht="15" hidden="false" customHeight="false" outlineLevel="0" collapsed="false">
      <c r="B21" s="8" t="str">
        <f aca="false">IF(Estimates!G49="","","("&amp;TEXT(Estimates!G49,"0.00")&amp;")")</f>
        <v>(-7.00)</v>
      </c>
      <c r="C21" s="8" t="str">
        <f aca="false">IF(Estimates!G50="","","("&amp;TEXT(Estimates!G50,"0.00")&amp;")")</f>
        <v>(-2.03)</v>
      </c>
      <c r="D21" s="8" t="str">
        <f aca="false">IF(Estimates!G51="","","("&amp;TEXT(Estimates!G51,"0.00")&amp;")")</f>
        <v>(-1.67)</v>
      </c>
      <c r="E21" s="8" t="str">
        <f aca="false">IF(Estimates!G52="","","("&amp;TEXT(Estimates!G52,"0.00")&amp;")")</f>
        <v>(-1.69)</v>
      </c>
      <c r="F21" s="8" t="str">
        <f aca="false">IF(Estimates!G53="","","("&amp;TEXT(Estimates!G53,"0.00")&amp;")")</f>
        <v>(-2.29)</v>
      </c>
      <c r="G21" s="8" t="str">
        <f aca="false">IF(Estimates!G54="","","("&amp;TEXT(Estimates!G54,"0.00")&amp;")")</f>
        <v>(-1.92)</v>
      </c>
    </row>
    <row r="23" customFormat="false" ht="15" hidden="false" customHeight="false" outlineLevel="0" collapsed="false">
      <c r="A23" s="7" t="s">
        <v>9</v>
      </c>
      <c r="B23" s="9" t="n">
        <f aca="false">IF(Estimates!H55="","",Estimates!H55)</f>
        <v>6.15403052106177E-005</v>
      </c>
      <c r="C23" s="9"/>
      <c r="D23" s="9" t="n">
        <f aca="false">IF(Estimates!H56="","",Estimates!H56)</f>
        <v>0.407519508752102</v>
      </c>
      <c r="E23" s="9"/>
      <c r="F23" s="9" t="n">
        <f aca="false">IF(Estimates!H57="","",Estimates!H57)</f>
        <v>0.0877793698704087</v>
      </c>
      <c r="G23" s="9"/>
    </row>
    <row r="24" customFormat="false" ht="15" hidden="false" customHeight="false" outlineLevel="0" collapsed="false">
      <c r="A24" s="7" t="s">
        <v>10</v>
      </c>
      <c r="B24" s="10" t="n">
        <v>1660</v>
      </c>
      <c r="C24" s="10"/>
      <c r="D24" s="10" t="n">
        <v>1200</v>
      </c>
      <c r="E24" s="10"/>
      <c r="F24" s="10" t="n">
        <v>1458</v>
      </c>
      <c r="G24" s="10"/>
    </row>
    <row r="25" customFormat="false" ht="15" hidden="false" customHeight="false" outlineLevel="0" collapsed="false">
      <c r="A25" s="7" t="s">
        <v>11</v>
      </c>
      <c r="B25" s="9" t="n">
        <v>0.0530925938341124</v>
      </c>
      <c r="C25" s="9"/>
      <c r="D25" s="9" t="n">
        <v>0.136613528889416</v>
      </c>
      <c r="E25" s="9"/>
      <c r="F25" s="9" t="n">
        <v>0.136881546722364</v>
      </c>
      <c r="G25" s="9"/>
    </row>
    <row r="26" customFormat="false" ht="15" hidden="false" customHeight="true" outlineLevel="0" collapsed="false">
      <c r="A26" s="7" t="s">
        <v>12</v>
      </c>
      <c r="B26" s="11" t="s">
        <v>13</v>
      </c>
      <c r="C26" s="11"/>
      <c r="D26" s="11" t="s">
        <v>13</v>
      </c>
      <c r="E26" s="11"/>
      <c r="F26" s="11" t="s">
        <v>13</v>
      </c>
      <c r="G26" s="11"/>
    </row>
    <row r="27" customFormat="false" ht="15" hidden="false" customHeight="true" outlineLevel="0" collapsed="false">
      <c r="A27" s="12" t="s">
        <v>14</v>
      </c>
      <c r="B27" s="6" t="s">
        <v>13</v>
      </c>
      <c r="C27" s="6"/>
      <c r="D27" s="6" t="s">
        <v>13</v>
      </c>
      <c r="E27" s="6"/>
      <c r="F27" s="6" t="s">
        <v>13</v>
      </c>
      <c r="G27" s="6"/>
    </row>
  </sheetData>
  <mergeCells count="37">
    <mergeCell ref="A2:G2"/>
    <mergeCell ref="B5:C5"/>
    <mergeCell ref="D5:E5"/>
    <mergeCell ref="F5:G5"/>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C18"/>
    <mergeCell ref="D18:E18"/>
    <mergeCell ref="F18:G18"/>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5" min="2" style="0" width="16"/>
  </cols>
  <sheetData>
    <row r="1" customFormat="false" ht="15" hidden="false" customHeight="false" outlineLevel="0" collapsed="false">
      <c r="A1" s="1" t="s">
        <v>34</v>
      </c>
    </row>
    <row r="2" customFormat="false" ht="69.75" hidden="false" customHeight="true" outlineLevel="0" collapsed="false">
      <c r="A2" s="2" t="s">
        <v>35</v>
      </c>
      <c r="B2" s="2"/>
      <c r="C2" s="2"/>
      <c r="D2" s="2"/>
      <c r="E2" s="2"/>
    </row>
    <row r="4" customFormat="false" ht="15" hidden="false" customHeight="false" outlineLevel="0" collapsed="false">
      <c r="A4" s="1" t="s">
        <v>36</v>
      </c>
    </row>
    <row r="5" customFormat="false" ht="30" hidden="false" customHeight="true" outlineLevel="0" collapsed="false">
      <c r="A5" s="13"/>
      <c r="B5" s="14" t="s">
        <v>37</v>
      </c>
      <c r="C5" s="14" t="s">
        <v>38</v>
      </c>
      <c r="D5" s="14" t="s">
        <v>39</v>
      </c>
      <c r="E5" s="14" t="s">
        <v>10</v>
      </c>
    </row>
    <row r="6" customFormat="false" ht="15" hidden="false" customHeight="false" outlineLevel="0" collapsed="false">
      <c r="A6" s="1" t="s">
        <v>40</v>
      </c>
      <c r="B6" s="8" t="str">
        <f aca="false">IF(Estimates!H58="","n/a",TEXT(Estimates!D58,"0.000")&amp;IF(Estimates!H58&lt;0.01,"***",IF(Estimates!H58&lt;0.05,"**",IF(Estimates!H58&lt;0.1,"*",""))))</f>
        <v>-0.870***</v>
      </c>
      <c r="C6" s="8" t="str">
        <f aca="false">IF(Estimates!H59="","n/a",TEXT(Estimates!D59,"0.000")&amp;IF(Estimates!H59&lt;0.01,"***",IF(Estimates!H59&lt;0.05,"**",IF(Estimates!H59&lt;0.1,"*",""))))</f>
        <v>-0.394</v>
      </c>
      <c r="D6" s="15" t="n">
        <f aca="false">IF(Estimates!H60="","",Estimates!H60)</f>
        <v>0.101172747488938</v>
      </c>
      <c r="E6" s="16" t="n">
        <v>1495</v>
      </c>
    </row>
    <row r="7" customFormat="false" ht="15" hidden="false" customHeight="false" outlineLevel="0" collapsed="false">
      <c r="B7" s="8" t="str">
        <f aca="false">IF(Estimates!G58="","","("&amp;TEXT(Estimates!G58,"0.00")&amp;")")</f>
        <v>(-4.27)</v>
      </c>
      <c r="C7" s="8" t="str">
        <f aca="false">IF(Estimates!G59="","","("&amp;TEXT(Estimates!G59,"0.00")&amp;")")</f>
        <v>(-1.51)</v>
      </c>
    </row>
    <row r="8" customFormat="false" ht="15" hidden="false" customHeight="false" outlineLevel="0" collapsed="false">
      <c r="A8" s="7" t="s">
        <v>41</v>
      </c>
      <c r="B8" s="8" t="str">
        <f aca="false">IF(Estimates!H61="","n/a",TEXT(Estimates!D61,"0.000")&amp;IF(Estimates!H61&lt;0.01,"***",IF(Estimates!H61&lt;0.05,"**",IF(Estimates!H61&lt;0.1,"*",""))))</f>
        <v>-0.674*</v>
      </c>
      <c r="C8" s="8" t="str">
        <f aca="false">IF(Estimates!H62="","n/a",TEXT(Estimates!D62,"0.000")&amp;IF(Estimates!H62&lt;0.01,"***",IF(Estimates!H62&lt;0.05,"**",IF(Estimates!H62&lt;0.1,"*",""))))</f>
        <v>-0.474</v>
      </c>
      <c r="D8" s="15" t="n">
        <f aca="false">IF(Estimates!H63="","",Estimates!H63)</f>
        <v>0.658221994508034</v>
      </c>
      <c r="E8" s="16" t="n">
        <v>1061</v>
      </c>
    </row>
    <row r="9" customFormat="false" ht="15" hidden="false" customHeight="false" outlineLevel="0" collapsed="false">
      <c r="B9" s="8" t="str">
        <f aca="false">IF(Estimates!G61="","","("&amp;TEXT(Estimates!G61,"0.00")&amp;")")</f>
        <v>(-1.75)</v>
      </c>
      <c r="C9" s="8" t="str">
        <f aca="false">IF(Estimates!G62="","","("&amp;TEXT(Estimates!G62,"0.00")&amp;")")</f>
        <v>(-1.72)</v>
      </c>
    </row>
    <row r="10" customFormat="false" ht="15" hidden="false" customHeight="false" outlineLevel="0" collapsed="false">
      <c r="A10" s="1" t="s">
        <v>42</v>
      </c>
      <c r="B10" s="8" t="str">
        <f aca="false">IF(Estimates!H64="","n/a",TEXT(Estimates!D64,"0.000")&amp;IF(Estimates!H64&lt;0.01,"***",IF(Estimates!H64&lt;0.05,"**",IF(Estimates!H64&lt;0.1,"*",""))))</f>
        <v>-0.704***</v>
      </c>
      <c r="C10" s="8" t="str">
        <f aca="false">IF(Estimates!H65="","n/a",TEXT(Estimates!D65,"0.000")&amp;IF(Estimates!H65&lt;0.01,"***",IF(Estimates!H65&lt;0.05,"**",IF(Estimates!H65&lt;0.1,"*",""))))</f>
        <v>-0.193</v>
      </c>
      <c r="D10" s="15" t="n">
        <f aca="false">IF(Estimates!H66="","",Estimates!H66)</f>
        <v>0.117212192395935</v>
      </c>
      <c r="E10" s="16" t="n">
        <v>1308</v>
      </c>
    </row>
    <row r="11" customFormat="false" ht="15" hidden="false" customHeight="false" outlineLevel="0" collapsed="false">
      <c r="B11" s="8" t="str">
        <f aca="false">IF(Estimates!G64="","","("&amp;TEXT(Estimates!G64,"0.00")&amp;")")</f>
        <v>(-2.98)</v>
      </c>
      <c r="C11" s="8" t="str">
        <f aca="false">IF(Estimates!G65="","","("&amp;TEXT(Estimates!G65,"0.00")&amp;")")</f>
        <v>(-1.00)</v>
      </c>
    </row>
    <row r="12" customFormat="false" ht="15" hidden="false" customHeight="false" outlineLevel="0" collapsed="false">
      <c r="A12" s="7" t="s">
        <v>43</v>
      </c>
      <c r="B12" s="8" t="str">
        <f aca="false">IF(Estimates!H67="","n/a",TEXT(Estimates!D67,"0.000")&amp;IF(Estimates!H67&lt;0.01,"***",IF(Estimates!H67&lt;0.05,"**",IF(Estimates!H67&lt;0.1,"*",""))))</f>
        <v>-0.593***</v>
      </c>
      <c r="C12" s="8" t="str">
        <f aca="false">IF(Estimates!H68="","n/a",TEXT(Estimates!D68,"0.000")&amp;IF(Estimates!H68&lt;0.01,"***",IF(Estimates!H68&lt;0.05,"**",IF(Estimates!H68&lt;0.1,"*",""))))</f>
        <v>-0.166</v>
      </c>
      <c r="D12" s="15" t="n">
        <f aca="false">IF(Estimates!H69="","",Estimates!H69)</f>
        <v>0.135938635977034</v>
      </c>
      <c r="E12" s="16" t="n">
        <v>1243</v>
      </c>
    </row>
    <row r="13" customFormat="false" ht="15" hidden="false" customHeight="false" outlineLevel="0" collapsed="false">
      <c r="B13" s="8" t="str">
        <f aca="false">IF(Estimates!G67="","","("&amp;TEXT(Estimates!G67,"0.00")&amp;")")</f>
        <v>(-3.10)</v>
      </c>
      <c r="C13" s="8" t="str">
        <f aca="false">IF(Estimates!G68="","","("&amp;TEXT(Estimates!G68,"0.00")&amp;")")</f>
        <v>(-0.87)</v>
      </c>
    </row>
    <row r="14" customFormat="false" ht="15" hidden="false" customHeight="false" outlineLevel="0" collapsed="false">
      <c r="A14" s="7" t="s">
        <v>44</v>
      </c>
      <c r="B14" s="8" t="str">
        <f aca="false">IF(Estimates!H70="","n/a",TEXT(Estimates!D70,"0.000")&amp;IF(Estimates!H70&lt;0.01,"***",IF(Estimates!H70&lt;0.05,"**",IF(Estimates!H70&lt;0.1,"*",""))))</f>
        <v>-0.651***</v>
      </c>
      <c r="C14" s="8" t="str">
        <f aca="false">IF(Estimates!H71="","n/a",TEXT(Estimates!D71,"0.000")&amp;IF(Estimates!H71&lt;0.01,"***",IF(Estimates!H71&lt;0.05,"**",IF(Estimates!H71&lt;0.1,"*",""))))</f>
        <v>-0.182</v>
      </c>
      <c r="D14" s="15" t="n">
        <f aca="false">IF(Estimates!H72="","",Estimates!H72)</f>
        <v>0.149209168022295</v>
      </c>
      <c r="E14" s="16" t="n">
        <v>1438</v>
      </c>
    </row>
    <row r="15" customFormat="false" ht="15" hidden="false" customHeight="false" outlineLevel="0" collapsed="false">
      <c r="B15" s="8" t="str">
        <f aca="false">IF(Estimates!G70="","","("&amp;TEXT(Estimates!G70,"0.00")&amp;")")</f>
        <v>(-3.13)</v>
      </c>
      <c r="C15" s="8" t="str">
        <f aca="false">IF(Estimates!G71="","","("&amp;TEXT(Estimates!G71,"0.00")&amp;")")</f>
        <v>(-0.86)</v>
      </c>
    </row>
    <row r="16" customFormat="false" ht="15" hidden="false" customHeight="false" outlineLevel="0" collapsed="false">
      <c r="A16" s="7" t="s">
        <v>45</v>
      </c>
      <c r="B16" s="8" t="str">
        <f aca="false">IF(Estimates!H73="","n/a",TEXT(Estimates!D73,"0.000")&amp;IF(Estimates!H73&lt;0.01,"***",IF(Estimates!H73&lt;0.05,"**",IF(Estimates!H73&lt;0.1,"*",""))))</f>
        <v>-0.744***</v>
      </c>
      <c r="C16" s="8" t="str">
        <f aca="false">IF(Estimates!H74="","n/a",TEXT(Estimates!D74,"0.000")&amp;IF(Estimates!H74&lt;0.01,"***",IF(Estimates!H74&lt;0.05,"**",IF(Estimates!H74&lt;0.1,"*",""))))</f>
        <v>-0.222</v>
      </c>
      <c r="D16" s="15" t="n">
        <f aca="false">IF(Estimates!H75="","",Estimates!H75)</f>
        <v>0.0711788757926388</v>
      </c>
      <c r="E16" s="16" t="n">
        <v>1308</v>
      </c>
    </row>
    <row r="17" customFormat="false" ht="15" hidden="false" customHeight="false" outlineLevel="0" collapsed="false">
      <c r="B17" s="8" t="str">
        <f aca="false">IF(Estimates!G73="","","("&amp;TEXT(Estimates!G73,"0.00")&amp;")")</f>
        <v>(-3.82)</v>
      </c>
      <c r="C17" s="8" t="str">
        <f aca="false">IF(Estimates!G74="","","("&amp;TEXT(Estimates!G74,"0.00")&amp;")")</f>
        <v>(-1.26)</v>
      </c>
    </row>
    <row r="18" customFormat="false" ht="15" hidden="false" customHeight="false" outlineLevel="0" collapsed="false">
      <c r="A18" s="7" t="s">
        <v>46</v>
      </c>
      <c r="B18" s="8" t="str">
        <f aca="false">IF(Estimates!H76="","n/a",TEXT(Estimates!D76,"0.000")&amp;IF(Estimates!H76&lt;0.01,"***",IF(Estimates!H76&lt;0.05,"**",IF(Estimates!H76&lt;0.1,"*",""))))</f>
        <v>-0.776***</v>
      </c>
      <c r="C18" s="8" t="str">
        <f aca="false">IF(Estimates!H77="","n/a",TEXT(Estimates!D77,"0.000")&amp;IF(Estimates!H77&lt;0.01,"***",IF(Estimates!H77&lt;0.05,"**",IF(Estimates!H77&lt;0.1,"*",""))))</f>
        <v>-0.261</v>
      </c>
      <c r="D18" s="15" t="n">
        <f aca="false">IF(Estimates!H78="","",Estimates!H78)</f>
        <v>0.0757940395473592</v>
      </c>
      <c r="E18" s="16" t="n">
        <v>1275</v>
      </c>
    </row>
    <row r="19" customFormat="false" ht="15" hidden="false" customHeight="false" outlineLevel="0" collapsed="false">
      <c r="A19" s="5"/>
      <c r="B19" s="17" t="str">
        <f aca="false">IF(Estimates!G76="","","("&amp;TEXT(Estimates!G76,"0.00")&amp;")")</f>
        <v>(-3.92)</v>
      </c>
      <c r="C19" s="17" t="str">
        <f aca="false">IF(Estimates!G77="","","("&amp;TEXT(Estimates!G77,"0.00")&amp;")")</f>
        <v>(-1.59)</v>
      </c>
      <c r="D19" s="5"/>
      <c r="E19" s="5"/>
    </row>
    <row r="21" customFormat="false" ht="15" hidden="false" customHeight="false" outlineLevel="0" collapsed="false">
      <c r="A21" s="1" t="s">
        <v>47</v>
      </c>
    </row>
    <row r="22" customFormat="false" ht="30" hidden="false" customHeight="true" outlineLevel="0" collapsed="false">
      <c r="A22" s="13"/>
      <c r="B22" s="14" t="s">
        <v>48</v>
      </c>
      <c r="C22" s="14" t="s">
        <v>49</v>
      </c>
      <c r="D22" s="14" t="s">
        <v>39</v>
      </c>
      <c r="E22" s="14" t="s">
        <v>10</v>
      </c>
    </row>
    <row r="23" customFormat="false" ht="15" hidden="false" customHeight="false" outlineLevel="0" collapsed="false">
      <c r="A23" s="1" t="s">
        <v>40</v>
      </c>
      <c r="B23" s="8" t="str">
        <f aca="false">IF(Estimates!H79="","n/a",TEXT(Estimates!D79,"0.000")&amp;IF(Estimates!H79&lt;0.01,"***",IF(Estimates!H79&lt;0.05,"**",IF(Estimates!H79&lt;0.1,"*",""))))</f>
        <v>-1.213***</v>
      </c>
      <c r="C23" s="8" t="str">
        <f aca="false">IF(Estimates!H80="","n/a",TEXT(Estimates!D80,"0.000")&amp;IF(Estimates!H80&lt;0.01,"***",IF(Estimates!H80&lt;0.05,"**",IF(Estimates!H80&lt;0.1,"*",""))))</f>
        <v>-0.385*</v>
      </c>
      <c r="D23" s="15" t="n">
        <f aca="false">IF(Estimates!H81="","",Estimates!H81)</f>
        <v>0.0581270698279712</v>
      </c>
      <c r="E23" s="16" t="n">
        <v>1628</v>
      </c>
    </row>
    <row r="24" customFormat="false" ht="15" hidden="false" customHeight="false" outlineLevel="0" collapsed="false">
      <c r="B24" s="8" t="str">
        <f aca="false">IF(Estimates!G79="","","("&amp;TEXT(Estimates!G79,"0.00")&amp;")")</f>
        <v>(-3.56)</v>
      </c>
      <c r="C24" s="8" t="str">
        <f aca="false">IF(Estimates!G80="","","("&amp;TEXT(Estimates!G80,"0.00")&amp;")")</f>
        <v>(-1.86)</v>
      </c>
    </row>
    <row r="25" customFormat="false" ht="15" hidden="false" customHeight="false" outlineLevel="0" collapsed="false">
      <c r="A25" s="7" t="s">
        <v>41</v>
      </c>
      <c r="B25" s="8" t="str">
        <f aca="false">IF(Estimates!H82="","n/a",TEXT(Estimates!D82,"0.000")&amp;IF(Estimates!H82&lt;0.01,"***",IF(Estimates!H82&lt;0.05,"**",IF(Estimates!H82&lt;0.1,"*",""))))</f>
        <v>-0.865***</v>
      </c>
      <c r="C25" s="8" t="str">
        <f aca="false">IF(Estimates!H83="","n/a",TEXT(Estimates!D83,"0.000")&amp;IF(Estimates!H83&lt;0.01,"***",IF(Estimates!H83&lt;0.05,"**",IF(Estimates!H83&lt;0.1,"*",""))))</f>
        <v>-0.630**</v>
      </c>
      <c r="D25" s="15" t="n">
        <f aca="false">IF(Estimates!H84="","",Estimates!H84)</f>
        <v>0.615218489151691</v>
      </c>
      <c r="E25" s="16" t="n">
        <v>1165</v>
      </c>
    </row>
    <row r="26" customFormat="false" ht="15" hidden="false" customHeight="false" outlineLevel="0" collapsed="false">
      <c r="B26" s="8" t="str">
        <f aca="false">IF(Estimates!G82="","","("&amp;TEXT(Estimates!G82,"0.00")&amp;")")</f>
        <v>(-3.07)</v>
      </c>
      <c r="C26" s="8" t="str">
        <f aca="false">IF(Estimates!G83="","","("&amp;TEXT(Estimates!G83,"0.00")&amp;")")</f>
        <v>(-2.27)</v>
      </c>
    </row>
    <row r="27" customFormat="false" ht="15" hidden="false" customHeight="false" outlineLevel="0" collapsed="false">
      <c r="A27" s="1" t="s">
        <v>42</v>
      </c>
      <c r="B27" s="8" t="str">
        <f aca="false">IF(Estimates!H85="","n/a",TEXT(Estimates!D85,"0.000")&amp;IF(Estimates!H85&lt;0.01,"***",IF(Estimates!H85&lt;0.05,"**",IF(Estimates!H85&lt;0.1,"*",""))))</f>
        <v>-0.793***</v>
      </c>
      <c r="C27" s="8" t="str">
        <f aca="false">IF(Estimates!H86="","n/a",TEXT(Estimates!D86,"0.000")&amp;IF(Estimates!H86&lt;0.01,"***",IF(Estimates!H86&lt;0.05,"**",IF(Estimates!H86&lt;0.1,"*",""))))</f>
        <v>-0.364</v>
      </c>
      <c r="D27" s="15" t="n">
        <f aca="false">IF(Estimates!H87="","",Estimates!H87)</f>
        <v>0.242558435935887</v>
      </c>
      <c r="E27" s="16" t="n">
        <v>1426</v>
      </c>
    </row>
    <row r="28" customFormat="false" ht="15" hidden="false" customHeight="false" outlineLevel="0" collapsed="false">
      <c r="B28" s="8" t="str">
        <f aca="false">IF(Estimates!G85="","","("&amp;TEXT(Estimates!G85,"0.00")&amp;")")</f>
        <v>(-4.88)</v>
      </c>
      <c r="C28" s="8" t="str">
        <f aca="false">IF(Estimates!G86="","","("&amp;TEXT(Estimates!G86,"0.00")&amp;")")</f>
        <v>(-1.31)</v>
      </c>
    </row>
    <row r="29" customFormat="false" ht="15" hidden="false" customHeight="false" outlineLevel="0" collapsed="false">
      <c r="A29" s="7" t="s">
        <v>43</v>
      </c>
      <c r="B29" s="8" t="str">
        <f aca="false">IF(Estimates!H88="","n/a",TEXT(Estimates!D88,"0.000")&amp;IF(Estimates!H88&lt;0.01,"***",IF(Estimates!H88&lt;0.05,"**",IF(Estimates!H88&lt;0.1,"*",""))))</f>
        <v>-0.560***</v>
      </c>
      <c r="C29" s="8" t="str">
        <f aca="false">IF(Estimates!H89="","n/a",TEXT(Estimates!D89,"0.000")&amp;IF(Estimates!H89&lt;0.01,"***",IF(Estimates!H89&lt;0.05,"**",IF(Estimates!H89&lt;0.1,"*",""))))</f>
        <v>-0.386</v>
      </c>
      <c r="D29" s="15" t="n">
        <f aca="false">IF(Estimates!H90="","",Estimates!H90)</f>
        <v>0.631206844845895</v>
      </c>
      <c r="E29" s="16" t="n">
        <v>1358</v>
      </c>
    </row>
    <row r="30" customFormat="false" ht="15" hidden="false" customHeight="false" outlineLevel="0" collapsed="false">
      <c r="B30" s="8" t="str">
        <f aca="false">IF(Estimates!G88="","","("&amp;TEXT(Estimates!G88,"0.00")&amp;")")</f>
        <v>(-3.65)</v>
      </c>
      <c r="C30" s="8" t="str">
        <f aca="false">IF(Estimates!G89="","","("&amp;TEXT(Estimates!G89,"0.00")&amp;")")</f>
        <v>(-1.32)</v>
      </c>
    </row>
    <row r="31" customFormat="false" ht="15" hidden="false" customHeight="false" outlineLevel="0" collapsed="false">
      <c r="A31" s="7" t="s">
        <v>44</v>
      </c>
      <c r="B31" s="8" t="str">
        <f aca="false">IF(Estimates!H91="","n/a",TEXT(Estimates!D91,"0.000")&amp;IF(Estimates!H91&lt;0.01,"***",IF(Estimates!H91&lt;0.05,"**",IF(Estimates!H91&lt;0.1,"*",""))))</f>
        <v>-0.793***</v>
      </c>
      <c r="C31" s="8" t="str">
        <f aca="false">IF(Estimates!H92="","n/a",TEXT(Estimates!D92,"0.000")&amp;IF(Estimates!H92&lt;0.01,"***",IF(Estimates!H92&lt;0.05,"**",IF(Estimates!H92&lt;0.1,"*",""))))</f>
        <v>-0.313</v>
      </c>
      <c r="D31" s="15" t="n">
        <f aca="false">IF(Estimates!H93="","",Estimates!H93)</f>
        <v>0.131619783561</v>
      </c>
      <c r="E31" s="16" t="n">
        <v>1566</v>
      </c>
    </row>
    <row r="32" customFormat="false" ht="15" hidden="false" customHeight="false" outlineLevel="0" collapsed="false">
      <c r="B32" s="8" t="str">
        <f aca="false">IF(Estimates!G91="","","("&amp;TEXT(Estimates!G91,"0.00")&amp;")")</f>
        <v>(-6.09)</v>
      </c>
      <c r="C32" s="8" t="str">
        <f aca="false">IF(Estimates!G92="","","("&amp;TEXT(Estimates!G92,"0.00")&amp;")")</f>
        <v>(-1.11)</v>
      </c>
    </row>
    <row r="33" customFormat="false" ht="15" hidden="false" customHeight="false" outlineLevel="0" collapsed="false">
      <c r="A33" s="7" t="s">
        <v>45</v>
      </c>
      <c r="B33" s="8" t="str">
        <f aca="false">IF(Estimates!H94="","n/a",TEXT(Estimates!D94,"0.000")&amp;IF(Estimates!H94&lt;0.01,"***",IF(Estimates!H94&lt;0.05,"**",IF(Estimates!H94&lt;0.1,"*",""))))</f>
        <v>-0.856***</v>
      </c>
      <c r="C33" s="8" t="str">
        <f aca="false">IF(Estimates!H95="","n/a",TEXT(Estimates!D95,"0.000")&amp;IF(Estimates!H95&lt;0.01,"***",IF(Estimates!H95&lt;0.05,"**",IF(Estimates!H95&lt;0.1,"*",""))))</f>
        <v>-0.360</v>
      </c>
      <c r="D33" s="15" t="n">
        <f aca="false">IF(Estimates!H96="","",Estimates!H96)</f>
        <v>0.188773360639207</v>
      </c>
      <c r="E33" s="16" t="n">
        <v>1426</v>
      </c>
    </row>
    <row r="34" customFormat="false" ht="15" hidden="false" customHeight="false" outlineLevel="0" collapsed="false">
      <c r="B34" s="8" t="str">
        <f aca="false">IF(Estimates!G94="","","("&amp;TEXT(Estimates!G94,"0.00")&amp;")")</f>
        <v>(-4.58)</v>
      </c>
      <c r="C34" s="8" t="str">
        <f aca="false">IF(Estimates!G95="","","("&amp;TEXT(Estimates!G95,"0.00")&amp;")")</f>
        <v>(-1.34)</v>
      </c>
    </row>
    <row r="35" customFormat="false" ht="15" hidden="false" customHeight="false" outlineLevel="0" collapsed="false">
      <c r="A35" s="7" t="s">
        <v>46</v>
      </c>
      <c r="B35" s="8" t="str">
        <f aca="false">IF(Estimates!H97="","n/a",TEXT(Estimates!D97,"0.000")&amp;IF(Estimates!H97&lt;0.01,"***",IF(Estimates!H97&lt;0.05,"**",IF(Estimates!H97&lt;0.1,"*",""))))</f>
        <v>-0.850***</v>
      </c>
      <c r="C35" s="8" t="str">
        <f aca="false">IF(Estimates!H98="","n/a",TEXT(Estimates!D98,"0.000")&amp;IF(Estimates!H98&lt;0.01,"***",IF(Estimates!H98&lt;0.05,"**",IF(Estimates!H98&lt;0.1,"*",""))))</f>
        <v>-0.391</v>
      </c>
      <c r="D35" s="15" t="n">
        <f aca="false">IF(Estimates!H99="","",Estimates!H99)</f>
        <v>0.219933066270585</v>
      </c>
      <c r="E35" s="16" t="n">
        <v>1391</v>
      </c>
    </row>
    <row r="36" customFormat="false" ht="15" hidden="false" customHeight="false" outlineLevel="0" collapsed="false">
      <c r="A36" s="5"/>
      <c r="B36" s="17" t="str">
        <f aca="false">IF(Estimates!G97="","","("&amp;TEXT(Estimates!G97,"0.00")&amp;")")</f>
        <v>(-4.47)</v>
      </c>
      <c r="C36" s="17" t="str">
        <f aca="false">IF(Estimates!G98="","","("&amp;TEXT(Estimates!G98,"0.00")&amp;")")</f>
        <v>(-1.45)</v>
      </c>
      <c r="D36" s="5"/>
      <c r="E36" s="5"/>
    </row>
    <row r="38" customFormat="false" ht="15" hidden="false" customHeight="false" outlineLevel="0" collapsed="false">
      <c r="A38" s="1" t="s">
        <v>50</v>
      </c>
    </row>
    <row r="39" customFormat="false" ht="30" hidden="false" customHeight="true" outlineLevel="0" collapsed="false">
      <c r="A39" s="13"/>
      <c r="B39" s="14" t="s">
        <v>51</v>
      </c>
      <c r="C39" s="14" t="s">
        <v>52</v>
      </c>
      <c r="D39" s="14" t="s">
        <v>39</v>
      </c>
      <c r="E39" s="14" t="s">
        <v>10</v>
      </c>
    </row>
    <row r="40" customFormat="false" ht="15" hidden="false" customHeight="false" outlineLevel="0" collapsed="false">
      <c r="A40" s="1" t="s">
        <v>40</v>
      </c>
      <c r="B40" s="8" t="str">
        <f aca="false">IF(Estimates!H100="","n/a",TEXT(Estimates!D100,"0.000")&amp;IF(Estimates!H100&lt;0.01,"***",IF(Estimates!H100&lt;0.05,"**",IF(Estimates!H100&lt;0.1,"*",""))))</f>
        <v>-0.266</v>
      </c>
      <c r="C40" s="8" t="str">
        <f aca="false">IF(Estimates!H101="","n/a",TEXT(Estimates!D101,"0.000")&amp;IF(Estimates!H101&lt;0.01,"***",IF(Estimates!H101&lt;0.05,"**",IF(Estimates!H101&lt;0.1,"*",""))))</f>
        <v>-0.774**</v>
      </c>
      <c r="D40" s="15" t="n">
        <f aca="false">IF(Estimates!H102="","",Estimates!H102)</f>
        <v>0.348313299591622</v>
      </c>
      <c r="E40" s="16" t="n">
        <v>1484</v>
      </c>
    </row>
    <row r="41" customFormat="false" ht="15" hidden="false" customHeight="false" outlineLevel="0" collapsed="false">
      <c r="B41" s="8" t="str">
        <f aca="false">IF(Estimates!G100="","","("&amp;TEXT(Estimates!G100,"0.00")&amp;")")</f>
        <v>(-1.05)</v>
      </c>
      <c r="C41" s="8" t="str">
        <f aca="false">IF(Estimates!G101="","","("&amp;TEXT(Estimates!G101,"0.00")&amp;")")</f>
        <v>(-2.30)</v>
      </c>
    </row>
    <row r="42" customFormat="false" ht="15" hidden="false" customHeight="false" outlineLevel="0" collapsed="false">
      <c r="A42" s="7" t="s">
        <v>41</v>
      </c>
      <c r="B42" s="8" t="str">
        <f aca="false">IF(Estimates!H103="","n/a",TEXT(Estimates!D103,"0.000")&amp;IF(Estimates!H103&lt;0.01,"***",IF(Estimates!H103&lt;0.05,"**",IF(Estimates!H103&lt;0.1,"*",""))))</f>
        <v>-0.817*</v>
      </c>
      <c r="C42" s="8" t="str">
        <f aca="false">IF(Estimates!H104="","n/a",TEXT(Estimates!D104,"0.000")&amp;IF(Estimates!H104&lt;0.01,"***",IF(Estimates!H104&lt;0.05,"**",IF(Estimates!H104&lt;0.1,"*",""))))</f>
        <v>-0.447</v>
      </c>
      <c r="D42" s="15" t="n">
        <f aca="false">IF(Estimates!H105="","",Estimates!H105)</f>
        <v>0.535297400640764</v>
      </c>
      <c r="E42" s="16" t="n">
        <v>1073</v>
      </c>
    </row>
    <row r="43" customFormat="false" ht="15" hidden="false" customHeight="false" outlineLevel="0" collapsed="false">
      <c r="B43" s="8" t="str">
        <f aca="false">IF(Estimates!G103="","","("&amp;TEXT(Estimates!G103,"0.00")&amp;")")</f>
        <v>(-1.81)</v>
      </c>
      <c r="C43" s="8" t="str">
        <f aca="false">IF(Estimates!G104="","","("&amp;TEXT(Estimates!G104,"0.00")&amp;")")</f>
        <v>(-1.31)</v>
      </c>
    </row>
    <row r="44" customFormat="false" ht="15" hidden="false" customHeight="false" outlineLevel="0" collapsed="false">
      <c r="A44" s="1" t="s">
        <v>42</v>
      </c>
      <c r="B44" s="8" t="str">
        <f aca="false">IF(Estimates!H106="","n/a",TEXT(Estimates!D106,"0.000")&amp;IF(Estimates!H106&lt;0.01,"***",IF(Estimates!H106&lt;0.05,"**",IF(Estimates!H106&lt;0.1,"*",""))))</f>
        <v>-0.366*</v>
      </c>
      <c r="C44" s="8" t="str">
        <f aca="false">IF(Estimates!H107="","n/a",TEXT(Estimates!D107,"0.000")&amp;IF(Estimates!H107&lt;0.01,"***",IF(Estimates!H107&lt;0.05,"**",IF(Estimates!H107&lt;0.1,"*",""))))</f>
        <v>-0.388*</v>
      </c>
      <c r="D44" s="15" t="n">
        <f aca="false">IF(Estimates!H108="","",Estimates!H108)</f>
        <v>0.948753027771774</v>
      </c>
      <c r="E44" s="16" t="n">
        <v>1304</v>
      </c>
    </row>
    <row r="45" customFormat="false" ht="15" hidden="false" customHeight="false" outlineLevel="0" collapsed="false">
      <c r="B45" s="8" t="str">
        <f aca="false">IF(Estimates!G106="","","("&amp;TEXT(Estimates!G106,"0.00")&amp;")")</f>
        <v>(-1.90)</v>
      </c>
      <c r="C45" s="8" t="str">
        <f aca="false">IF(Estimates!G107="","","("&amp;TEXT(Estimates!G107,"0.00")&amp;")")</f>
        <v>(-1.80)</v>
      </c>
    </row>
    <row r="46" customFormat="false" ht="15" hidden="false" customHeight="false" outlineLevel="0" collapsed="false">
      <c r="A46" s="7" t="s">
        <v>43</v>
      </c>
      <c r="B46" s="8" t="str">
        <f aca="false">IF(Estimates!H109="","n/a",TEXT(Estimates!D109,"0.000")&amp;IF(Estimates!H109&lt;0.01,"***",IF(Estimates!H109&lt;0.05,"**",IF(Estimates!H109&lt;0.1,"*",""))))</f>
        <v>-0.444*</v>
      </c>
      <c r="C46" s="8" t="str">
        <f aca="false">IF(Estimates!H110="","n/a",TEXT(Estimates!D110,"0.000")&amp;IF(Estimates!H110&lt;0.01,"***",IF(Estimates!H110&lt;0.05,"**",IF(Estimates!H110&lt;0.1,"*",""))))</f>
        <v>-0.238</v>
      </c>
      <c r="D46" s="15" t="n">
        <f aca="false">IF(Estimates!H111="","",Estimates!H111)</f>
        <v>0.574075607891595</v>
      </c>
      <c r="E46" s="16" t="n">
        <v>1247</v>
      </c>
    </row>
    <row r="47" customFormat="false" ht="15" hidden="false" customHeight="false" outlineLevel="0" collapsed="false">
      <c r="B47" s="8" t="str">
        <f aca="false">IF(Estimates!G109="","","("&amp;TEXT(Estimates!G109,"0.00")&amp;")")</f>
        <v>(-2.03)</v>
      </c>
      <c r="C47" s="8" t="str">
        <f aca="false">IF(Estimates!G110="","","("&amp;TEXT(Estimates!G110,"0.00")&amp;")")</f>
        <v>(-1.04)</v>
      </c>
    </row>
    <row r="48" customFormat="false" ht="15" hidden="false" customHeight="false" outlineLevel="0" collapsed="false">
      <c r="A48" s="7" t="s">
        <v>44</v>
      </c>
      <c r="B48" s="8" t="str">
        <f aca="false">IF(Estimates!H112="","n/a",TEXT(Estimates!D112,"0.000")&amp;IF(Estimates!H112&lt;0.01,"***",IF(Estimates!H112&lt;0.05,"**",IF(Estimates!H112&lt;0.1,"*",""))))</f>
        <v>-0.456**</v>
      </c>
      <c r="C48" s="8" t="str">
        <f aca="false">IF(Estimates!H113="","n/a",TEXT(Estimates!D113,"0.000")&amp;IF(Estimates!H113&lt;0.01,"***",IF(Estimates!H113&lt;0.05,"**",IF(Estimates!H113&lt;0.1,"*",""))))</f>
        <v>-0.291</v>
      </c>
      <c r="D48" s="15" t="n">
        <f aca="false">IF(Estimates!H114="","",Estimates!H114)</f>
        <v>0.644405556988798</v>
      </c>
      <c r="E48" s="16" t="n">
        <v>1429</v>
      </c>
    </row>
    <row r="49" customFormat="false" ht="15" hidden="false" customHeight="false" outlineLevel="0" collapsed="false">
      <c r="B49" s="8" t="str">
        <f aca="false">IF(Estimates!G112="","","("&amp;TEXT(Estimates!G112,"0.00")&amp;")")</f>
        <v>(-2.36)</v>
      </c>
      <c r="C49" s="8" t="str">
        <f aca="false">IF(Estimates!G113="","","("&amp;TEXT(Estimates!G113,"0.00")&amp;")")</f>
        <v>(-1.39)</v>
      </c>
    </row>
    <row r="50" customFormat="false" ht="15" hidden="false" customHeight="false" outlineLevel="0" collapsed="false">
      <c r="A50" s="7" t="s">
        <v>45</v>
      </c>
      <c r="B50" s="8" t="str">
        <f aca="false">IF(Estimates!H115="","n/a",TEXT(Estimates!D115,"0.000")&amp;IF(Estimates!H115&lt;0.01,"***",IF(Estimates!H115&lt;0.05,"**",IF(Estimates!H115&lt;0.1,"*",""))))</f>
        <v>-0.318</v>
      </c>
      <c r="C50" s="8" t="str">
        <f aca="false">IF(Estimates!H116="","n/a",TEXT(Estimates!D116,"0.000")&amp;IF(Estimates!H116&lt;0.01,"***",IF(Estimates!H116&lt;0.05,"**",IF(Estimates!H116&lt;0.1,"*",""))))</f>
        <v>-0.483**</v>
      </c>
      <c r="D50" s="15" t="n">
        <f aca="false">IF(Estimates!H117="","",Estimates!H117)</f>
        <v>0.630487051118296</v>
      </c>
      <c r="E50" s="16" t="n">
        <v>1304</v>
      </c>
    </row>
    <row r="51" customFormat="false" ht="15" hidden="false" customHeight="false" outlineLevel="0" collapsed="false">
      <c r="B51" s="8" t="str">
        <f aca="false">IF(Estimates!G115="","","("&amp;TEXT(Estimates!G115,"0.00")&amp;")")</f>
        <v>(-1.61)</v>
      </c>
      <c r="C51" s="8" t="str">
        <f aca="false">IF(Estimates!G116="","","("&amp;TEXT(Estimates!G116,"0.00")&amp;")")</f>
        <v>(-2.37)</v>
      </c>
    </row>
    <row r="52" customFormat="false" ht="15" hidden="false" customHeight="false" outlineLevel="0" collapsed="false">
      <c r="A52" s="7" t="s">
        <v>46</v>
      </c>
      <c r="B52" s="8" t="str">
        <f aca="false">IF(Estimates!H118="","n/a",TEXT(Estimates!D118,"0.000")&amp;IF(Estimates!H118&lt;0.01,"***",IF(Estimates!H118&lt;0.05,"**",IF(Estimates!H118&lt;0.1,"*",""))))</f>
        <v>-0.321</v>
      </c>
      <c r="C52" s="8" t="str">
        <f aca="false">IF(Estimates!H119="","n/a",TEXT(Estimates!D119,"0.000")&amp;IF(Estimates!H119&lt;0.01,"***",IF(Estimates!H119&lt;0.05,"**",IF(Estimates!H119&lt;0.1,"*",""))))</f>
        <v>-0.533**</v>
      </c>
      <c r="D52" s="15" t="n">
        <f aca="false">IF(Estimates!H120="","",Estimates!H120)</f>
        <v>0.55773098833285</v>
      </c>
      <c r="E52" s="16" t="n">
        <v>1271</v>
      </c>
    </row>
    <row r="53" customFormat="false" ht="15" hidden="false" customHeight="false" outlineLevel="0" collapsed="false">
      <c r="A53" s="5"/>
      <c r="B53" s="17" t="str">
        <f aca="false">IF(Estimates!G118="","","("&amp;TEXT(Estimates!G118,"0.00")&amp;")")</f>
        <v>(-1.54)</v>
      </c>
      <c r="C53" s="17" t="str">
        <f aca="false">IF(Estimates!G119="","","("&amp;TEXT(Estimates!G119,"0.00")&amp;")")</f>
        <v>(-2.53)</v>
      </c>
      <c r="D53" s="5"/>
      <c r="E53" s="5"/>
    </row>
    <row r="55" customFormat="false" ht="15" hidden="false" customHeight="false" outlineLevel="0" collapsed="false">
      <c r="A55" s="1" t="s">
        <v>53</v>
      </c>
    </row>
    <row r="56" customFormat="false" ht="30" hidden="false" customHeight="true" outlineLevel="0" collapsed="false">
      <c r="A56" s="13"/>
      <c r="B56" s="14" t="s">
        <v>54</v>
      </c>
      <c r="C56" s="14" t="s">
        <v>55</v>
      </c>
      <c r="D56" s="14" t="s">
        <v>39</v>
      </c>
      <c r="E56" s="14" t="s">
        <v>10</v>
      </c>
    </row>
    <row r="57" customFormat="false" ht="15" hidden="false" customHeight="false" outlineLevel="0" collapsed="false">
      <c r="A57" s="1" t="s">
        <v>40</v>
      </c>
      <c r="B57" s="8" t="str">
        <f aca="false">IF(Estimates!H121="","n/a",TEXT(Estimates!D121,"0.000")&amp;IF(Estimates!H121&lt;0.01,"***",IF(Estimates!H121&lt;0.05,"**",IF(Estimates!H121&lt;0.1,"*",""))))</f>
        <v>-0.027</v>
      </c>
      <c r="C57" s="8" t="str">
        <f aca="false">IF(Estimates!H122="","n/a",TEXT(Estimates!D122,"0.000")&amp;IF(Estimates!H122&lt;0.01,"***",IF(Estimates!H122&lt;0.05,"**",IF(Estimates!H122&lt;0.1,"*",""))))</f>
        <v>-0.612***</v>
      </c>
      <c r="D57" s="15" t="n">
        <f aca="false">IF(Estimates!H123="","",Estimates!H123)</f>
        <v>0.134222642269026</v>
      </c>
      <c r="E57" s="16" t="n">
        <v>1567</v>
      </c>
    </row>
    <row r="58" customFormat="false" ht="15" hidden="false" customHeight="false" outlineLevel="0" collapsed="false">
      <c r="B58" s="8" t="str">
        <f aca="false">IF(Estimates!G121="","","("&amp;TEXT(Estimates!G121,"0.00")&amp;")")</f>
        <v>(-0.09)</v>
      </c>
      <c r="C58" s="8" t="str">
        <f aca="false">IF(Estimates!G122="","","("&amp;TEXT(Estimates!G122,"0.00")&amp;")")</f>
        <v>(-2.88)</v>
      </c>
    </row>
    <row r="59" customFormat="false" ht="15" hidden="false" customHeight="false" outlineLevel="0" collapsed="false">
      <c r="A59" s="7" t="s">
        <v>41</v>
      </c>
      <c r="B59" s="8" t="str">
        <f aca="false">IF(Estimates!H124="","n/a",TEXT(Estimates!D124,"0.000")&amp;IF(Estimates!H124&lt;0.01,"***",IF(Estimates!H124&lt;0.05,"**",IF(Estimates!H124&lt;0.1,"*",""))))</f>
        <v>-0.673**</v>
      </c>
      <c r="C59" s="8" t="str">
        <f aca="false">IF(Estimates!H125="","n/a",TEXT(Estimates!D125,"0.000")&amp;IF(Estimates!H125&lt;0.01,"***",IF(Estimates!H125&lt;0.05,"**",IF(Estimates!H125&lt;0.1,"*",""))))</f>
        <v>-0.456</v>
      </c>
      <c r="D59" s="15" t="n">
        <f aca="false">IF(Estimates!H126="","",Estimates!H126)</f>
        <v>0.593070885714367</v>
      </c>
      <c r="E59" s="16" t="n">
        <v>1127</v>
      </c>
    </row>
    <row r="60" customFormat="false" ht="15" hidden="false" customHeight="false" outlineLevel="0" collapsed="false">
      <c r="B60" s="8" t="str">
        <f aca="false">IF(Estimates!G124="","","("&amp;TEXT(Estimates!G124,"0.00")&amp;")")</f>
        <v>(-2.00)</v>
      </c>
      <c r="C60" s="8" t="str">
        <f aca="false">IF(Estimates!G125="","","("&amp;TEXT(Estimates!G125,"0.00")&amp;")")</f>
        <v>(-1.64)</v>
      </c>
    </row>
    <row r="61" customFormat="false" ht="15" hidden="false" customHeight="false" outlineLevel="0" collapsed="false">
      <c r="A61" s="1" t="s">
        <v>42</v>
      </c>
      <c r="B61" s="8" t="str">
        <f aca="false">IF(Estimates!H127="","n/a",TEXT(Estimates!D127,"0.000")&amp;IF(Estimates!H127&lt;0.01,"***",IF(Estimates!H127&lt;0.05,"**",IF(Estimates!H127&lt;0.1,"*",""))))</f>
        <v>-0.449</v>
      </c>
      <c r="C61" s="8" t="str">
        <f aca="false">IF(Estimates!H128="","n/a",TEXT(Estimates!D128,"0.000")&amp;IF(Estimates!H128&lt;0.01,"***",IF(Estimates!H128&lt;0.05,"**",IF(Estimates!H128&lt;0.1,"*",""))))</f>
        <v>-0.284</v>
      </c>
      <c r="D61" s="15" t="n">
        <f aca="false">IF(Estimates!H129="","",Estimates!H129)</f>
        <v>0.66311730112471</v>
      </c>
      <c r="E61" s="16" t="n">
        <v>1378</v>
      </c>
    </row>
    <row r="62" customFormat="false" ht="15" hidden="false" customHeight="false" outlineLevel="0" collapsed="false">
      <c r="B62" s="8" t="str">
        <f aca="false">IF(Estimates!G127="","","("&amp;TEXT(Estimates!G127,"0.00")&amp;")")</f>
        <v>(-1.33)</v>
      </c>
      <c r="C62" s="8" t="str">
        <f aca="false">IF(Estimates!G128="","","("&amp;TEXT(Estimates!G128,"0.00")&amp;")")</f>
        <v>(-1.55)</v>
      </c>
    </row>
    <row r="63" customFormat="false" ht="15" hidden="false" customHeight="false" outlineLevel="0" collapsed="false">
      <c r="A63" s="7" t="s">
        <v>43</v>
      </c>
      <c r="B63" s="8" t="str">
        <f aca="false">IF(Estimates!H130="","n/a",TEXT(Estimates!D130,"0.000")&amp;IF(Estimates!H130&lt;0.01,"***",IF(Estimates!H130&lt;0.05,"**",IF(Estimates!H130&lt;0.1,"*",""))))</f>
        <v>-0.498</v>
      </c>
      <c r="C63" s="8" t="str">
        <f aca="false">IF(Estimates!H131="","n/a",TEXT(Estimates!D131,"0.000")&amp;IF(Estimates!H131&lt;0.01,"***",IF(Estimates!H131&lt;0.05,"**",IF(Estimates!H131&lt;0.1,"*",""))))</f>
        <v>-0.263</v>
      </c>
      <c r="D63" s="15" t="n">
        <f aca="false">IF(Estimates!H132="","",Estimates!H132)</f>
        <v>0.549865826035536</v>
      </c>
      <c r="E63" s="16" t="n">
        <v>1311</v>
      </c>
    </row>
    <row r="64" customFormat="false" ht="15" hidden="false" customHeight="false" outlineLevel="0" collapsed="false">
      <c r="B64" s="8" t="str">
        <f aca="false">IF(Estimates!G130="","","("&amp;TEXT(Estimates!G130,"0.00")&amp;")")</f>
        <v>(-1.35)</v>
      </c>
      <c r="C64" s="8" t="str">
        <f aca="false">IF(Estimates!G131="","","("&amp;TEXT(Estimates!G131,"0.00")&amp;")")</f>
        <v>(-1.59)</v>
      </c>
    </row>
    <row r="65" customFormat="false" ht="15" hidden="false" customHeight="false" outlineLevel="0" collapsed="false">
      <c r="A65" s="7" t="s">
        <v>44</v>
      </c>
      <c r="B65" s="8" t="str">
        <f aca="false">IF(Estimates!H133="","n/a",TEXT(Estimates!D133,"0.000")&amp;IF(Estimates!H133&lt;0.01,"***",IF(Estimates!H133&lt;0.05,"**",IF(Estimates!H133&lt;0.1,"*",""))))</f>
        <v>-0.373</v>
      </c>
      <c r="C65" s="8" t="str">
        <f aca="false">IF(Estimates!H134="","n/a",TEXT(Estimates!D134,"0.000")&amp;IF(Estimates!H134&lt;0.01,"***",IF(Estimates!H134&lt;0.05,"**",IF(Estimates!H134&lt;0.1,"*",""))))</f>
        <v>-0.268</v>
      </c>
      <c r="D65" s="15" t="n">
        <f aca="false">IF(Estimates!H135="","",Estimates!H135)</f>
        <v>0.79750751828883</v>
      </c>
      <c r="E65" s="16" t="n">
        <v>1508</v>
      </c>
    </row>
    <row r="66" customFormat="false" ht="15" hidden="false" customHeight="false" outlineLevel="0" collapsed="false">
      <c r="B66" s="8" t="str">
        <f aca="false">IF(Estimates!G133="","","("&amp;TEXT(Estimates!G133,"0.00")&amp;")")</f>
        <v>(-1.00)</v>
      </c>
      <c r="C66" s="8" t="str">
        <f aca="false">IF(Estimates!G134="","","("&amp;TEXT(Estimates!G134,"0.00")&amp;")")</f>
        <v>(-1.55)</v>
      </c>
    </row>
    <row r="67" customFormat="false" ht="15" hidden="false" customHeight="false" outlineLevel="0" collapsed="false">
      <c r="A67" s="7" t="s">
        <v>45</v>
      </c>
      <c r="B67" s="8" t="str">
        <f aca="false">IF(Estimates!H136="","n/a",TEXT(Estimates!D136,"0.000")&amp;IF(Estimates!H136&lt;0.01,"***",IF(Estimates!H136&lt;0.05,"**",IF(Estimates!H136&lt;0.1,"*",""))))</f>
        <v>-0.356</v>
      </c>
      <c r="C67" s="8" t="str">
        <f aca="false">IF(Estimates!H137="","n/a",TEXT(Estimates!D137,"0.000")&amp;IF(Estimates!H137&lt;0.01,"***",IF(Estimates!H137&lt;0.05,"**",IF(Estimates!H137&lt;0.1,"*",""))))</f>
        <v>-0.331*</v>
      </c>
      <c r="D67" s="15" t="n">
        <f aca="false">IF(Estimates!H138="","",Estimates!H138)</f>
        <v>0.937165368788758</v>
      </c>
      <c r="E67" s="16" t="n">
        <v>1378</v>
      </c>
    </row>
    <row r="68" customFormat="false" ht="15" hidden="false" customHeight="false" outlineLevel="0" collapsed="false">
      <c r="B68" s="8" t="str">
        <f aca="false">IF(Estimates!G136="","","("&amp;TEXT(Estimates!G136,"0.00")&amp;")")</f>
        <v>(-1.29)</v>
      </c>
      <c r="C68" s="8" t="str">
        <f aca="false">IF(Estimates!G137="","","("&amp;TEXT(Estimates!G137,"0.00")&amp;")")</f>
        <v>(-1.97)</v>
      </c>
    </row>
    <row r="69" customFormat="false" ht="15" hidden="false" customHeight="false" outlineLevel="0" collapsed="false">
      <c r="A69" s="7" t="s">
        <v>46</v>
      </c>
      <c r="B69" s="8" t="str">
        <f aca="false">IF(Estimates!H139="","n/a",TEXT(Estimates!D139,"0.000")&amp;IF(Estimates!H139&lt;0.01,"***",IF(Estimates!H139&lt;0.05,"**",IF(Estimates!H139&lt;0.1,"*",""))))</f>
        <v>-0.352</v>
      </c>
      <c r="C69" s="8" t="str">
        <f aca="false">IF(Estimates!H140="","n/a",TEXT(Estimates!D140,"0.000")&amp;IF(Estimates!H140&lt;0.01,"***",IF(Estimates!H140&lt;0.05,"**",IF(Estimates!H140&lt;0.1,"*",""))))</f>
        <v>-0.360**</v>
      </c>
      <c r="D69" s="15" t="n">
        <f aca="false">IF(Estimates!H141="","",Estimates!H141)</f>
        <v>0.97961275425864</v>
      </c>
      <c r="E69" s="16" t="n">
        <v>1345</v>
      </c>
    </row>
    <row r="70" customFormat="false" ht="15" hidden="false" customHeight="false" outlineLevel="0" collapsed="false">
      <c r="A70" s="5"/>
      <c r="B70" s="17" t="str">
        <f aca="false">IF(Estimates!G139="","","("&amp;TEXT(Estimates!G139,"0.00")&amp;")")</f>
        <v>(-1.28)</v>
      </c>
      <c r="C70" s="17" t="str">
        <f aca="false">IF(Estimates!G140="","","("&amp;TEXT(Estimates!G140,"0.00")&amp;")")</f>
        <v>(-2.14)</v>
      </c>
      <c r="D70" s="5"/>
      <c r="E70" s="5"/>
    </row>
    <row r="72" customFormat="false" ht="15" hidden="false" customHeight="false" outlineLevel="0" collapsed="false">
      <c r="A72" s="1" t="s">
        <v>56</v>
      </c>
    </row>
    <row r="73" customFormat="false" ht="30" hidden="false" customHeight="true" outlineLevel="0" collapsed="false">
      <c r="A73" s="13"/>
      <c r="B73" s="14" t="s">
        <v>57</v>
      </c>
      <c r="C73" s="14" t="s">
        <v>58</v>
      </c>
      <c r="D73" s="14" t="s">
        <v>39</v>
      </c>
      <c r="E73" s="14" t="s">
        <v>10</v>
      </c>
    </row>
    <row r="74" customFormat="false" ht="15" hidden="false" customHeight="false" outlineLevel="0" collapsed="false">
      <c r="A74" s="1" t="s">
        <v>40</v>
      </c>
      <c r="B74" s="8" t="str">
        <f aca="false">IF(Estimates!H142="","n/a",TEXT(Estimates!D142,"0.000")&amp;IF(Estimates!H142&lt;0.01,"***",IF(Estimates!H142&lt;0.05,"**",IF(Estimates!H142&lt;0.1,"*",""))))</f>
        <v>-1.409</v>
      </c>
      <c r="C74" s="8" t="str">
        <f aca="false">IF(Estimates!H143="","n/a",TEXT(Estimates!D143,"0.000")&amp;IF(Estimates!H143&lt;0.01,"***",IF(Estimates!H143&lt;0.05,"**",IF(Estimates!H143&lt;0.1,"*",""))))</f>
        <v>-0.382</v>
      </c>
      <c r="D74" s="15" t="n">
        <f aca="false">IF(Estimates!H144="","",Estimates!H144)</f>
        <v>0.418795613138911</v>
      </c>
      <c r="E74" s="16" t="n">
        <v>1552</v>
      </c>
    </row>
    <row r="75" customFormat="false" ht="15" hidden="false" customHeight="false" outlineLevel="0" collapsed="false">
      <c r="B75" s="8" t="str">
        <f aca="false">IF(Estimates!G142="","","("&amp;TEXT(Estimates!G142,"0.00")&amp;")")</f>
        <v>(-1.45)</v>
      </c>
      <c r="C75" s="8" t="str">
        <f aca="false">IF(Estimates!G143="","","("&amp;TEXT(Estimates!G143,"0.00")&amp;")")</f>
        <v>(-1.26)</v>
      </c>
    </row>
    <row r="76" customFormat="false" ht="15" hidden="false" customHeight="false" outlineLevel="0" collapsed="false">
      <c r="A76" s="7" t="s">
        <v>41</v>
      </c>
      <c r="B76" s="8" t="str">
        <f aca="false">IF(Estimates!H145="","n/a",TEXT(Estimates!D145,"0.000")&amp;IF(Estimates!H145&lt;0.01,"***",IF(Estimates!H145&lt;0.05,"**",IF(Estimates!H145&lt;0.1,"*",""))))</f>
        <v>-0.849</v>
      </c>
      <c r="C76" s="8" t="str">
        <f aca="false">IF(Estimates!H146="","n/a",TEXT(Estimates!D146,"0.000")&amp;IF(Estimates!H146&lt;0.01,"***",IF(Estimates!H146&lt;0.05,"**",IF(Estimates!H146&lt;0.1,"*",""))))</f>
        <v>-0.339*</v>
      </c>
      <c r="D76" s="15" t="n">
        <f aca="false">IF(Estimates!H147="","",Estimates!H147)</f>
        <v>0.535035250535236</v>
      </c>
      <c r="E76" s="16" t="n">
        <v>1116</v>
      </c>
    </row>
    <row r="77" customFormat="false" ht="15" hidden="false" customHeight="false" outlineLevel="0" collapsed="false">
      <c r="B77" s="8" t="str">
        <f aca="false">IF(Estimates!G145="","","("&amp;TEXT(Estimates!G145,"0.00")&amp;")")</f>
        <v>(-1.10)</v>
      </c>
      <c r="C77" s="8" t="str">
        <f aca="false">IF(Estimates!G146="","","("&amp;TEXT(Estimates!G146,"0.00")&amp;")")</f>
        <v>(-1.98)</v>
      </c>
    </row>
    <row r="78" customFormat="false" ht="15" hidden="false" customHeight="false" outlineLevel="0" collapsed="false">
      <c r="A78" s="1" t="s">
        <v>42</v>
      </c>
      <c r="B78" s="8" t="str">
        <f aca="false">IF(Estimates!H148="","n/a",TEXT(Estimates!D148,"0.000")&amp;IF(Estimates!H148&lt;0.01,"***",IF(Estimates!H148&lt;0.05,"**",IF(Estimates!H148&lt;0.1,"*",""))))</f>
        <v>-0.964***</v>
      </c>
      <c r="C78" s="8" t="str">
        <f aca="false">IF(Estimates!H149="","n/a",TEXT(Estimates!D149,"0.000")&amp;IF(Estimates!H149&lt;0.01,"***",IF(Estimates!H149&lt;0.05,"**",IF(Estimates!H149&lt;0.1,"*",""))))</f>
        <v>-0.094</v>
      </c>
      <c r="D78" s="15" t="n">
        <f aca="false">IF(Estimates!H150="","",Estimates!H150)</f>
        <v>0.0184175265073535</v>
      </c>
      <c r="E78" s="16" t="n">
        <v>1365</v>
      </c>
    </row>
    <row r="79" customFormat="false" ht="15" hidden="false" customHeight="false" outlineLevel="0" collapsed="false">
      <c r="B79" s="8" t="str">
        <f aca="false">IF(Estimates!G148="","","("&amp;TEXT(Estimates!G148,"0.00")&amp;")")</f>
        <v>(-3.64)</v>
      </c>
      <c r="C79" s="8" t="str">
        <f aca="false">IF(Estimates!G149="","","("&amp;TEXT(Estimates!G149,"0.00")&amp;")")</f>
        <v>(-0.65)</v>
      </c>
    </row>
    <row r="80" customFormat="false" ht="15" hidden="false" customHeight="false" outlineLevel="0" collapsed="false">
      <c r="A80" s="7" t="s">
        <v>43</v>
      </c>
      <c r="B80" s="8" t="str">
        <f aca="false">IF(Estimates!H151="","n/a",TEXT(Estimates!D151,"0.000")&amp;IF(Estimates!H151&lt;0.01,"***",IF(Estimates!H151&lt;0.05,"**",IF(Estimates!H151&lt;0.1,"*",""))))</f>
        <v>-0.978***</v>
      </c>
      <c r="C80" s="8" t="str">
        <f aca="false">IF(Estimates!H152="","n/a",TEXT(Estimates!D152,"0.000")&amp;IF(Estimates!H152&lt;0.01,"***",IF(Estimates!H152&lt;0.05,"**",IF(Estimates!H152&lt;0.1,"*",""))))</f>
        <v>-0.070</v>
      </c>
      <c r="D80" s="15" t="n">
        <f aca="false">IF(Estimates!H153="","",Estimates!H153)</f>
        <v>0.0151157280686965</v>
      </c>
      <c r="E80" s="16" t="n">
        <v>1298</v>
      </c>
    </row>
    <row r="81" customFormat="false" ht="15" hidden="false" customHeight="false" outlineLevel="0" collapsed="false">
      <c r="B81" s="8" t="str">
        <f aca="false">IF(Estimates!G151="","","("&amp;TEXT(Estimates!G151,"0.00")&amp;")")</f>
        <v>(-3.51)</v>
      </c>
      <c r="C81" s="8" t="str">
        <f aca="false">IF(Estimates!G152="","","("&amp;TEXT(Estimates!G152,"0.00")&amp;")")</f>
        <v>(-0.51)</v>
      </c>
    </row>
    <row r="82" customFormat="false" ht="15" hidden="false" customHeight="false" outlineLevel="0" collapsed="false">
      <c r="A82" s="7" t="s">
        <v>44</v>
      </c>
      <c r="B82" s="8" t="str">
        <f aca="false">IF(Estimates!H154="","n/a",TEXT(Estimates!D154,"0.000")&amp;IF(Estimates!H154&lt;0.01,"***",IF(Estimates!H154&lt;0.05,"**",IF(Estimates!H154&lt;0.1,"*",""))))</f>
        <v>-0.879***</v>
      </c>
      <c r="C82" s="8" t="str">
        <f aca="false">IF(Estimates!H155="","n/a",TEXT(Estimates!D155,"0.000")&amp;IF(Estimates!H155&lt;0.01,"***",IF(Estimates!H155&lt;0.05,"**",IF(Estimates!H155&lt;0.1,"*",""))))</f>
        <v>-0.100</v>
      </c>
      <c r="D82" s="15" t="n">
        <f aca="false">IF(Estimates!H156="","",Estimates!H156)</f>
        <v>0.0118010003697222</v>
      </c>
      <c r="E82" s="16" t="n">
        <v>1495</v>
      </c>
    </row>
    <row r="83" customFormat="false" ht="15" hidden="false" customHeight="false" outlineLevel="0" collapsed="false">
      <c r="B83" s="8" t="str">
        <f aca="false">IF(Estimates!G154="","","("&amp;TEXT(Estimates!G154,"0.00")&amp;")")</f>
        <v>(-3.97)</v>
      </c>
      <c r="C83" s="8" t="str">
        <f aca="false">IF(Estimates!G155="","","("&amp;TEXT(Estimates!G155,"0.00")&amp;")")</f>
        <v>(-0.77)</v>
      </c>
    </row>
    <row r="84" customFormat="false" ht="15" hidden="false" customHeight="false" outlineLevel="0" collapsed="false">
      <c r="A84" s="7" t="s">
        <v>45</v>
      </c>
      <c r="B84" s="8" t="str">
        <f aca="false">IF(Estimates!H157="","n/a",TEXT(Estimates!D157,"0.000")&amp;IF(Estimates!H157&lt;0.01,"***",IF(Estimates!H157&lt;0.05,"**",IF(Estimates!H157&lt;0.1,"*",""))))</f>
        <v>-0.970***</v>
      </c>
      <c r="C84" s="8" t="str">
        <f aca="false">IF(Estimates!H158="","n/a",TEXT(Estimates!D158,"0.000")&amp;IF(Estimates!H158&lt;0.01,"***",IF(Estimates!H158&lt;0.05,"**",IF(Estimates!H158&lt;0.1,"*",""))))</f>
        <v>-0.153</v>
      </c>
      <c r="D84" s="15" t="n">
        <f aca="false">IF(Estimates!H159="","",Estimates!H159)</f>
        <v>0.0219325780534039</v>
      </c>
      <c r="E84" s="16" t="n">
        <v>1365</v>
      </c>
    </row>
    <row r="85" customFormat="false" ht="15" hidden="false" customHeight="false" outlineLevel="0" collapsed="false">
      <c r="B85" s="8" t="str">
        <f aca="false">IF(Estimates!G157="","","("&amp;TEXT(Estimates!G157,"0.00")&amp;")")</f>
        <v>(-3.82)</v>
      </c>
      <c r="C85" s="8" t="str">
        <f aca="false">IF(Estimates!G158="","","("&amp;TEXT(Estimates!G158,"0.00")&amp;")")</f>
        <v>(-1.08)</v>
      </c>
    </row>
    <row r="86" customFormat="false" ht="15" hidden="false" customHeight="false" outlineLevel="0" collapsed="false">
      <c r="A86" s="7" t="s">
        <v>46</v>
      </c>
      <c r="B86" s="8" t="str">
        <f aca="false">IF(Estimates!H160="","n/a",TEXT(Estimates!D160,"0.000")&amp;IF(Estimates!H160&lt;0.01,"***",IF(Estimates!H160&lt;0.05,"**",IF(Estimates!H160&lt;0.1,"*",""))))</f>
        <v>-0.985***</v>
      </c>
      <c r="C86" s="8" t="str">
        <f aca="false">IF(Estimates!H161="","n/a",TEXT(Estimates!D161,"0.000")&amp;IF(Estimates!H161&lt;0.01,"***",IF(Estimates!H161&lt;0.05,"**",IF(Estimates!H161&lt;0.1,"*",""))))</f>
        <v>-0.173</v>
      </c>
      <c r="D86" s="15" t="n">
        <f aca="false">IF(Estimates!H162="","",Estimates!H162)</f>
        <v>0.027491216136945</v>
      </c>
      <c r="E86" s="16" t="n">
        <v>1332</v>
      </c>
    </row>
    <row r="87" customFormat="false" ht="15" hidden="false" customHeight="false" outlineLevel="0" collapsed="false">
      <c r="A87" s="5"/>
      <c r="B87" s="17" t="str">
        <f aca="false">IF(Estimates!G160="","","("&amp;TEXT(Estimates!G160,"0.00")&amp;")")</f>
        <v>(-3.71)</v>
      </c>
      <c r="C87" s="17" t="str">
        <f aca="false">IF(Estimates!G161="","","("&amp;TEXT(Estimates!G161,"0.00")&amp;")")</f>
        <v>(-1.24)</v>
      </c>
      <c r="D87" s="5"/>
      <c r="E87" s="5"/>
    </row>
    <row r="89" customFormat="false" ht="15" hidden="false" customHeight="false" outlineLevel="0" collapsed="false">
      <c r="A89" s="1" t="s">
        <v>59</v>
      </c>
    </row>
    <row r="90" customFormat="false" ht="30" hidden="false" customHeight="true" outlineLevel="0" collapsed="false">
      <c r="A90" s="13"/>
      <c r="B90" s="14" t="s">
        <v>60</v>
      </c>
      <c r="C90" s="14" t="s">
        <v>61</v>
      </c>
      <c r="D90" s="14" t="s">
        <v>39</v>
      </c>
      <c r="E90" s="14" t="s">
        <v>10</v>
      </c>
    </row>
    <row r="91" customFormat="false" ht="15" hidden="false" customHeight="false" outlineLevel="0" collapsed="false">
      <c r="A91" s="1" t="s">
        <v>40</v>
      </c>
      <c r="B91" s="8" t="str">
        <f aca="false">IF(Estimates!H163="","n/a",TEXT(Estimates!D163,"0.000")&amp;IF(Estimates!H163&lt;0.01,"***",IF(Estimates!H163&lt;0.05,"**",IF(Estimates!H163&lt;0.1,"*",""))))</f>
        <v>-1.356***</v>
      </c>
      <c r="C91" s="8" t="str">
        <f aca="false">IF(Estimates!H164="","n/a",TEXT(Estimates!D164,"0.000")&amp;IF(Estimates!H164&lt;0.01,"***",IF(Estimates!H164&lt;0.05,"**",IF(Estimates!H164&lt;0.1,"*",""))))</f>
        <v>-0.314*</v>
      </c>
      <c r="D91" s="15" t="n">
        <f aca="false">IF(Estimates!H165="","",Estimates!H165)</f>
        <v>6.15403052106177E-005</v>
      </c>
      <c r="E91" s="16" t="n">
        <v>1660</v>
      </c>
    </row>
    <row r="92" customFormat="false" ht="15" hidden="false" customHeight="false" outlineLevel="0" collapsed="false">
      <c r="B92" s="8" t="str">
        <f aca="false">IF(Estimates!G163="","","("&amp;TEXT(Estimates!G163,"0.00")&amp;")")</f>
        <v>(-7.00)</v>
      </c>
      <c r="C92" s="8" t="str">
        <f aca="false">IF(Estimates!G164="","","("&amp;TEXT(Estimates!G164,"0.00")&amp;")")</f>
        <v>(-2.03)</v>
      </c>
    </row>
    <row r="93" customFormat="false" ht="15" hidden="false" customHeight="false" outlineLevel="0" collapsed="false">
      <c r="A93" s="7" t="s">
        <v>41</v>
      </c>
      <c r="B93" s="8" t="str">
        <f aca="false">IF(Estimates!H166="","n/a",TEXT(Estimates!D166,"0.000")&amp;IF(Estimates!H166&lt;0.01,"***",IF(Estimates!H166&lt;0.05,"**",IF(Estimates!H166&lt;0.1,"*",""))))</f>
        <v>-1.077</v>
      </c>
      <c r="C93" s="8" t="str">
        <f aca="false">IF(Estimates!H167="","n/a",TEXT(Estimates!D167,"0.000")&amp;IF(Estimates!H167&lt;0.01,"***",IF(Estimates!H167&lt;0.05,"**",IF(Estimates!H167&lt;0.1,"*",""))))</f>
        <v>-0.434</v>
      </c>
      <c r="D93" s="15" t="n">
        <f aca="false">IF(Estimates!H168="","",Estimates!H168)</f>
        <v>0.407519508752102</v>
      </c>
      <c r="E93" s="16" t="n">
        <v>1200</v>
      </c>
    </row>
    <row r="94" customFormat="false" ht="15" hidden="false" customHeight="false" outlineLevel="0" collapsed="false">
      <c r="B94" s="8" t="str">
        <f aca="false">IF(Estimates!G166="","","("&amp;TEXT(Estimates!G166,"0.00")&amp;")")</f>
        <v>(-1.67)</v>
      </c>
      <c r="C94" s="8" t="str">
        <f aca="false">IF(Estimates!G167="","","("&amp;TEXT(Estimates!G167,"0.00")&amp;")")</f>
        <v>(-1.69)</v>
      </c>
    </row>
    <row r="95" customFormat="false" ht="15" hidden="false" customHeight="false" outlineLevel="0" collapsed="false">
      <c r="A95" s="1" t="s">
        <v>42</v>
      </c>
      <c r="B95" s="8" t="str">
        <f aca="false">IF(Estimates!H169="","n/a",TEXT(Estimates!D169,"0.000")&amp;IF(Estimates!H169&lt;0.01,"***",IF(Estimates!H169&lt;0.05,"**",IF(Estimates!H169&lt;0.1,"*",""))))</f>
        <v>-0.983**</v>
      </c>
      <c r="C95" s="8" t="str">
        <f aca="false">IF(Estimates!H170="","n/a",TEXT(Estimates!D170,"0.000")&amp;IF(Estimates!H170&lt;0.01,"***",IF(Estimates!H170&lt;0.05,"**",IF(Estimates!H170&lt;0.1,"*",""))))</f>
        <v>-0.185*</v>
      </c>
      <c r="D95" s="15" t="n">
        <f aca="false">IF(Estimates!H171="","",Estimates!H171)</f>
        <v>0.0877793698704087</v>
      </c>
      <c r="E95" s="16" t="n">
        <v>1458</v>
      </c>
    </row>
    <row r="96" customFormat="false" ht="15" hidden="false" customHeight="false" outlineLevel="0" collapsed="false">
      <c r="B96" s="8" t="str">
        <f aca="false">IF(Estimates!G169="","","("&amp;TEXT(Estimates!G169,"0.00")&amp;")")</f>
        <v>(-2.29)</v>
      </c>
      <c r="C96" s="8" t="str">
        <f aca="false">IF(Estimates!G170="","","("&amp;TEXT(Estimates!G170,"0.00")&amp;")")</f>
        <v>(-1.92)</v>
      </c>
    </row>
    <row r="97" customFormat="false" ht="15" hidden="false" customHeight="false" outlineLevel="0" collapsed="false">
      <c r="A97" s="7" t="s">
        <v>43</v>
      </c>
      <c r="B97" s="8" t="str">
        <f aca="false">IF(Estimates!H172="","n/a",TEXT(Estimates!D172,"0.000")&amp;IF(Estimates!H172&lt;0.01,"***",IF(Estimates!H172&lt;0.05,"**",IF(Estimates!H172&lt;0.1,"*",""))))</f>
        <v>-1.126**</v>
      </c>
      <c r="C97" s="8" t="str">
        <f aca="false">IF(Estimates!H173="","n/a",TEXT(Estimates!D173,"0.000")&amp;IF(Estimates!H173&lt;0.01,"***",IF(Estimates!H173&lt;0.05,"**",IF(Estimates!H173&lt;0.1,"*",""))))</f>
        <v>-0.206*</v>
      </c>
      <c r="D97" s="15" t="n">
        <f aca="false">IF(Estimates!H174="","",Estimates!H174)</f>
        <v>0.0962486512579225</v>
      </c>
      <c r="E97" s="16" t="n">
        <v>1391</v>
      </c>
    </row>
    <row r="98" customFormat="false" ht="15" hidden="false" customHeight="false" outlineLevel="0" collapsed="false">
      <c r="B98" s="8" t="str">
        <f aca="false">IF(Estimates!G172="","","("&amp;TEXT(Estimates!G172,"0.00")&amp;")")</f>
        <v>(-2.25)</v>
      </c>
      <c r="C98" s="8" t="str">
        <f aca="false">IF(Estimates!G173="","","("&amp;TEXT(Estimates!G173,"0.00")&amp;")")</f>
        <v>(-1.90)</v>
      </c>
    </row>
    <row r="99" customFormat="false" ht="15" hidden="false" customHeight="false" outlineLevel="0" collapsed="false">
      <c r="A99" s="7" t="s">
        <v>44</v>
      </c>
      <c r="B99" s="8" t="str">
        <f aca="false">IF(Estimates!H175="","n/a",TEXT(Estimates!D175,"0.000")&amp;IF(Estimates!H175&lt;0.01,"***",IF(Estimates!H175&lt;0.05,"**",IF(Estimates!H175&lt;0.1,"*",""))))</f>
        <v>-0.667**</v>
      </c>
      <c r="C99" s="8" t="str">
        <f aca="false">IF(Estimates!H176="","n/a",TEXT(Estimates!D176,"0.000")&amp;IF(Estimates!H176&lt;0.01,"***",IF(Estimates!H176&lt;0.05,"**",IF(Estimates!H176&lt;0.1,"*",""))))</f>
        <v>-0.185*</v>
      </c>
      <c r="D99" s="15" t="n">
        <f aca="false">IF(Estimates!H177="","",Estimates!H177)</f>
        <v>0.176731118305069</v>
      </c>
      <c r="E99" s="16" t="n">
        <v>1588</v>
      </c>
    </row>
    <row r="100" customFormat="false" ht="15" hidden="false" customHeight="false" outlineLevel="0" collapsed="false">
      <c r="B100" s="8" t="str">
        <f aca="false">IF(Estimates!G175="","","("&amp;TEXT(Estimates!G175,"0.00")&amp;")")</f>
        <v>(-2.11)</v>
      </c>
      <c r="C100" s="8" t="str">
        <f aca="false">IF(Estimates!G176="","","("&amp;TEXT(Estimates!G176,"0.00")&amp;")")</f>
        <v>(-1.87)</v>
      </c>
    </row>
    <row r="101" customFormat="false" ht="15" hidden="false" customHeight="false" outlineLevel="0" collapsed="false">
      <c r="A101" s="7" t="s">
        <v>45</v>
      </c>
      <c r="B101" s="8" t="str">
        <f aca="false">IF(Estimates!H178="","n/a",TEXT(Estimates!D178,"0.000")&amp;IF(Estimates!H178&lt;0.01,"***",IF(Estimates!H178&lt;0.05,"**",IF(Estimates!H178&lt;0.1,"*",""))))</f>
        <v>-1.052**</v>
      </c>
      <c r="C101" s="8" t="str">
        <f aca="false">IF(Estimates!H179="","n/a",TEXT(Estimates!D179,"0.000")&amp;IF(Estimates!H179&lt;0.01,"***",IF(Estimates!H179&lt;0.05,"**",IF(Estimates!H179&lt;0.1,"*",""))))</f>
        <v>-0.216**</v>
      </c>
      <c r="D101" s="15" t="n">
        <f aca="false">IF(Estimates!H180="","",Estimates!H180)</f>
        <v>0.0649521967602796</v>
      </c>
      <c r="E101" s="16" t="n">
        <v>1458</v>
      </c>
    </row>
    <row r="102" customFormat="false" ht="15" hidden="false" customHeight="false" outlineLevel="0" collapsed="false">
      <c r="B102" s="8" t="str">
        <f aca="false">IF(Estimates!G178="","","("&amp;TEXT(Estimates!G178,"0.00")&amp;")")</f>
        <v>(-2.57)</v>
      </c>
      <c r="C102" s="8" t="str">
        <f aca="false">IF(Estimates!G179="","","("&amp;TEXT(Estimates!G179,"0.00")&amp;")")</f>
        <v>(-2.11)</v>
      </c>
    </row>
    <row r="103" customFormat="false" ht="15" hidden="false" customHeight="false" outlineLevel="0" collapsed="false">
      <c r="A103" s="7" t="s">
        <v>46</v>
      </c>
      <c r="B103" s="8" t="str">
        <f aca="false">IF(Estimates!H181="","n/a",TEXT(Estimates!D181,"0.000")&amp;IF(Estimates!H181&lt;0.01,"***",IF(Estimates!H181&lt;0.05,"**",IF(Estimates!H181&lt;0.1,"*",""))))</f>
        <v>-1.024**</v>
      </c>
      <c r="C103" s="8" t="str">
        <f aca="false">IF(Estimates!H182="","n/a",TEXT(Estimates!D182,"0.000")&amp;IF(Estimates!H182&lt;0.01,"***",IF(Estimates!H182&lt;0.05,"**",IF(Estimates!H182&lt;0.1,"*",""))))</f>
        <v>-0.228**</v>
      </c>
      <c r="D103" s="15" t="n">
        <f aca="false">IF(Estimates!H183="","",Estimates!H183)</f>
        <v>0.0757661592131356</v>
      </c>
      <c r="E103" s="16" t="n">
        <v>1425</v>
      </c>
    </row>
    <row r="104" customFormat="false" ht="15" hidden="false" customHeight="false" outlineLevel="0" collapsed="false">
      <c r="A104" s="5"/>
      <c r="B104" s="17" t="str">
        <f aca="false">IF(Estimates!G181="","","("&amp;TEXT(Estimates!G181,"0.00")&amp;")")</f>
        <v>(-2.51)</v>
      </c>
      <c r="C104" s="17" t="str">
        <f aca="false">IF(Estimates!G182="","","("&amp;TEXT(Estimates!G182,"0.00")&amp;")")</f>
        <v>(-2.25)</v>
      </c>
      <c r="D104" s="5"/>
      <c r="E104" s="5"/>
    </row>
    <row r="106" customFormat="false" ht="45" hidden="false" customHeight="true" outlineLevel="0" collapsed="false">
      <c r="A106" s="18" t="s">
        <v>62</v>
      </c>
      <c r="B106" s="18"/>
      <c r="C106" s="18"/>
      <c r="D106" s="18"/>
      <c r="E106" s="18"/>
    </row>
  </sheetData>
  <mergeCells count="2">
    <mergeCell ref="A2:E2"/>
    <mergeCell ref="A106:E10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8"/>
    <col collapsed="false" customWidth="true" hidden="false" outlineLevel="0" max="3" min="3" style="0" width="24"/>
  </cols>
  <sheetData>
    <row r="1" customFormat="false" ht="15" hidden="false" customHeight="false" outlineLevel="0" collapsed="false">
      <c r="A1" s="19" t="s">
        <v>63</v>
      </c>
    </row>
    <row r="3" customFormat="false" ht="15" hidden="false" customHeight="false" outlineLevel="0" collapsed="false">
      <c r="A3" s="1" t="s">
        <v>64</v>
      </c>
      <c r="B3" s="1" t="s">
        <v>65</v>
      </c>
      <c r="C3" s="1" t="s">
        <v>66</v>
      </c>
      <c r="D3" s="1" t="s">
        <v>67</v>
      </c>
      <c r="E3" s="1" t="s">
        <v>68</v>
      </c>
      <c r="F3" s="1" t="s">
        <v>69</v>
      </c>
      <c r="G3" s="1" t="s">
        <v>70</v>
      </c>
      <c r="H3" s="1" t="s">
        <v>71</v>
      </c>
    </row>
    <row r="4" customFormat="false" ht="15" hidden="false" customHeight="false" outlineLevel="0" collapsed="false">
      <c r="A4" s="7" t="s">
        <v>72</v>
      </c>
      <c r="B4" s="7" t="s">
        <v>73</v>
      </c>
      <c r="C4" s="7" t="s">
        <v>37</v>
      </c>
      <c r="D4" s="20" t="n">
        <v>-0.869807023831866</v>
      </c>
      <c r="E4" s="20" t="n">
        <v>0.203776370129867</v>
      </c>
      <c r="F4" s="21" t="n">
        <v>19</v>
      </c>
      <c r="G4" s="22" t="n">
        <f aca="false">IF(E4&gt;0,D4/E4,"")</f>
        <v>-4.26843908976068</v>
      </c>
      <c r="H4" s="22" t="n">
        <f aca="false">IF(G4="","",TDIST(ABS(G4),F4-1,2))</f>
        <v>0.000462353118518294</v>
      </c>
    </row>
    <row r="5" customFormat="false" ht="15" hidden="false" customHeight="false" outlineLevel="0" collapsed="false">
      <c r="A5" s="7" t="s">
        <v>72</v>
      </c>
      <c r="B5" s="7" t="s">
        <v>73</v>
      </c>
      <c r="C5" s="7" t="s">
        <v>38</v>
      </c>
      <c r="D5" s="20" t="n">
        <v>-0.394004973820241</v>
      </c>
      <c r="E5" s="20" t="n">
        <v>0.261448156801782</v>
      </c>
      <c r="F5" s="21" t="n">
        <v>19</v>
      </c>
      <c r="G5" s="22" t="n">
        <f aca="false">IF(E5&gt;0,D5/E5,"")</f>
        <v>-1.50700995042378</v>
      </c>
      <c r="H5" s="22" t="n">
        <f aca="false">IF(G5="","",TDIST(ABS(G5),F5-1,2))</f>
        <v>0.149157642872486</v>
      </c>
    </row>
    <row r="6" customFormat="false" ht="15" hidden="false" customHeight="false" outlineLevel="0" collapsed="false">
      <c r="A6" s="7" t="s">
        <v>72</v>
      </c>
      <c r="B6" s="7" t="s">
        <v>74</v>
      </c>
      <c r="C6" s="7" t="s">
        <v>37</v>
      </c>
      <c r="D6" s="20" t="n">
        <v>-0.673722585169463</v>
      </c>
      <c r="E6" s="20" t="n">
        <v>0.384186971870333</v>
      </c>
      <c r="F6" s="21" t="n">
        <v>19</v>
      </c>
      <c r="G6" s="22" t="n">
        <f aca="false">IF(E6&gt;0,D6/E6,"")</f>
        <v>-1.75363204506802</v>
      </c>
      <c r="H6" s="22" t="n">
        <f aca="false">IF(G6="","",TDIST(ABS(G6),F6-1,2))</f>
        <v>0.0965050788281239</v>
      </c>
    </row>
    <row r="7" customFormat="false" ht="15" hidden="false" customHeight="false" outlineLevel="0" collapsed="false">
      <c r="A7" s="7" t="s">
        <v>72</v>
      </c>
      <c r="B7" s="7" t="s">
        <v>74</v>
      </c>
      <c r="C7" s="7" t="s">
        <v>38</v>
      </c>
      <c r="D7" s="20" t="n">
        <v>-0.474076070781174</v>
      </c>
      <c r="E7" s="20" t="n">
        <v>0.275309563249754</v>
      </c>
      <c r="F7" s="21" t="n">
        <v>19</v>
      </c>
      <c r="G7" s="22" t="n">
        <f aca="false">IF(E7&gt;0,D7/E7,"")</f>
        <v>-1.72197458448294</v>
      </c>
      <c r="H7" s="22" t="n">
        <f aca="false">IF(G7="","",TDIST(ABS(G7),F7-1,2))</f>
        <v>0.102213371616695</v>
      </c>
    </row>
    <row r="8" customFormat="false" ht="15" hidden="false" customHeight="false" outlineLevel="0" collapsed="false">
      <c r="A8" s="7" t="s">
        <v>72</v>
      </c>
      <c r="B8" s="7" t="s">
        <v>75</v>
      </c>
      <c r="C8" s="7" t="s">
        <v>37</v>
      </c>
      <c r="D8" s="20" t="n">
        <v>-0.703519237810425</v>
      </c>
      <c r="E8" s="20" t="n">
        <v>0.23588169917591</v>
      </c>
      <c r="F8" s="21" t="n">
        <v>19</v>
      </c>
      <c r="G8" s="22" t="n">
        <f aca="false">IF(E8&gt;0,D8/E8,"")</f>
        <v>-2.98250877566289</v>
      </c>
      <c r="H8" s="22" t="n">
        <f aca="false">IF(G8="","",TDIST(ABS(G8),F8-1,2))</f>
        <v>0.00798319678582124</v>
      </c>
    </row>
    <row r="9" customFormat="false" ht="15" hidden="false" customHeight="false" outlineLevel="0" collapsed="false">
      <c r="A9" s="7" t="s">
        <v>72</v>
      </c>
      <c r="B9" s="7" t="s">
        <v>75</v>
      </c>
      <c r="C9" s="7" t="s">
        <v>38</v>
      </c>
      <c r="D9" s="20" t="n">
        <v>-0.192891418487145</v>
      </c>
      <c r="E9" s="20" t="n">
        <v>0.193187123379865</v>
      </c>
      <c r="F9" s="21" t="n">
        <v>19</v>
      </c>
      <c r="G9" s="22" t="n">
        <f aca="false">IF(E9&gt;0,D9/E9,"")</f>
        <v>-0.998469334355485</v>
      </c>
      <c r="H9" s="22" t="n">
        <f aca="false">IF(G9="","",TDIST(ABS(G9),F9-1,2))</f>
        <v>0.331286127560965</v>
      </c>
    </row>
    <row r="10" customFormat="false" ht="15" hidden="false" customHeight="false" outlineLevel="0" collapsed="false">
      <c r="A10" s="7" t="s">
        <v>72</v>
      </c>
      <c r="B10" s="7" t="s">
        <v>73</v>
      </c>
      <c r="C10" s="7" t="s">
        <v>76</v>
      </c>
      <c r="D10" s="20" t="n">
        <v>-0.475802050011624</v>
      </c>
      <c r="E10" s="20" t="n">
        <v>0.275407408636257</v>
      </c>
      <c r="F10" s="21" t="n">
        <v>19</v>
      </c>
      <c r="G10" s="22" t="n">
        <f aca="false">IF(E10&gt;0,D10/E10,"")</f>
        <v>-1.72762981347403</v>
      </c>
      <c r="H10" s="22" t="n">
        <f aca="false">IF(G10="","",TDIST(ABS(G10),F10-1,2))</f>
        <v>0.101172747488938</v>
      </c>
    </row>
    <row r="11" customFormat="false" ht="15" hidden="false" customHeight="false" outlineLevel="0" collapsed="false">
      <c r="A11" s="7" t="s">
        <v>72</v>
      </c>
      <c r="B11" s="7" t="s">
        <v>74</v>
      </c>
      <c r="C11" s="7" t="s">
        <v>76</v>
      </c>
      <c r="D11" s="20" t="n">
        <v>-0.199646514388289</v>
      </c>
      <c r="E11" s="20" t="n">
        <v>0.443852878551748</v>
      </c>
      <c r="F11" s="21" t="n">
        <v>19</v>
      </c>
      <c r="G11" s="22" t="n">
        <f aca="false">IF(E11&gt;0,D11/E11,"")</f>
        <v>-0.449803356102403</v>
      </c>
      <c r="H11" s="22" t="n">
        <f aca="false">IF(G11="","",TDIST(ABS(G11),F11-1,2))</f>
        <v>0.658221994508034</v>
      </c>
    </row>
    <row r="12" customFormat="false" ht="15" hidden="false" customHeight="false" outlineLevel="0" collapsed="false">
      <c r="A12" s="7" t="s">
        <v>72</v>
      </c>
      <c r="B12" s="7" t="s">
        <v>75</v>
      </c>
      <c r="C12" s="7" t="s">
        <v>76</v>
      </c>
      <c r="D12" s="20" t="n">
        <v>-0.51062781932328</v>
      </c>
      <c r="E12" s="20" t="n">
        <v>0.310314383730945</v>
      </c>
      <c r="F12" s="21" t="n">
        <v>19</v>
      </c>
      <c r="G12" s="22" t="n">
        <f aca="false">IF(E12&gt;0,D12/E12,"")</f>
        <v>-1.64551772684187</v>
      </c>
      <c r="H12" s="22" t="n">
        <f aca="false">IF(G12="","",TDIST(ABS(G12),F12-1,2))</f>
        <v>0.117212192395935</v>
      </c>
    </row>
    <row r="13" customFormat="false" ht="15" hidden="false" customHeight="false" outlineLevel="0" collapsed="false">
      <c r="A13" s="7" t="s">
        <v>77</v>
      </c>
      <c r="B13" s="7" t="s">
        <v>73</v>
      </c>
      <c r="C13" s="7" t="s">
        <v>48</v>
      </c>
      <c r="D13" s="20" t="n">
        <v>-1.21348664237797</v>
      </c>
      <c r="E13" s="20" t="n">
        <v>0.340870315178759</v>
      </c>
      <c r="F13" s="21" t="n">
        <v>19</v>
      </c>
      <c r="G13" s="22" t="n">
        <f aca="false">IF(E13&gt;0,D13/E13,"")</f>
        <v>-3.55996573577137</v>
      </c>
      <c r="H13" s="22" t="n">
        <f aca="false">IF(G13="","",TDIST(ABS(G13),F13-1,2))</f>
        <v>0.00223781473811932</v>
      </c>
    </row>
    <row r="14" customFormat="false" ht="15" hidden="false" customHeight="false" outlineLevel="0" collapsed="false">
      <c r="A14" s="7" t="s">
        <v>77</v>
      </c>
      <c r="B14" s="7" t="s">
        <v>73</v>
      </c>
      <c r="C14" s="7" t="s">
        <v>49</v>
      </c>
      <c r="D14" s="20" t="n">
        <v>-0.385196551356269</v>
      </c>
      <c r="E14" s="20" t="n">
        <v>0.206698362493553</v>
      </c>
      <c r="F14" s="21" t="n">
        <v>19</v>
      </c>
      <c r="G14" s="22" t="n">
        <f aca="false">IF(E14&gt;0,D14/E14,"")</f>
        <v>-1.86356847102881</v>
      </c>
      <c r="H14" s="22" t="n">
        <f aca="false">IF(G14="","",TDIST(ABS(G14),F14-1,2))</f>
        <v>0.0787801309418914</v>
      </c>
    </row>
    <row r="15" customFormat="false" ht="15" hidden="false" customHeight="false" outlineLevel="0" collapsed="false">
      <c r="A15" s="7" t="s">
        <v>77</v>
      </c>
      <c r="B15" s="7" t="s">
        <v>74</v>
      </c>
      <c r="C15" s="7" t="s">
        <v>48</v>
      </c>
      <c r="D15" s="20" t="n">
        <v>-0.865429356313647</v>
      </c>
      <c r="E15" s="20" t="n">
        <v>0.281923742469258</v>
      </c>
      <c r="F15" s="21" t="n">
        <v>19</v>
      </c>
      <c r="G15" s="22" t="n">
        <f aca="false">IF(E15&gt;0,D15/E15,"")</f>
        <v>-3.06972853273617</v>
      </c>
      <c r="H15" s="22" t="n">
        <f aca="false">IF(G15="","",TDIST(ABS(G15),F15-1,2))</f>
        <v>0.00660197479046314</v>
      </c>
    </row>
    <row r="16" customFormat="false" ht="15" hidden="false" customHeight="false" outlineLevel="0" collapsed="false">
      <c r="A16" s="7" t="s">
        <v>77</v>
      </c>
      <c r="B16" s="7" t="s">
        <v>74</v>
      </c>
      <c r="C16" s="7" t="s">
        <v>49</v>
      </c>
      <c r="D16" s="20" t="n">
        <v>-0.629778575349645</v>
      </c>
      <c r="E16" s="20" t="n">
        <v>0.277653477997774</v>
      </c>
      <c r="F16" s="21" t="n">
        <v>19</v>
      </c>
      <c r="G16" s="22" t="n">
        <f aca="false">IF(E16&gt;0,D16/E16,"")</f>
        <v>-2.26821785158655</v>
      </c>
      <c r="H16" s="22" t="n">
        <f aca="false">IF(G16="","",TDIST(ABS(G16),F16-1,2))</f>
        <v>0.0358568561696392</v>
      </c>
    </row>
    <row r="17" customFormat="false" ht="15" hidden="false" customHeight="false" outlineLevel="0" collapsed="false">
      <c r="A17" s="7" t="s">
        <v>77</v>
      </c>
      <c r="B17" s="7" t="s">
        <v>75</v>
      </c>
      <c r="C17" s="7" t="s">
        <v>48</v>
      </c>
      <c r="D17" s="20" t="n">
        <v>-0.793173677072353</v>
      </c>
      <c r="E17" s="20" t="n">
        <v>0.162577811634522</v>
      </c>
      <c r="F17" s="21" t="n">
        <v>19</v>
      </c>
      <c r="G17" s="22" t="n">
        <f aca="false">IF(E17&gt;0,D17/E17,"")</f>
        <v>-4.87873264560495</v>
      </c>
      <c r="H17" s="22" t="n">
        <f aca="false">IF(G17="","",TDIST(ABS(G17),F17-1,2))</f>
        <v>0.000120789269732618</v>
      </c>
    </row>
    <row r="18" customFormat="false" ht="15" hidden="false" customHeight="false" outlineLevel="0" collapsed="false">
      <c r="A18" s="7" t="s">
        <v>77</v>
      </c>
      <c r="B18" s="7" t="s">
        <v>75</v>
      </c>
      <c r="C18" s="7" t="s">
        <v>49</v>
      </c>
      <c r="D18" s="20" t="n">
        <v>-0.363756607206115</v>
      </c>
      <c r="E18" s="20" t="n">
        <v>0.277898835158063</v>
      </c>
      <c r="F18" s="21" t="n">
        <v>19</v>
      </c>
      <c r="G18" s="22" t="n">
        <f aca="false">IF(E18&gt;0,D18/E18,"")</f>
        <v>-1.30895333547986</v>
      </c>
      <c r="H18" s="22" t="n">
        <f aca="false">IF(G18="","",TDIST(ABS(G18),F18-1,2))</f>
        <v>0.207015596529278</v>
      </c>
    </row>
    <row r="19" customFormat="false" ht="15" hidden="false" customHeight="false" outlineLevel="0" collapsed="false">
      <c r="A19" s="7" t="s">
        <v>77</v>
      </c>
      <c r="B19" s="7" t="s">
        <v>73</v>
      </c>
      <c r="C19" s="7" t="s">
        <v>76</v>
      </c>
      <c r="D19" s="20" t="n">
        <v>-0.828290091021703</v>
      </c>
      <c r="E19" s="20" t="n">
        <v>0.409332952701896</v>
      </c>
      <c r="F19" s="21" t="n">
        <v>19</v>
      </c>
      <c r="G19" s="22" t="n">
        <f aca="false">IF(E19&gt;0,D19/E19,"")</f>
        <v>-2.02351187597867</v>
      </c>
      <c r="H19" s="22" t="n">
        <f aca="false">IF(G19="","",TDIST(ABS(G19),F19-1,2))</f>
        <v>0.0581270698279712</v>
      </c>
    </row>
    <row r="20" customFormat="false" ht="15" hidden="false" customHeight="false" outlineLevel="0" collapsed="false">
      <c r="A20" s="7" t="s">
        <v>77</v>
      </c>
      <c r="B20" s="7" t="s">
        <v>74</v>
      </c>
      <c r="C20" s="7" t="s">
        <v>76</v>
      </c>
      <c r="D20" s="20" t="n">
        <v>-0.235650780964003</v>
      </c>
      <c r="E20" s="20" t="n">
        <v>0.460705277850546</v>
      </c>
      <c r="F20" s="21" t="n">
        <v>19</v>
      </c>
      <c r="G20" s="22" t="n">
        <f aca="false">IF(E20&gt;0,D20/E20,"")</f>
        <v>-0.511500068033621</v>
      </c>
      <c r="H20" s="22" t="n">
        <f aca="false">IF(G20="","",TDIST(ABS(G20),F20-1,2))</f>
        <v>0.615218489151691</v>
      </c>
    </row>
    <row r="21" customFormat="false" ht="15" hidden="false" customHeight="false" outlineLevel="0" collapsed="false">
      <c r="A21" s="7" t="s">
        <v>77</v>
      </c>
      <c r="B21" s="7" t="s">
        <v>75</v>
      </c>
      <c r="C21" s="7" t="s">
        <v>76</v>
      </c>
      <c r="D21" s="20" t="n">
        <v>-0.429417069866238</v>
      </c>
      <c r="E21" s="20" t="n">
        <v>0.355382564574336</v>
      </c>
      <c r="F21" s="21" t="n">
        <v>19</v>
      </c>
      <c r="G21" s="22" t="n">
        <f aca="false">IF(E21&gt;0,D21/E21,"")</f>
        <v>-1.20832340320516</v>
      </c>
      <c r="H21" s="22" t="n">
        <f aca="false">IF(G21="","",TDIST(ABS(G21),F21-1,2))</f>
        <v>0.242558435935887</v>
      </c>
    </row>
    <row r="22" customFormat="false" ht="15" hidden="false" customHeight="false" outlineLevel="0" collapsed="false">
      <c r="A22" s="7" t="s">
        <v>78</v>
      </c>
      <c r="B22" s="7" t="s">
        <v>73</v>
      </c>
      <c r="C22" s="7" t="s">
        <v>52</v>
      </c>
      <c r="D22" s="20" t="n">
        <v>-0.773990241880587</v>
      </c>
      <c r="E22" s="20" t="n">
        <v>0.336208890102611</v>
      </c>
      <c r="F22" s="21" t="n">
        <v>19</v>
      </c>
      <c r="G22" s="22" t="n">
        <f aca="false">IF(E22&gt;0,D22/E22,"")</f>
        <v>-2.30211117155279</v>
      </c>
      <c r="H22" s="22" t="n">
        <f aca="false">IF(G22="","",TDIST(ABS(G22),F22-1,2))</f>
        <v>0.0334847440234344</v>
      </c>
    </row>
    <row r="23" customFormat="false" ht="15" hidden="false" customHeight="false" outlineLevel="0" collapsed="false">
      <c r="A23" s="7" t="s">
        <v>78</v>
      </c>
      <c r="B23" s="7" t="s">
        <v>73</v>
      </c>
      <c r="C23" s="7" t="s">
        <v>51</v>
      </c>
      <c r="D23" s="20" t="n">
        <v>-0.265950740926509</v>
      </c>
      <c r="E23" s="20" t="n">
        <v>0.253548235390508</v>
      </c>
      <c r="F23" s="21" t="n">
        <v>19</v>
      </c>
      <c r="G23" s="22" t="n">
        <f aca="false">IF(E23&gt;0,D23/E23,"")</f>
        <v>-1.04891576357019</v>
      </c>
      <c r="H23" s="22" t="n">
        <f aca="false">IF(G23="","",TDIST(ABS(G23),F23-1,2))</f>
        <v>0.30809722932861</v>
      </c>
    </row>
    <row r="24" customFormat="false" ht="15" hidden="false" customHeight="false" outlineLevel="0" collapsed="false">
      <c r="A24" s="7" t="s">
        <v>78</v>
      </c>
      <c r="B24" s="7" t="s">
        <v>74</v>
      </c>
      <c r="C24" s="7" t="s">
        <v>52</v>
      </c>
      <c r="D24" s="20" t="n">
        <v>-0.44694397381509</v>
      </c>
      <c r="E24" s="20" t="n">
        <v>0.340782879200332</v>
      </c>
      <c r="F24" s="21" t="n">
        <v>19</v>
      </c>
      <c r="G24" s="22" t="n">
        <f aca="false">IF(E24&gt;0,D24/E24,"")</f>
        <v>-1.31152120923408</v>
      </c>
      <c r="H24" s="22" t="n">
        <f aca="false">IF(G24="","",TDIST(ABS(G24),F24-1,2))</f>
        <v>0.206165155637959</v>
      </c>
    </row>
    <row r="25" customFormat="false" ht="15" hidden="false" customHeight="false" outlineLevel="0" collapsed="false">
      <c r="A25" s="7" t="s">
        <v>78</v>
      </c>
      <c r="B25" s="7" t="s">
        <v>74</v>
      </c>
      <c r="C25" s="7" t="s">
        <v>51</v>
      </c>
      <c r="D25" s="20" t="n">
        <v>-0.81650829468493</v>
      </c>
      <c r="E25" s="20" t="n">
        <v>0.450434368121531</v>
      </c>
      <c r="F25" s="21" t="n">
        <v>19</v>
      </c>
      <c r="G25" s="22" t="n">
        <f aca="false">IF(E25&gt;0,D25/E25,"")</f>
        <v>-1.81271313308098</v>
      </c>
      <c r="H25" s="22" t="n">
        <f aca="false">IF(G25="","",TDIST(ABS(G25),F25-1,2))</f>
        <v>0.0865891932468708</v>
      </c>
    </row>
    <row r="26" customFormat="false" ht="15" hidden="false" customHeight="false" outlineLevel="0" collapsed="false">
      <c r="A26" s="7" t="s">
        <v>78</v>
      </c>
      <c r="B26" s="7" t="s">
        <v>75</v>
      </c>
      <c r="C26" s="7" t="s">
        <v>52</v>
      </c>
      <c r="D26" s="20" t="n">
        <v>-0.38823691508521</v>
      </c>
      <c r="E26" s="20" t="n">
        <v>0.21606100610886</v>
      </c>
      <c r="F26" s="21" t="n">
        <v>19</v>
      </c>
      <c r="G26" s="22" t="n">
        <f aca="false">IF(E26&gt;0,D26/E26,"")</f>
        <v>-1.79688562076584</v>
      </c>
      <c r="H26" s="22" t="n">
        <f aca="false">IF(G26="","",TDIST(ABS(G26),F26-1,2))</f>
        <v>0.0891542360122892</v>
      </c>
    </row>
    <row r="27" customFormat="false" ht="15" hidden="false" customHeight="false" outlineLevel="0" collapsed="false">
      <c r="A27" s="7" t="s">
        <v>78</v>
      </c>
      <c r="B27" s="7" t="s">
        <v>75</v>
      </c>
      <c r="C27" s="7" t="s">
        <v>51</v>
      </c>
      <c r="D27" s="20" t="n">
        <v>-0.366369275195547</v>
      </c>
      <c r="E27" s="20" t="n">
        <v>0.193154529307744</v>
      </c>
      <c r="F27" s="21" t="n">
        <v>19</v>
      </c>
      <c r="G27" s="22" t="n">
        <f aca="false">IF(E27&gt;0,D27/E27,"")</f>
        <v>-1.89676771499273</v>
      </c>
      <c r="H27" s="22" t="n">
        <f aca="false">IF(G27="","",TDIST(ABS(G27),F27-1,2))</f>
        <v>0.0740236159183462</v>
      </c>
    </row>
    <row r="28" customFormat="false" ht="15" hidden="false" customHeight="false" outlineLevel="0" collapsed="false">
      <c r="A28" s="7" t="s">
        <v>78</v>
      </c>
      <c r="B28" s="7" t="s">
        <v>73</v>
      </c>
      <c r="C28" s="7" t="s">
        <v>76</v>
      </c>
      <c r="D28" s="20" t="n">
        <v>0.508039500954078</v>
      </c>
      <c r="E28" s="20" t="n">
        <v>0.527565901064347</v>
      </c>
      <c r="F28" s="21" t="n">
        <v>19</v>
      </c>
      <c r="G28" s="22" t="n">
        <f aca="false">IF(E28&gt;0,D28/E28,"")</f>
        <v>0.962987751727556</v>
      </c>
      <c r="H28" s="22" t="n">
        <f aca="false">IF(G28="","",TDIST(ABS(G28),F28-1,2))</f>
        <v>0.348313299591622</v>
      </c>
    </row>
    <row r="29" customFormat="false" ht="15" hidden="false" customHeight="false" outlineLevel="0" collapsed="false">
      <c r="A29" s="7" t="s">
        <v>78</v>
      </c>
      <c r="B29" s="7" t="s">
        <v>74</v>
      </c>
      <c r="C29" s="7" t="s">
        <v>76</v>
      </c>
      <c r="D29" s="20" t="n">
        <v>-0.369564320869841</v>
      </c>
      <c r="E29" s="20" t="n">
        <v>0.584703034193108</v>
      </c>
      <c r="F29" s="21" t="n">
        <v>19</v>
      </c>
      <c r="G29" s="22" t="n">
        <f aca="false">IF(E29&gt;0,D29/E29,"")</f>
        <v>-0.632054734211942</v>
      </c>
      <c r="H29" s="22" t="n">
        <f aca="false">IF(G29="","",TDIST(ABS(G29),F29-1,2))</f>
        <v>0.535297400640764</v>
      </c>
    </row>
    <row r="30" customFormat="false" ht="15" hidden="false" customHeight="false" outlineLevel="0" collapsed="false">
      <c r="A30" s="7" t="s">
        <v>78</v>
      </c>
      <c r="B30" s="7" t="s">
        <v>75</v>
      </c>
      <c r="C30" s="7" t="s">
        <v>76</v>
      </c>
      <c r="D30" s="20" t="n">
        <v>0.0218676398896629</v>
      </c>
      <c r="E30" s="20" t="n">
        <v>0.335521659014611</v>
      </c>
      <c r="F30" s="21" t="n">
        <v>19</v>
      </c>
      <c r="G30" s="22" t="n">
        <f aca="false">IF(E30&gt;0,D30/E30,"")</f>
        <v>0.065175046981723</v>
      </c>
      <c r="H30" s="22" t="n">
        <f aca="false">IF(G30="","",TDIST(ABS(G30),F30-1,2))</f>
        <v>0.948753027771774</v>
      </c>
    </row>
    <row r="31" customFormat="false" ht="15" hidden="false" customHeight="false" outlineLevel="0" collapsed="false">
      <c r="A31" s="7" t="s">
        <v>79</v>
      </c>
      <c r="B31" s="7" t="s">
        <v>73</v>
      </c>
      <c r="C31" s="7" t="s">
        <v>55</v>
      </c>
      <c r="D31" s="20" t="n">
        <v>-0.612276382332121</v>
      </c>
      <c r="E31" s="20" t="n">
        <v>0.212717765897274</v>
      </c>
      <c r="F31" s="21" t="n">
        <v>87</v>
      </c>
      <c r="G31" s="22" t="n">
        <f aca="false">IF(E31&gt;0,D31/E31,"")</f>
        <v>-2.87835094426388</v>
      </c>
      <c r="H31" s="22" t="n">
        <f aca="false">IF(G31="","",TDIST(ABS(G31),F31-1,2))</f>
        <v>0.00504218330372112</v>
      </c>
    </row>
    <row r="32" customFormat="false" ht="15" hidden="false" customHeight="false" outlineLevel="0" collapsed="false">
      <c r="A32" s="7" t="s">
        <v>79</v>
      </c>
      <c r="B32" s="7" t="s">
        <v>73</v>
      </c>
      <c r="C32" s="7" t="s">
        <v>54</v>
      </c>
      <c r="D32" s="20" t="n">
        <v>-0.0269083744893069</v>
      </c>
      <c r="E32" s="20" t="n">
        <v>0.295442744208572</v>
      </c>
      <c r="F32" s="21" t="n">
        <v>87</v>
      </c>
      <c r="G32" s="22" t="n">
        <f aca="false">IF(E32&gt;0,D32/E32,"")</f>
        <v>-0.0910781361762282</v>
      </c>
      <c r="H32" s="22" t="n">
        <f aca="false">IF(G32="","",TDIST(ABS(G32),F32-1,2))</f>
        <v>0.927642311012261</v>
      </c>
    </row>
    <row r="33" customFormat="false" ht="15" hidden="false" customHeight="false" outlineLevel="0" collapsed="false">
      <c r="A33" s="7" t="s">
        <v>79</v>
      </c>
      <c r="B33" s="7" t="s">
        <v>74</v>
      </c>
      <c r="C33" s="7" t="s">
        <v>55</v>
      </c>
      <c r="D33" s="20" t="n">
        <v>-0.455553293679858</v>
      </c>
      <c r="E33" s="20" t="n">
        <v>0.277865980212774</v>
      </c>
      <c r="F33" s="21" t="n">
        <v>66</v>
      </c>
      <c r="G33" s="22" t="n">
        <f aca="false">IF(E33&gt;0,D33/E33,"")</f>
        <v>-1.63947127795573</v>
      </c>
      <c r="H33" s="22" t="n">
        <f aca="false">IF(G33="","",TDIST(ABS(G33),F33-1,2))</f>
        <v>0.105946640968713</v>
      </c>
    </row>
    <row r="34" customFormat="false" ht="15" hidden="false" customHeight="false" outlineLevel="0" collapsed="false">
      <c r="A34" s="7" t="s">
        <v>79</v>
      </c>
      <c r="B34" s="7" t="s">
        <v>74</v>
      </c>
      <c r="C34" s="7" t="s">
        <v>54</v>
      </c>
      <c r="D34" s="20" t="n">
        <v>-0.672949777525367</v>
      </c>
      <c r="E34" s="20" t="n">
        <v>0.336339956479298</v>
      </c>
      <c r="F34" s="21" t="n">
        <v>66</v>
      </c>
      <c r="G34" s="22" t="n">
        <f aca="false">IF(E34&gt;0,D34/E34,"")</f>
        <v>-2.000802356549</v>
      </c>
      <c r="H34" s="22" t="n">
        <f aca="false">IF(G34="","",TDIST(ABS(G34),F34-1,2))</f>
        <v>0.0495933177217784</v>
      </c>
    </row>
    <row r="35" customFormat="false" ht="15" hidden="false" customHeight="false" outlineLevel="0" collapsed="false">
      <c r="A35" s="7" t="s">
        <v>79</v>
      </c>
      <c r="B35" s="7" t="s">
        <v>75</v>
      </c>
      <c r="C35" s="7" t="s">
        <v>55</v>
      </c>
      <c r="D35" s="20" t="n">
        <v>-0.283770652965016</v>
      </c>
      <c r="E35" s="20" t="n">
        <v>0.182804948379165</v>
      </c>
      <c r="F35" s="21" t="n">
        <v>68</v>
      </c>
      <c r="G35" s="22" t="n">
        <f aca="false">IF(E35&gt;0,D35/E35,"")</f>
        <v>-1.55231384861876</v>
      </c>
      <c r="H35" s="22" t="n">
        <f aca="false">IF(G35="","",TDIST(ABS(G35),F35-1,2))</f>
        <v>0.125298347784346</v>
      </c>
    </row>
    <row r="36" customFormat="false" ht="15" hidden="false" customHeight="false" outlineLevel="0" collapsed="false">
      <c r="A36" s="7" t="s">
        <v>79</v>
      </c>
      <c r="B36" s="7" t="s">
        <v>75</v>
      </c>
      <c r="C36" s="7" t="s">
        <v>54</v>
      </c>
      <c r="D36" s="20" t="n">
        <v>-0.449374914186565</v>
      </c>
      <c r="E36" s="20" t="n">
        <v>0.338022718166865</v>
      </c>
      <c r="F36" s="21" t="n">
        <v>68</v>
      </c>
      <c r="G36" s="22" t="n">
        <f aca="false">IF(E36&gt;0,D36/E36,"")</f>
        <v>-1.32942222529768</v>
      </c>
      <c r="H36" s="22" t="n">
        <f aca="false">IF(G36="","",TDIST(ABS(G36),F36-1,2))</f>
        <v>0.188217655807636</v>
      </c>
    </row>
    <row r="37" customFormat="false" ht="15" hidden="false" customHeight="false" outlineLevel="0" collapsed="false">
      <c r="A37" s="7" t="s">
        <v>79</v>
      </c>
      <c r="B37" s="7" t="s">
        <v>73</v>
      </c>
      <c r="C37" s="7" t="s">
        <v>76</v>
      </c>
      <c r="D37" s="20" t="n">
        <v>0.585368007842814</v>
      </c>
      <c r="E37" s="20" t="n">
        <v>0.387170987263852</v>
      </c>
      <c r="F37" s="21" t="n">
        <v>87</v>
      </c>
      <c r="G37" s="22" t="n">
        <f aca="false">IF(E37&gt;0,D37/E37,"")</f>
        <v>1.51191082777051</v>
      </c>
      <c r="H37" s="22" t="n">
        <f aca="false">IF(G37="","",TDIST(ABS(G37),F37-1,2))</f>
        <v>0.134222642269026</v>
      </c>
    </row>
    <row r="38" customFormat="false" ht="15" hidden="false" customHeight="false" outlineLevel="0" collapsed="false">
      <c r="A38" s="7" t="s">
        <v>79</v>
      </c>
      <c r="B38" s="7" t="s">
        <v>74</v>
      </c>
      <c r="C38" s="7" t="s">
        <v>76</v>
      </c>
      <c r="D38" s="20" t="n">
        <v>-0.21739648384551</v>
      </c>
      <c r="E38" s="20" t="n">
        <v>0.404801996299186</v>
      </c>
      <c r="F38" s="21" t="n">
        <v>66</v>
      </c>
      <c r="G38" s="22" t="n">
        <f aca="false">IF(E38&gt;0,D38/E38,"")</f>
        <v>-0.537044001346361</v>
      </c>
      <c r="H38" s="22" t="n">
        <f aca="false">IF(G38="","",TDIST(ABS(G38),F38-1,2))</f>
        <v>0.593070885714367</v>
      </c>
    </row>
    <row r="39" customFormat="false" ht="15" hidden="false" customHeight="false" outlineLevel="0" collapsed="false">
      <c r="A39" s="7" t="s">
        <v>79</v>
      </c>
      <c r="B39" s="7" t="s">
        <v>75</v>
      </c>
      <c r="C39" s="7" t="s">
        <v>76</v>
      </c>
      <c r="D39" s="20" t="n">
        <v>-0.165604261221549</v>
      </c>
      <c r="E39" s="20" t="n">
        <v>0.378477805340094</v>
      </c>
      <c r="F39" s="21" t="n">
        <v>68</v>
      </c>
      <c r="G39" s="22" t="n">
        <f aca="false">IF(E39&gt;0,D39/E39,"")</f>
        <v>-0.437553428193074</v>
      </c>
      <c r="H39" s="22" t="n">
        <f aca="false">IF(G39="","",TDIST(ABS(G39),F39-1,2))</f>
        <v>0.66311730112471</v>
      </c>
    </row>
    <row r="40" customFormat="false" ht="15" hidden="false" customHeight="false" outlineLevel="0" collapsed="false">
      <c r="A40" s="7" t="s">
        <v>80</v>
      </c>
      <c r="B40" s="7" t="s">
        <v>73</v>
      </c>
      <c r="C40" s="7" t="s">
        <v>57</v>
      </c>
      <c r="D40" s="20" t="n">
        <v>-1.40866662191584</v>
      </c>
      <c r="E40" s="20" t="n">
        <v>0.970706502341395</v>
      </c>
      <c r="F40" s="21" t="n">
        <v>19</v>
      </c>
      <c r="G40" s="22" t="n">
        <f aca="false">IF(E40&gt;0,D40/E40,"")</f>
        <v>-1.45117666206836</v>
      </c>
      <c r="H40" s="22" t="n">
        <f aca="false">IF(G40="","",TDIST(ABS(G40),F40-1,2))</f>
        <v>0.16393621677203</v>
      </c>
    </row>
    <row r="41" customFormat="false" ht="15" hidden="false" customHeight="false" outlineLevel="0" collapsed="false">
      <c r="A41" s="7" t="s">
        <v>80</v>
      </c>
      <c r="B41" s="7" t="s">
        <v>73</v>
      </c>
      <c r="C41" s="7" t="s">
        <v>58</v>
      </c>
      <c r="D41" s="20" t="n">
        <v>-0.381907504291192</v>
      </c>
      <c r="E41" s="20" t="n">
        <v>0.304049945389078</v>
      </c>
      <c r="F41" s="21" t="n">
        <v>19</v>
      </c>
      <c r="G41" s="22" t="n">
        <f aca="false">IF(E41&gt;0,D41/E41,"")</f>
        <v>-1.25606832062569</v>
      </c>
      <c r="H41" s="22" t="n">
        <f aca="false">IF(G41="","",TDIST(ABS(G41),F41-1,2))</f>
        <v>0.225150296113358</v>
      </c>
    </row>
    <row r="42" customFormat="false" ht="15" hidden="false" customHeight="false" outlineLevel="0" collapsed="false">
      <c r="A42" s="7" t="s">
        <v>80</v>
      </c>
      <c r="B42" s="7" t="s">
        <v>74</v>
      </c>
      <c r="C42" s="7" t="s">
        <v>57</v>
      </c>
      <c r="D42" s="20" t="n">
        <v>-0.84854503972945</v>
      </c>
      <c r="E42" s="20" t="n">
        <v>0.770767745488997</v>
      </c>
      <c r="F42" s="21" t="n">
        <v>19</v>
      </c>
      <c r="G42" s="22" t="n">
        <f aca="false">IF(E42&gt;0,D42/E42,"")</f>
        <v>-1.10090885963463</v>
      </c>
      <c r="H42" s="22" t="n">
        <f aca="false">IF(G42="","",TDIST(ABS(G42),F42-1,2))</f>
        <v>0.285441179016971</v>
      </c>
    </row>
    <row r="43" customFormat="false" ht="15" hidden="false" customHeight="false" outlineLevel="0" collapsed="false">
      <c r="A43" s="7" t="s">
        <v>80</v>
      </c>
      <c r="B43" s="7" t="s">
        <v>74</v>
      </c>
      <c r="C43" s="7" t="s">
        <v>58</v>
      </c>
      <c r="D43" s="20" t="n">
        <v>-0.338759106992169</v>
      </c>
      <c r="E43" s="20" t="n">
        <v>0.171458097682274</v>
      </c>
      <c r="F43" s="21" t="n">
        <v>19</v>
      </c>
      <c r="G43" s="22" t="n">
        <f aca="false">IF(E43&gt;0,D43/E43,"")</f>
        <v>-1.97575449378843</v>
      </c>
      <c r="H43" s="22" t="n">
        <f aca="false">IF(G43="","",TDIST(ABS(G43),F43-1,2))</f>
        <v>0.063716926590921</v>
      </c>
    </row>
    <row r="44" customFormat="false" ht="15" hidden="false" customHeight="false" outlineLevel="0" collapsed="false">
      <c r="A44" s="7" t="s">
        <v>80</v>
      </c>
      <c r="B44" s="7" t="s">
        <v>75</v>
      </c>
      <c r="C44" s="7" t="s">
        <v>57</v>
      </c>
      <c r="D44" s="20" t="n">
        <v>-0.964023850085912</v>
      </c>
      <c r="E44" s="20" t="n">
        <v>0.265020762079483</v>
      </c>
      <c r="F44" s="21" t="n">
        <v>19</v>
      </c>
      <c r="G44" s="22" t="n">
        <f aca="false">IF(E44&gt;0,D44/E44,"")</f>
        <v>-3.63754085725854</v>
      </c>
      <c r="H44" s="22" t="n">
        <f aca="false">IF(G44="","",TDIST(ABS(G44),F44-1,2))</f>
        <v>0.00188314014647664</v>
      </c>
    </row>
    <row r="45" customFormat="false" ht="15" hidden="false" customHeight="false" outlineLevel="0" collapsed="false">
      <c r="A45" s="7" t="s">
        <v>80</v>
      </c>
      <c r="B45" s="7" t="s">
        <v>75</v>
      </c>
      <c r="C45" s="7" t="s">
        <v>58</v>
      </c>
      <c r="D45" s="20" t="n">
        <v>-0.0935725885585972</v>
      </c>
      <c r="E45" s="20" t="n">
        <v>0.142929417467805</v>
      </c>
      <c r="F45" s="21" t="n">
        <v>19</v>
      </c>
      <c r="G45" s="22" t="n">
        <f aca="false">IF(E45&gt;0,D45/E45,"")</f>
        <v>-0.654676904281614</v>
      </c>
      <c r="H45" s="22" t="n">
        <f aca="false">IF(G45="","",TDIST(ABS(G45),F45-1,2))</f>
        <v>0.520954400508472</v>
      </c>
    </row>
    <row r="46" customFormat="false" ht="15" hidden="false" customHeight="false" outlineLevel="0" collapsed="false">
      <c r="A46" s="7" t="s">
        <v>80</v>
      </c>
      <c r="B46" s="7" t="s">
        <v>73</v>
      </c>
      <c r="C46" s="7" t="s">
        <v>76</v>
      </c>
      <c r="D46" s="20" t="n">
        <v>-1.02675911762465</v>
      </c>
      <c r="E46" s="20" t="n">
        <v>1.24081225319479</v>
      </c>
      <c r="F46" s="21" t="n">
        <v>19</v>
      </c>
      <c r="G46" s="22" t="n">
        <f aca="false">IF(E46&gt;0,D46/E46,"")</f>
        <v>-0.827489505346998</v>
      </c>
      <c r="H46" s="22" t="n">
        <f aca="false">IF(G46="","",TDIST(ABS(G46),F46-1,2))</f>
        <v>0.418795613138911</v>
      </c>
    </row>
    <row r="47" customFormat="false" ht="15" hidden="false" customHeight="false" outlineLevel="0" collapsed="false">
      <c r="A47" s="7" t="s">
        <v>80</v>
      </c>
      <c r="B47" s="7" t="s">
        <v>74</v>
      </c>
      <c r="C47" s="7" t="s">
        <v>76</v>
      </c>
      <c r="D47" s="20" t="n">
        <v>-0.509785932737281</v>
      </c>
      <c r="E47" s="20" t="n">
        <v>0.80603002782909</v>
      </c>
      <c r="F47" s="21" t="n">
        <v>19</v>
      </c>
      <c r="G47" s="22" t="n">
        <f aca="false">IF(E47&gt;0,D47/E47,"")</f>
        <v>-0.632465187569136</v>
      </c>
      <c r="H47" s="22" t="n">
        <f aca="false">IF(G47="","",TDIST(ABS(G47),F47-1,2))</f>
        <v>0.535035250535236</v>
      </c>
    </row>
    <row r="48" customFormat="false" ht="15" hidden="false" customHeight="false" outlineLevel="0" collapsed="false">
      <c r="A48" s="7" t="s">
        <v>80</v>
      </c>
      <c r="B48" s="7" t="s">
        <v>75</v>
      </c>
      <c r="C48" s="7" t="s">
        <v>76</v>
      </c>
      <c r="D48" s="20" t="n">
        <v>-0.870451261527315</v>
      </c>
      <c r="E48" s="20" t="n">
        <v>0.33586011622448</v>
      </c>
      <c r="F48" s="21" t="n">
        <v>19</v>
      </c>
      <c r="G48" s="22" t="n">
        <f aca="false">IF(E48&gt;0,D48/E48,"")</f>
        <v>-2.59170773628128</v>
      </c>
      <c r="H48" s="22" t="n">
        <f aca="false">IF(G48="","",TDIST(ABS(G48),F48-1,2))</f>
        <v>0.0184175265073535</v>
      </c>
    </row>
    <row r="49" customFormat="false" ht="15" hidden="false" customHeight="false" outlineLevel="0" collapsed="false">
      <c r="A49" s="7" t="s">
        <v>81</v>
      </c>
      <c r="B49" s="7" t="s">
        <v>73</v>
      </c>
      <c r="C49" s="7" t="s">
        <v>60</v>
      </c>
      <c r="D49" s="20" t="n">
        <v>-1.35569747833822</v>
      </c>
      <c r="E49" s="20" t="n">
        <v>0.193587984446488</v>
      </c>
      <c r="F49" s="21" t="n">
        <v>19</v>
      </c>
      <c r="G49" s="22" t="n">
        <f aca="false">IF(E49&gt;0,D49/E49,"")</f>
        <v>-7.00300425263721</v>
      </c>
      <c r="H49" s="22" t="n">
        <f aca="false">IF(G49="","",TDIST(ABS(G49),F49-1,2))</f>
        <v>1.54462860683405E-006</v>
      </c>
    </row>
    <row r="50" customFormat="false" ht="15" hidden="false" customHeight="false" outlineLevel="0" collapsed="false">
      <c r="A50" s="7" t="s">
        <v>81</v>
      </c>
      <c r="B50" s="7" t="s">
        <v>73</v>
      </c>
      <c r="C50" s="7" t="s">
        <v>61</v>
      </c>
      <c r="D50" s="20" t="n">
        <v>-0.314149990184642</v>
      </c>
      <c r="E50" s="20" t="n">
        <v>0.154660248937985</v>
      </c>
      <c r="F50" s="21" t="n">
        <v>19</v>
      </c>
      <c r="G50" s="22" t="n">
        <f aca="false">IF(E50&gt;0,D50/E50,"")</f>
        <v>-2.0312264614976</v>
      </c>
      <c r="H50" s="22" t="n">
        <f aca="false">IF(G50="","",TDIST(ABS(G50),F50-1,2))</f>
        <v>0.0572667098705494</v>
      </c>
    </row>
    <row r="51" customFormat="false" ht="15" hidden="false" customHeight="false" outlineLevel="0" collapsed="false">
      <c r="A51" s="7" t="s">
        <v>81</v>
      </c>
      <c r="B51" s="7" t="s">
        <v>74</v>
      </c>
      <c r="C51" s="7" t="s">
        <v>60</v>
      </c>
      <c r="D51" s="20" t="n">
        <v>-1.07684049708784</v>
      </c>
      <c r="E51" s="20" t="n">
        <v>0.646661177452818</v>
      </c>
      <c r="F51" s="21" t="n">
        <v>19</v>
      </c>
      <c r="G51" s="22" t="n">
        <f aca="false">IF(E51&gt;0,D51/E51,"")</f>
        <v>-1.66523139881303</v>
      </c>
      <c r="H51" s="22" t="n">
        <f aca="false">IF(G51="","",TDIST(ABS(G51),F51-1,2))</f>
        <v>0.113175337004049</v>
      </c>
    </row>
    <row r="52" customFormat="false" ht="15" hidden="false" customHeight="false" outlineLevel="0" collapsed="false">
      <c r="A52" s="7" t="s">
        <v>81</v>
      </c>
      <c r="B52" s="7" t="s">
        <v>74</v>
      </c>
      <c r="C52" s="7" t="s">
        <v>61</v>
      </c>
      <c r="D52" s="20" t="n">
        <v>-0.433805644989318</v>
      </c>
      <c r="E52" s="20" t="n">
        <v>0.256461621630504</v>
      </c>
      <c r="F52" s="21" t="n">
        <v>19</v>
      </c>
      <c r="G52" s="22" t="n">
        <f aca="false">IF(E52&gt;0,D52/E52,"")</f>
        <v>-1.69150316617089</v>
      </c>
      <c r="H52" s="22" t="n">
        <f aca="false">IF(G52="","",TDIST(ABS(G52),F52-1,2))</f>
        <v>0.107980708211129</v>
      </c>
    </row>
    <row r="53" customFormat="false" ht="15" hidden="false" customHeight="false" outlineLevel="0" collapsed="false">
      <c r="A53" s="7" t="s">
        <v>81</v>
      </c>
      <c r="B53" s="7" t="s">
        <v>75</v>
      </c>
      <c r="C53" s="7" t="s">
        <v>60</v>
      </c>
      <c r="D53" s="20" t="n">
        <v>-0.982693722870947</v>
      </c>
      <c r="E53" s="20" t="n">
        <v>0.42910370918517</v>
      </c>
      <c r="F53" s="21" t="n">
        <v>19</v>
      </c>
      <c r="G53" s="22" t="n">
        <f aca="false">IF(E53&gt;0,D53/E53,"")</f>
        <v>-2.29010773348242</v>
      </c>
      <c r="H53" s="22" t="n">
        <f aca="false">IF(G53="","",TDIST(ABS(G53),F53-1,2))</f>
        <v>0.0343076921867149</v>
      </c>
    </row>
    <row r="54" customFormat="false" ht="15" hidden="false" customHeight="false" outlineLevel="0" collapsed="false">
      <c r="A54" s="7" t="s">
        <v>81</v>
      </c>
      <c r="B54" s="7" t="s">
        <v>75</v>
      </c>
      <c r="C54" s="7" t="s">
        <v>61</v>
      </c>
      <c r="D54" s="20" t="n">
        <v>-0.184992697940827</v>
      </c>
      <c r="E54" s="20" t="n">
        <v>0.0962162510823191</v>
      </c>
      <c r="F54" s="21" t="n">
        <v>19</v>
      </c>
      <c r="G54" s="22" t="n">
        <f aca="false">IF(E54&gt;0,D54/E54,"")</f>
        <v>-1.9226762200759</v>
      </c>
      <c r="H54" s="22" t="n">
        <f aca="false">IF(G54="","",TDIST(ABS(G54),F54-1,2))</f>
        <v>0.0704902880238571</v>
      </c>
    </row>
    <row r="55" customFormat="false" ht="15" hidden="false" customHeight="false" outlineLevel="0" collapsed="false">
      <c r="A55" s="7" t="s">
        <v>81</v>
      </c>
      <c r="B55" s="7" t="s">
        <v>73</v>
      </c>
      <c r="C55" s="7" t="s">
        <v>76</v>
      </c>
      <c r="D55" s="20" t="n">
        <v>-1.04154748815358</v>
      </c>
      <c r="E55" s="20" t="n">
        <v>0.200650930223804</v>
      </c>
      <c r="F55" s="21" t="n">
        <v>19</v>
      </c>
      <c r="G55" s="22" t="n">
        <f aca="false">IF(E55&gt;0,D55/E55,"")</f>
        <v>-5.19084305760181</v>
      </c>
      <c r="H55" s="22" t="n">
        <f aca="false">IF(G55="","",TDIST(ABS(G55),F55-1,2))</f>
        <v>6.15403052106177E-005</v>
      </c>
    </row>
    <row r="56" customFormat="false" ht="15" hidden="false" customHeight="false" outlineLevel="0" collapsed="false">
      <c r="A56" s="7" t="s">
        <v>81</v>
      </c>
      <c r="B56" s="7" t="s">
        <v>74</v>
      </c>
      <c r="C56" s="7" t="s">
        <v>76</v>
      </c>
      <c r="D56" s="20" t="n">
        <v>-0.643034852098521</v>
      </c>
      <c r="E56" s="20" t="n">
        <v>0.75820697456925</v>
      </c>
      <c r="F56" s="21" t="n">
        <v>19</v>
      </c>
      <c r="G56" s="22" t="n">
        <f aca="false">IF(E56&gt;0,D56/E56,"")</f>
        <v>-0.848099362926383</v>
      </c>
      <c r="H56" s="22" t="n">
        <f aca="false">IF(G56="","",TDIST(ABS(G56),F56-1,2))</f>
        <v>0.407519508752102</v>
      </c>
    </row>
    <row r="57" customFormat="false" ht="15" hidden="false" customHeight="false" outlineLevel="0" collapsed="false">
      <c r="A57" s="7" t="s">
        <v>81</v>
      </c>
      <c r="B57" s="7" t="s">
        <v>75</v>
      </c>
      <c r="C57" s="7" t="s">
        <v>76</v>
      </c>
      <c r="D57" s="20" t="n">
        <v>-0.79770102493012</v>
      </c>
      <c r="E57" s="20" t="n">
        <v>0.441861559032067</v>
      </c>
      <c r="F57" s="21" t="n">
        <v>19</v>
      </c>
      <c r="G57" s="22" t="n">
        <f aca="false">IF(E57&gt;0,D57/E57,"")</f>
        <v>-1.80531890277477</v>
      </c>
      <c r="H57" s="22" t="n">
        <f aca="false">IF(G57="","",TDIST(ABS(G57),F57-1,2))</f>
        <v>0.0877793698704087</v>
      </c>
    </row>
    <row r="58" customFormat="false" ht="15" hidden="false" customHeight="false" outlineLevel="0" collapsed="false">
      <c r="A58" s="7" t="s">
        <v>82</v>
      </c>
      <c r="B58" s="7" t="s">
        <v>73</v>
      </c>
      <c r="C58" s="7" t="s">
        <v>83</v>
      </c>
      <c r="D58" s="20" t="n">
        <v>-0.869807023831866</v>
      </c>
      <c r="E58" s="20" t="n">
        <v>0.203776370129867</v>
      </c>
      <c r="F58" s="21" t="n">
        <v>19</v>
      </c>
      <c r="G58" s="22" t="n">
        <f aca="false">IF(E58&gt;0,D58/E58,"")</f>
        <v>-4.26843908976068</v>
      </c>
      <c r="H58" s="22" t="n">
        <f aca="false">IF(G58="","",TDIST(ABS(G58),F58-1,2))</f>
        <v>0.000462353118518294</v>
      </c>
    </row>
    <row r="59" customFormat="false" ht="15" hidden="false" customHeight="false" outlineLevel="0" collapsed="false">
      <c r="A59" s="7" t="s">
        <v>82</v>
      </c>
      <c r="B59" s="7" t="s">
        <v>73</v>
      </c>
      <c r="C59" s="7" t="s">
        <v>84</v>
      </c>
      <c r="D59" s="20" t="n">
        <v>-0.394004973820241</v>
      </c>
      <c r="E59" s="20" t="n">
        <v>0.261448156801782</v>
      </c>
      <c r="F59" s="21" t="n">
        <v>19</v>
      </c>
      <c r="G59" s="22" t="n">
        <f aca="false">IF(E59&gt;0,D59/E59,"")</f>
        <v>-1.50700995042378</v>
      </c>
      <c r="H59" s="22" t="n">
        <f aca="false">IF(G59="","",TDIST(ABS(G59),F59-1,2))</f>
        <v>0.149157642872486</v>
      </c>
    </row>
    <row r="60" customFormat="false" ht="15" hidden="false" customHeight="false" outlineLevel="0" collapsed="false">
      <c r="A60" s="7" t="s">
        <v>82</v>
      </c>
      <c r="B60" s="7" t="s">
        <v>73</v>
      </c>
      <c r="C60" s="7" t="s">
        <v>76</v>
      </c>
      <c r="D60" s="20" t="n">
        <v>-0.475802050011624</v>
      </c>
      <c r="E60" s="20" t="n">
        <v>0.275407408636257</v>
      </c>
      <c r="F60" s="21" t="n">
        <v>19</v>
      </c>
      <c r="G60" s="22" t="n">
        <f aca="false">IF(E60&gt;0,D60/E60,"")</f>
        <v>-1.72762981347403</v>
      </c>
      <c r="H60" s="22" t="n">
        <f aca="false">IF(G60="","",TDIST(ABS(G60),F60-1,2))</f>
        <v>0.101172747488938</v>
      </c>
    </row>
    <row r="61" customFormat="false" ht="15" hidden="false" customHeight="false" outlineLevel="0" collapsed="false">
      <c r="A61" s="7" t="s">
        <v>82</v>
      </c>
      <c r="B61" s="7" t="s">
        <v>74</v>
      </c>
      <c r="C61" s="7" t="s">
        <v>83</v>
      </c>
      <c r="D61" s="20" t="n">
        <v>-0.673722585169463</v>
      </c>
      <c r="E61" s="20" t="n">
        <v>0.384186971870333</v>
      </c>
      <c r="F61" s="21" t="n">
        <v>19</v>
      </c>
      <c r="G61" s="22" t="n">
        <f aca="false">IF(E61&gt;0,D61/E61,"")</f>
        <v>-1.75363204506802</v>
      </c>
      <c r="H61" s="22" t="n">
        <f aca="false">IF(G61="","",TDIST(ABS(G61),F61-1,2))</f>
        <v>0.0965050788281239</v>
      </c>
    </row>
    <row r="62" customFormat="false" ht="15" hidden="false" customHeight="false" outlineLevel="0" collapsed="false">
      <c r="A62" s="7" t="s">
        <v>82</v>
      </c>
      <c r="B62" s="7" t="s">
        <v>74</v>
      </c>
      <c r="C62" s="7" t="s">
        <v>84</v>
      </c>
      <c r="D62" s="20" t="n">
        <v>-0.474076070781174</v>
      </c>
      <c r="E62" s="20" t="n">
        <v>0.275309563249754</v>
      </c>
      <c r="F62" s="21" t="n">
        <v>19</v>
      </c>
      <c r="G62" s="22" t="n">
        <f aca="false">IF(E62&gt;0,D62/E62,"")</f>
        <v>-1.72197458448294</v>
      </c>
      <c r="H62" s="22" t="n">
        <f aca="false">IF(G62="","",TDIST(ABS(G62),F62-1,2))</f>
        <v>0.102213371616695</v>
      </c>
    </row>
    <row r="63" customFormat="false" ht="15" hidden="false" customHeight="false" outlineLevel="0" collapsed="false">
      <c r="A63" s="7" t="s">
        <v>82</v>
      </c>
      <c r="B63" s="7" t="s">
        <v>74</v>
      </c>
      <c r="C63" s="7" t="s">
        <v>76</v>
      </c>
      <c r="D63" s="20" t="n">
        <v>-0.199646514388289</v>
      </c>
      <c r="E63" s="20" t="n">
        <v>0.443852878551748</v>
      </c>
      <c r="F63" s="21" t="n">
        <v>19</v>
      </c>
      <c r="G63" s="22" t="n">
        <f aca="false">IF(E63&gt;0,D63/E63,"")</f>
        <v>-0.449803356102403</v>
      </c>
      <c r="H63" s="22" t="n">
        <f aca="false">IF(G63="","",TDIST(ABS(G63),F63-1,2))</f>
        <v>0.658221994508034</v>
      </c>
    </row>
    <row r="64" customFormat="false" ht="15" hidden="false" customHeight="false" outlineLevel="0" collapsed="false">
      <c r="A64" s="7" t="s">
        <v>82</v>
      </c>
      <c r="B64" s="7" t="s">
        <v>75</v>
      </c>
      <c r="C64" s="7" t="s">
        <v>83</v>
      </c>
      <c r="D64" s="20" t="n">
        <v>-0.703519237810425</v>
      </c>
      <c r="E64" s="20" t="n">
        <v>0.23588169917591</v>
      </c>
      <c r="F64" s="21" t="n">
        <v>19</v>
      </c>
      <c r="G64" s="22" t="n">
        <f aca="false">IF(E64&gt;0,D64/E64,"")</f>
        <v>-2.98250877566289</v>
      </c>
      <c r="H64" s="22" t="n">
        <f aca="false">IF(G64="","",TDIST(ABS(G64),F64-1,2))</f>
        <v>0.00798319678582124</v>
      </c>
    </row>
    <row r="65" customFormat="false" ht="15" hidden="false" customHeight="false" outlineLevel="0" collapsed="false">
      <c r="A65" s="7" t="s">
        <v>82</v>
      </c>
      <c r="B65" s="7" t="s">
        <v>75</v>
      </c>
      <c r="C65" s="7" t="s">
        <v>84</v>
      </c>
      <c r="D65" s="20" t="n">
        <v>-0.192891418487145</v>
      </c>
      <c r="E65" s="20" t="n">
        <v>0.193187123379865</v>
      </c>
      <c r="F65" s="21" t="n">
        <v>19</v>
      </c>
      <c r="G65" s="22" t="n">
        <f aca="false">IF(E65&gt;0,D65/E65,"")</f>
        <v>-0.998469334355485</v>
      </c>
      <c r="H65" s="22" t="n">
        <f aca="false">IF(G65="","",TDIST(ABS(G65),F65-1,2))</f>
        <v>0.331286127560965</v>
      </c>
    </row>
    <row r="66" customFormat="false" ht="15" hidden="false" customHeight="false" outlineLevel="0" collapsed="false">
      <c r="A66" s="7" t="s">
        <v>82</v>
      </c>
      <c r="B66" s="7" t="s">
        <v>75</v>
      </c>
      <c r="C66" s="7" t="s">
        <v>76</v>
      </c>
      <c r="D66" s="20" t="n">
        <v>-0.51062781932328</v>
      </c>
      <c r="E66" s="20" t="n">
        <v>0.310314383730945</v>
      </c>
      <c r="F66" s="21" t="n">
        <v>19</v>
      </c>
      <c r="G66" s="22" t="n">
        <f aca="false">IF(E66&gt;0,D66/E66,"")</f>
        <v>-1.64551772684187</v>
      </c>
      <c r="H66" s="22" t="n">
        <f aca="false">IF(G66="","",TDIST(ABS(G66),F66-1,2))</f>
        <v>0.117212192395935</v>
      </c>
    </row>
    <row r="67" customFormat="false" ht="15" hidden="false" customHeight="false" outlineLevel="0" collapsed="false">
      <c r="A67" s="7" t="s">
        <v>82</v>
      </c>
      <c r="B67" s="7" t="s">
        <v>85</v>
      </c>
      <c r="C67" s="7" t="s">
        <v>83</v>
      </c>
      <c r="D67" s="20" t="n">
        <v>-0.593042323917982</v>
      </c>
      <c r="E67" s="20" t="n">
        <v>0.191044859674242</v>
      </c>
      <c r="F67" s="21" t="n">
        <v>19</v>
      </c>
      <c r="G67" s="22" t="n">
        <f aca="false">IF(E67&gt;0,D67/E67,"")</f>
        <v>-3.10420455661148</v>
      </c>
      <c r="H67" s="22" t="n">
        <f aca="false">IF(G67="","",TDIST(ABS(G67),F67-1,2))</f>
        <v>0.00612274163868344</v>
      </c>
    </row>
    <row r="68" customFormat="false" ht="15" hidden="false" customHeight="false" outlineLevel="0" collapsed="false">
      <c r="A68" s="7" t="s">
        <v>82</v>
      </c>
      <c r="B68" s="7" t="s">
        <v>85</v>
      </c>
      <c r="C68" s="7" t="s">
        <v>84</v>
      </c>
      <c r="D68" s="20" t="n">
        <v>-0.165869828646978</v>
      </c>
      <c r="E68" s="20" t="n">
        <v>0.189850964630147</v>
      </c>
      <c r="F68" s="21" t="n">
        <v>19</v>
      </c>
      <c r="G68" s="22" t="n">
        <f aca="false">IF(E68&gt;0,D68/E68,"")</f>
        <v>-0.873684413298149</v>
      </c>
      <c r="H68" s="22" t="n">
        <f aca="false">IF(G68="","",TDIST(ABS(G68),F68-1,2))</f>
        <v>0.393797319264175</v>
      </c>
    </row>
    <row r="69" customFormat="false" ht="15" hidden="false" customHeight="false" outlineLevel="0" collapsed="false">
      <c r="A69" s="7" t="s">
        <v>82</v>
      </c>
      <c r="B69" s="7" t="s">
        <v>85</v>
      </c>
      <c r="C69" s="7" t="s">
        <v>76</v>
      </c>
      <c r="D69" s="20" t="n">
        <v>-0.427172495271005</v>
      </c>
      <c r="E69" s="20" t="n">
        <v>0.27365719249738</v>
      </c>
      <c r="F69" s="21" t="n">
        <v>19</v>
      </c>
      <c r="G69" s="22" t="n">
        <f aca="false">IF(E69&gt;0,D69/E69,"")</f>
        <v>-1.56097667805714</v>
      </c>
      <c r="H69" s="22" t="n">
        <f aca="false">IF(G69="","",TDIST(ABS(G69),F69-1,2))</f>
        <v>0.135938635977034</v>
      </c>
    </row>
    <row r="70" customFormat="false" ht="15" hidden="false" customHeight="false" outlineLevel="0" collapsed="false">
      <c r="A70" s="7" t="s">
        <v>82</v>
      </c>
      <c r="B70" s="7" t="s">
        <v>86</v>
      </c>
      <c r="C70" s="7" t="s">
        <v>83</v>
      </c>
      <c r="D70" s="20" t="n">
        <v>-0.651212064125645</v>
      </c>
      <c r="E70" s="20" t="n">
        <v>0.208167695716259</v>
      </c>
      <c r="F70" s="21" t="n">
        <v>19</v>
      </c>
      <c r="G70" s="22" t="n">
        <f aca="false">IF(E70&gt;0,D70/E70,"")</f>
        <v>-3.12830509981373</v>
      </c>
      <c r="H70" s="22" t="n">
        <f aca="false">IF(G70="","",TDIST(ABS(G70),F70-1,2))</f>
        <v>0.00580806081136668</v>
      </c>
    </row>
    <row r="71" customFormat="false" ht="15" hidden="false" customHeight="false" outlineLevel="0" collapsed="false">
      <c r="A71" s="7" t="s">
        <v>82</v>
      </c>
      <c r="B71" s="7" t="s">
        <v>86</v>
      </c>
      <c r="C71" s="7" t="s">
        <v>84</v>
      </c>
      <c r="D71" s="20" t="n">
        <v>-0.181990300140428</v>
      </c>
      <c r="E71" s="20" t="n">
        <v>0.211592472001201</v>
      </c>
      <c r="F71" s="21" t="n">
        <v>19</v>
      </c>
      <c r="G71" s="22" t="n">
        <f aca="false">IF(E71&gt;0,D71/E71,"")</f>
        <v>-0.860098180333161</v>
      </c>
      <c r="H71" s="22" t="n">
        <f aca="false">IF(G71="","",TDIST(ABS(G71),F71-1,2))</f>
        <v>0.401045956322297</v>
      </c>
    </row>
    <row r="72" customFormat="false" ht="15" hidden="false" customHeight="false" outlineLevel="0" collapsed="false">
      <c r="A72" s="7" t="s">
        <v>82</v>
      </c>
      <c r="B72" s="7" t="s">
        <v>86</v>
      </c>
      <c r="C72" s="7" t="s">
        <v>76</v>
      </c>
      <c r="D72" s="20" t="n">
        <v>-0.469221763985216</v>
      </c>
      <c r="E72" s="20" t="n">
        <v>0.311401263552841</v>
      </c>
      <c r="F72" s="21" t="n">
        <v>19</v>
      </c>
      <c r="G72" s="22" t="n">
        <f aca="false">IF(E72&gt;0,D72/E72,"")</f>
        <v>-1.50680751462524</v>
      </c>
      <c r="H72" s="22" t="n">
        <f aca="false">IF(G72="","",TDIST(ABS(G72),F72-1,2))</f>
        <v>0.149209168022295</v>
      </c>
    </row>
    <row r="73" customFormat="false" ht="15" hidden="false" customHeight="false" outlineLevel="0" collapsed="false">
      <c r="A73" s="7" t="s">
        <v>82</v>
      </c>
      <c r="B73" s="7" t="s">
        <v>87</v>
      </c>
      <c r="C73" s="7" t="s">
        <v>83</v>
      </c>
      <c r="D73" s="20" t="n">
        <v>-0.744024101021356</v>
      </c>
      <c r="E73" s="20" t="n">
        <v>0.194967183274835</v>
      </c>
      <c r="F73" s="21" t="n">
        <v>19</v>
      </c>
      <c r="G73" s="22" t="n">
        <f aca="false">IF(E73&gt;0,D73/E73,"")</f>
        <v>-3.81615043375041</v>
      </c>
      <c r="H73" s="22" t="n">
        <f aca="false">IF(G73="","",TDIST(ABS(G73),F73-1,2))</f>
        <v>0.00126503133740128</v>
      </c>
    </row>
    <row r="74" customFormat="false" ht="15" hidden="false" customHeight="false" outlineLevel="0" collapsed="false">
      <c r="A74" s="7" t="s">
        <v>82</v>
      </c>
      <c r="B74" s="7" t="s">
        <v>87</v>
      </c>
      <c r="C74" s="7" t="s">
        <v>84</v>
      </c>
      <c r="D74" s="20" t="n">
        <v>-0.222087059513311</v>
      </c>
      <c r="E74" s="20" t="n">
        <v>0.176347270895032</v>
      </c>
      <c r="F74" s="21" t="n">
        <v>19</v>
      </c>
      <c r="G74" s="22" t="n">
        <f aca="false">IF(E74&gt;0,D74/E74,"")</f>
        <v>-1.25937338517422</v>
      </c>
      <c r="H74" s="22" t="n">
        <f aca="false">IF(G74="","",TDIST(ABS(G74),F74-1,2))</f>
        <v>0.223981961203854</v>
      </c>
    </row>
    <row r="75" customFormat="false" ht="15" hidden="false" customHeight="false" outlineLevel="0" collapsed="false">
      <c r="A75" s="7" t="s">
        <v>82</v>
      </c>
      <c r="B75" s="7" t="s">
        <v>87</v>
      </c>
      <c r="C75" s="7" t="s">
        <v>76</v>
      </c>
      <c r="D75" s="20" t="n">
        <v>-0.521937041508045</v>
      </c>
      <c r="E75" s="20" t="n">
        <v>0.272191245369691</v>
      </c>
      <c r="F75" s="21" t="n">
        <v>19</v>
      </c>
      <c r="G75" s="22" t="n">
        <f aca="false">IF(E75&gt;0,D75/E75,"")</f>
        <v>-1.91753794578936</v>
      </c>
      <c r="H75" s="22" t="n">
        <f aca="false">IF(G75="","",TDIST(ABS(G75),F75-1,2))</f>
        <v>0.0711788757926388</v>
      </c>
    </row>
    <row r="76" customFormat="false" ht="15" hidden="false" customHeight="false" outlineLevel="0" collapsed="false">
      <c r="A76" s="7" t="s">
        <v>82</v>
      </c>
      <c r="B76" s="7" t="s">
        <v>88</v>
      </c>
      <c r="C76" s="7" t="s">
        <v>83</v>
      </c>
      <c r="D76" s="20" t="n">
        <v>-0.775694176254316</v>
      </c>
      <c r="E76" s="20" t="n">
        <v>0.197640700669461</v>
      </c>
      <c r="F76" s="21" t="n">
        <v>19</v>
      </c>
      <c r="G76" s="22" t="n">
        <f aca="false">IF(E76&gt;0,D76/E76,"")</f>
        <v>-3.92476941048497</v>
      </c>
      <c r="H76" s="22" t="n">
        <f aca="false">IF(G76="","",TDIST(ABS(G76),F76-1,2))</f>
        <v>0.000993064051669205</v>
      </c>
    </row>
    <row r="77" customFormat="false" ht="15" hidden="false" customHeight="false" outlineLevel="0" collapsed="false">
      <c r="A77" s="7" t="s">
        <v>82</v>
      </c>
      <c r="B77" s="7" t="s">
        <v>88</v>
      </c>
      <c r="C77" s="7" t="s">
        <v>84</v>
      </c>
      <c r="D77" s="20" t="n">
        <v>-0.261144857721218</v>
      </c>
      <c r="E77" s="20" t="n">
        <v>0.164316662512705</v>
      </c>
      <c r="F77" s="21" t="n">
        <v>19</v>
      </c>
      <c r="G77" s="22" t="n">
        <f aca="false">IF(E77&gt;0,D77/E77,"")</f>
        <v>-1.58927800582018</v>
      </c>
      <c r="H77" s="22" t="n">
        <f aca="false">IF(G77="","",TDIST(ABS(G77),F77-1,2))</f>
        <v>0.129407535141733</v>
      </c>
    </row>
    <row r="78" customFormat="false" ht="15" hidden="false" customHeight="false" outlineLevel="0" collapsed="false">
      <c r="A78" s="7" t="s">
        <v>82</v>
      </c>
      <c r="B78" s="7" t="s">
        <v>88</v>
      </c>
      <c r="C78" s="7" t="s">
        <v>76</v>
      </c>
      <c r="D78" s="20" t="n">
        <v>-0.514549318533098</v>
      </c>
      <c r="E78" s="20" t="n">
        <v>0.273086950710538</v>
      </c>
      <c r="F78" s="21" t="n">
        <v>19</v>
      </c>
      <c r="G78" s="22" t="n">
        <f aca="false">IF(E78&gt;0,D78/E78,"")</f>
        <v>-1.88419592072893</v>
      </c>
      <c r="H78" s="22" t="n">
        <f aca="false">IF(G78="","",TDIST(ABS(G78),F78-1,2))</f>
        <v>0.0757940395473592</v>
      </c>
    </row>
    <row r="79" customFormat="false" ht="15" hidden="false" customHeight="false" outlineLevel="0" collapsed="false">
      <c r="A79" s="7" t="s">
        <v>89</v>
      </c>
      <c r="B79" s="7" t="s">
        <v>73</v>
      </c>
      <c r="C79" s="7" t="s">
        <v>83</v>
      </c>
      <c r="D79" s="20" t="n">
        <v>-1.21348664237797</v>
      </c>
      <c r="E79" s="20" t="n">
        <v>0.340870315178759</v>
      </c>
      <c r="F79" s="21" t="n">
        <v>19</v>
      </c>
      <c r="G79" s="22" t="n">
        <f aca="false">IF(E79&gt;0,D79/E79,"")</f>
        <v>-3.55996573577137</v>
      </c>
      <c r="H79" s="22" t="n">
        <f aca="false">IF(G79="","",TDIST(ABS(G79),F79-1,2))</f>
        <v>0.00223781473811932</v>
      </c>
    </row>
    <row r="80" customFormat="false" ht="15" hidden="false" customHeight="false" outlineLevel="0" collapsed="false">
      <c r="A80" s="7" t="s">
        <v>89</v>
      </c>
      <c r="B80" s="7" t="s">
        <v>73</v>
      </c>
      <c r="C80" s="7" t="s">
        <v>84</v>
      </c>
      <c r="D80" s="20" t="n">
        <v>-0.385196551356269</v>
      </c>
      <c r="E80" s="20" t="n">
        <v>0.206698362493553</v>
      </c>
      <c r="F80" s="21" t="n">
        <v>19</v>
      </c>
      <c r="G80" s="22" t="n">
        <f aca="false">IF(E80&gt;0,D80/E80,"")</f>
        <v>-1.86356847102881</v>
      </c>
      <c r="H80" s="22" t="n">
        <f aca="false">IF(G80="","",TDIST(ABS(G80),F80-1,2))</f>
        <v>0.0787801309418914</v>
      </c>
    </row>
    <row r="81" customFormat="false" ht="15" hidden="false" customHeight="false" outlineLevel="0" collapsed="false">
      <c r="A81" s="7" t="s">
        <v>89</v>
      </c>
      <c r="B81" s="7" t="s">
        <v>73</v>
      </c>
      <c r="C81" s="7" t="s">
        <v>76</v>
      </c>
      <c r="D81" s="20" t="n">
        <v>-0.828290091021703</v>
      </c>
      <c r="E81" s="20" t="n">
        <v>0.409332952701896</v>
      </c>
      <c r="F81" s="21" t="n">
        <v>19</v>
      </c>
      <c r="G81" s="22" t="n">
        <f aca="false">IF(E81&gt;0,D81/E81,"")</f>
        <v>-2.02351187597867</v>
      </c>
      <c r="H81" s="22" t="n">
        <f aca="false">IF(G81="","",TDIST(ABS(G81),F81-1,2))</f>
        <v>0.0581270698279712</v>
      </c>
    </row>
    <row r="82" customFormat="false" ht="15" hidden="false" customHeight="false" outlineLevel="0" collapsed="false">
      <c r="A82" s="7" t="s">
        <v>89</v>
      </c>
      <c r="B82" s="7" t="s">
        <v>74</v>
      </c>
      <c r="C82" s="7" t="s">
        <v>83</v>
      </c>
      <c r="D82" s="20" t="n">
        <v>-0.865429356313647</v>
      </c>
      <c r="E82" s="20" t="n">
        <v>0.281923742469258</v>
      </c>
      <c r="F82" s="21" t="n">
        <v>19</v>
      </c>
      <c r="G82" s="22" t="n">
        <f aca="false">IF(E82&gt;0,D82/E82,"")</f>
        <v>-3.06972853273617</v>
      </c>
      <c r="H82" s="22" t="n">
        <f aca="false">IF(G82="","",TDIST(ABS(G82),F82-1,2))</f>
        <v>0.00660197479046314</v>
      </c>
    </row>
    <row r="83" customFormat="false" ht="15" hidden="false" customHeight="false" outlineLevel="0" collapsed="false">
      <c r="A83" s="7" t="s">
        <v>89</v>
      </c>
      <c r="B83" s="7" t="s">
        <v>74</v>
      </c>
      <c r="C83" s="7" t="s">
        <v>84</v>
      </c>
      <c r="D83" s="20" t="n">
        <v>-0.629778575349645</v>
      </c>
      <c r="E83" s="20" t="n">
        <v>0.277653477997774</v>
      </c>
      <c r="F83" s="21" t="n">
        <v>19</v>
      </c>
      <c r="G83" s="22" t="n">
        <f aca="false">IF(E83&gt;0,D83/E83,"")</f>
        <v>-2.26821785158655</v>
      </c>
      <c r="H83" s="22" t="n">
        <f aca="false">IF(G83="","",TDIST(ABS(G83),F83-1,2))</f>
        <v>0.0358568561696392</v>
      </c>
    </row>
    <row r="84" customFormat="false" ht="15" hidden="false" customHeight="false" outlineLevel="0" collapsed="false">
      <c r="A84" s="7" t="s">
        <v>89</v>
      </c>
      <c r="B84" s="7" t="s">
        <v>74</v>
      </c>
      <c r="C84" s="7" t="s">
        <v>76</v>
      </c>
      <c r="D84" s="20" t="n">
        <v>-0.235650780964003</v>
      </c>
      <c r="E84" s="20" t="n">
        <v>0.460705277850546</v>
      </c>
      <c r="F84" s="21" t="n">
        <v>19</v>
      </c>
      <c r="G84" s="22" t="n">
        <f aca="false">IF(E84&gt;0,D84/E84,"")</f>
        <v>-0.511500068033621</v>
      </c>
      <c r="H84" s="22" t="n">
        <f aca="false">IF(G84="","",TDIST(ABS(G84),F84-1,2))</f>
        <v>0.615218489151691</v>
      </c>
    </row>
    <row r="85" customFormat="false" ht="15" hidden="false" customHeight="false" outlineLevel="0" collapsed="false">
      <c r="A85" s="7" t="s">
        <v>89</v>
      </c>
      <c r="B85" s="7" t="s">
        <v>75</v>
      </c>
      <c r="C85" s="7" t="s">
        <v>83</v>
      </c>
      <c r="D85" s="20" t="n">
        <v>-0.793173677072353</v>
      </c>
      <c r="E85" s="20" t="n">
        <v>0.162577811634522</v>
      </c>
      <c r="F85" s="21" t="n">
        <v>19</v>
      </c>
      <c r="G85" s="22" t="n">
        <f aca="false">IF(E85&gt;0,D85/E85,"")</f>
        <v>-4.87873264560495</v>
      </c>
      <c r="H85" s="22" t="n">
        <f aca="false">IF(G85="","",TDIST(ABS(G85),F85-1,2))</f>
        <v>0.000120789269732618</v>
      </c>
    </row>
    <row r="86" customFormat="false" ht="15" hidden="false" customHeight="false" outlineLevel="0" collapsed="false">
      <c r="A86" s="7" t="s">
        <v>89</v>
      </c>
      <c r="B86" s="7" t="s">
        <v>75</v>
      </c>
      <c r="C86" s="7" t="s">
        <v>84</v>
      </c>
      <c r="D86" s="20" t="n">
        <v>-0.363756607206115</v>
      </c>
      <c r="E86" s="20" t="n">
        <v>0.277898835158063</v>
      </c>
      <c r="F86" s="21" t="n">
        <v>19</v>
      </c>
      <c r="G86" s="22" t="n">
        <f aca="false">IF(E86&gt;0,D86/E86,"")</f>
        <v>-1.30895333547986</v>
      </c>
      <c r="H86" s="22" t="n">
        <f aca="false">IF(G86="","",TDIST(ABS(G86),F86-1,2))</f>
        <v>0.207015596529278</v>
      </c>
    </row>
    <row r="87" customFormat="false" ht="15" hidden="false" customHeight="false" outlineLevel="0" collapsed="false">
      <c r="A87" s="7" t="s">
        <v>89</v>
      </c>
      <c r="B87" s="7" t="s">
        <v>75</v>
      </c>
      <c r="C87" s="7" t="s">
        <v>76</v>
      </c>
      <c r="D87" s="20" t="n">
        <v>-0.429417069866238</v>
      </c>
      <c r="E87" s="20" t="n">
        <v>0.355382564574336</v>
      </c>
      <c r="F87" s="21" t="n">
        <v>19</v>
      </c>
      <c r="G87" s="22" t="n">
        <f aca="false">IF(E87&gt;0,D87/E87,"")</f>
        <v>-1.20832340320516</v>
      </c>
      <c r="H87" s="22" t="n">
        <f aca="false">IF(G87="","",TDIST(ABS(G87),F87-1,2))</f>
        <v>0.242558435935887</v>
      </c>
    </row>
    <row r="88" customFormat="false" ht="15" hidden="false" customHeight="false" outlineLevel="0" collapsed="false">
      <c r="A88" s="7" t="s">
        <v>89</v>
      </c>
      <c r="B88" s="7" t="s">
        <v>85</v>
      </c>
      <c r="C88" s="7" t="s">
        <v>83</v>
      </c>
      <c r="D88" s="20" t="n">
        <v>-0.560417207075002</v>
      </c>
      <c r="E88" s="20" t="n">
        <v>0.153339425629226</v>
      </c>
      <c r="F88" s="21" t="n">
        <v>19</v>
      </c>
      <c r="G88" s="22" t="n">
        <f aca="false">IF(E88&gt;0,D88/E88,"")</f>
        <v>-3.65474961690603</v>
      </c>
      <c r="H88" s="22" t="n">
        <f aca="false">IF(G88="","",TDIST(ABS(G88),F88-1,2))</f>
        <v>0.00181237071130385</v>
      </c>
    </row>
    <row r="89" customFormat="false" ht="15" hidden="false" customHeight="false" outlineLevel="0" collapsed="false">
      <c r="A89" s="7" t="s">
        <v>89</v>
      </c>
      <c r="B89" s="7" t="s">
        <v>85</v>
      </c>
      <c r="C89" s="7" t="s">
        <v>84</v>
      </c>
      <c r="D89" s="20" t="n">
        <v>-0.386135447890258</v>
      </c>
      <c r="E89" s="20" t="n">
        <v>0.292411938615774</v>
      </c>
      <c r="F89" s="21" t="n">
        <v>19</v>
      </c>
      <c r="G89" s="22" t="n">
        <f aca="false">IF(E89&gt;0,D89/E89,"")</f>
        <v>-1.320518750767</v>
      </c>
      <c r="H89" s="22" t="n">
        <f aca="false">IF(G89="","",TDIST(ABS(G89),F89-1,2))</f>
        <v>0.203207015582615</v>
      </c>
    </row>
    <row r="90" customFormat="false" ht="15" hidden="false" customHeight="false" outlineLevel="0" collapsed="false">
      <c r="A90" s="7" t="s">
        <v>89</v>
      </c>
      <c r="B90" s="7" t="s">
        <v>85</v>
      </c>
      <c r="C90" s="7" t="s">
        <v>76</v>
      </c>
      <c r="D90" s="20" t="n">
        <v>-0.174281759184745</v>
      </c>
      <c r="E90" s="20" t="n">
        <v>0.356888049626101</v>
      </c>
      <c r="F90" s="21" t="n">
        <v>19</v>
      </c>
      <c r="G90" s="22" t="n">
        <f aca="false">IF(E90&gt;0,D90/E90,"")</f>
        <v>-0.488337335383837</v>
      </c>
      <c r="H90" s="22" t="n">
        <f aca="false">IF(G90="","",TDIST(ABS(G90),F90-1,2))</f>
        <v>0.631206844845895</v>
      </c>
    </row>
    <row r="91" customFormat="false" ht="15" hidden="false" customHeight="false" outlineLevel="0" collapsed="false">
      <c r="A91" s="7" t="s">
        <v>89</v>
      </c>
      <c r="B91" s="7" t="s">
        <v>86</v>
      </c>
      <c r="C91" s="7" t="s">
        <v>83</v>
      </c>
      <c r="D91" s="20" t="n">
        <v>-0.793383918204719</v>
      </c>
      <c r="E91" s="20" t="n">
        <v>0.130241250313598</v>
      </c>
      <c r="F91" s="21" t="n">
        <v>19</v>
      </c>
      <c r="G91" s="22" t="n">
        <f aca="false">IF(E91&gt;0,D91/E91,"")</f>
        <v>-6.09164850839799</v>
      </c>
      <c r="H91" s="22" t="n">
        <f aca="false">IF(G91="","",TDIST(ABS(G91),F91-1,2))</f>
        <v>9.34636348640285E-006</v>
      </c>
    </row>
    <row r="92" customFormat="false" ht="15" hidden="false" customHeight="false" outlineLevel="0" collapsed="false">
      <c r="A92" s="7" t="s">
        <v>89</v>
      </c>
      <c r="B92" s="7" t="s">
        <v>86</v>
      </c>
      <c r="C92" s="7" t="s">
        <v>84</v>
      </c>
      <c r="D92" s="20" t="n">
        <v>-0.313162381400153</v>
      </c>
      <c r="E92" s="20" t="n">
        <v>0.283226705787971</v>
      </c>
      <c r="F92" s="21" t="n">
        <v>19</v>
      </c>
      <c r="G92" s="22" t="n">
        <f aca="false">IF(E92&gt;0,D92/E92,"")</f>
        <v>-1.10569510219348</v>
      </c>
      <c r="H92" s="22" t="n">
        <f aca="false">IF(G92="","",TDIST(ABS(G92),F92-1,2))</f>
        <v>0.283418519790273</v>
      </c>
    </row>
    <row r="93" customFormat="false" ht="15" hidden="false" customHeight="false" outlineLevel="0" collapsed="false">
      <c r="A93" s="7" t="s">
        <v>89</v>
      </c>
      <c r="B93" s="7" t="s">
        <v>86</v>
      </c>
      <c r="C93" s="7" t="s">
        <v>76</v>
      </c>
      <c r="D93" s="20" t="n">
        <v>-0.480221536804567</v>
      </c>
      <c r="E93" s="20" t="n">
        <v>0.304022367791883</v>
      </c>
      <c r="F93" s="21" t="n">
        <v>19</v>
      </c>
      <c r="G93" s="22" t="n">
        <f aca="false">IF(E93&gt;0,D93/E93,"")</f>
        <v>-1.57955988663735</v>
      </c>
      <c r="H93" s="22" t="n">
        <f aca="false">IF(G93="","",TDIST(ABS(G93),F93-1,2))</f>
        <v>0.131619783561</v>
      </c>
    </row>
    <row r="94" customFormat="false" ht="15" hidden="false" customHeight="false" outlineLevel="0" collapsed="false">
      <c r="A94" s="7" t="s">
        <v>89</v>
      </c>
      <c r="B94" s="7" t="s">
        <v>87</v>
      </c>
      <c r="C94" s="7" t="s">
        <v>83</v>
      </c>
      <c r="D94" s="20" t="n">
        <v>-0.855903324645262</v>
      </c>
      <c r="E94" s="20" t="n">
        <v>0.18683710458794</v>
      </c>
      <c r="F94" s="21" t="n">
        <v>19</v>
      </c>
      <c r="G94" s="22" t="n">
        <f aca="false">IF(E94&gt;0,D94/E94,"")</f>
        <v>-4.58101364037359</v>
      </c>
      <c r="H94" s="22" t="n">
        <f aca="false">IF(G94="","",TDIST(ABS(G94),F94-1,2))</f>
        <v>0.000231725906124153</v>
      </c>
    </row>
    <row r="95" customFormat="false" ht="15" hidden="false" customHeight="false" outlineLevel="0" collapsed="false">
      <c r="A95" s="7" t="s">
        <v>89</v>
      </c>
      <c r="B95" s="7" t="s">
        <v>87</v>
      </c>
      <c r="C95" s="7" t="s">
        <v>84</v>
      </c>
      <c r="D95" s="20" t="n">
        <v>-0.359789489191571</v>
      </c>
      <c r="E95" s="20" t="n">
        <v>0.267687124550778</v>
      </c>
      <c r="F95" s="21" t="n">
        <v>19</v>
      </c>
      <c r="G95" s="22" t="n">
        <f aca="false">IF(E95&gt;0,D95/E95,"")</f>
        <v>-1.34406721950245</v>
      </c>
      <c r="H95" s="22" t="n">
        <f aca="false">IF(G95="","",TDIST(ABS(G95),F95-1,2))</f>
        <v>0.195623621029842</v>
      </c>
    </row>
    <row r="96" customFormat="false" ht="15" hidden="false" customHeight="false" outlineLevel="0" collapsed="false">
      <c r="A96" s="7" t="s">
        <v>89</v>
      </c>
      <c r="B96" s="7" t="s">
        <v>87</v>
      </c>
      <c r="C96" s="7" t="s">
        <v>76</v>
      </c>
      <c r="D96" s="20" t="n">
        <v>-0.496113835453691</v>
      </c>
      <c r="E96" s="20" t="n">
        <v>0.363194862755096</v>
      </c>
      <c r="F96" s="21" t="n">
        <v>19</v>
      </c>
      <c r="G96" s="22" t="n">
        <f aca="false">IF(E96&gt;0,D96/E96,"")</f>
        <v>-1.36597151096882</v>
      </c>
      <c r="H96" s="22" t="n">
        <f aca="false">IF(G96="","",TDIST(ABS(G96),F96-1,2))</f>
        <v>0.188773360639207</v>
      </c>
    </row>
    <row r="97" customFormat="false" ht="15" hidden="false" customHeight="false" outlineLevel="0" collapsed="false">
      <c r="A97" s="7" t="s">
        <v>89</v>
      </c>
      <c r="B97" s="7" t="s">
        <v>88</v>
      </c>
      <c r="C97" s="7" t="s">
        <v>83</v>
      </c>
      <c r="D97" s="20" t="n">
        <v>-0.849714923668432</v>
      </c>
      <c r="E97" s="20" t="n">
        <v>0.189892708861194</v>
      </c>
      <c r="F97" s="21" t="n">
        <v>19</v>
      </c>
      <c r="G97" s="22" t="n">
        <f aca="false">IF(E97&gt;0,D97/E97,"")</f>
        <v>-4.47471063404309</v>
      </c>
      <c r="H97" s="22" t="n">
        <f aca="false">IF(G97="","",TDIST(ABS(G97),F97-1,2))</f>
        <v>0.000292894874269701</v>
      </c>
    </row>
    <row r="98" customFormat="false" ht="15" hidden="false" customHeight="false" outlineLevel="0" collapsed="false">
      <c r="A98" s="7" t="s">
        <v>89</v>
      </c>
      <c r="B98" s="7" t="s">
        <v>88</v>
      </c>
      <c r="C98" s="7" t="s">
        <v>84</v>
      </c>
      <c r="D98" s="20" t="n">
        <v>-0.390960362120903</v>
      </c>
      <c r="E98" s="20" t="n">
        <v>0.269284665397704</v>
      </c>
      <c r="F98" s="21" t="n">
        <v>19</v>
      </c>
      <c r="G98" s="22" t="n">
        <f aca="false">IF(E98&gt;0,D98/E98,"")</f>
        <v>-1.45184784860845</v>
      </c>
      <c r="H98" s="22" t="n">
        <f aca="false">IF(G98="","",TDIST(ABS(G98),F98-1,2))</f>
        <v>0.163751686675827</v>
      </c>
    </row>
    <row r="99" customFormat="false" ht="15" hidden="false" customHeight="false" outlineLevel="0" collapsed="false">
      <c r="A99" s="7" t="s">
        <v>89</v>
      </c>
      <c r="B99" s="7" t="s">
        <v>88</v>
      </c>
      <c r="C99" s="7" t="s">
        <v>76</v>
      </c>
      <c r="D99" s="20" t="n">
        <v>-0.458754561547529</v>
      </c>
      <c r="E99" s="20" t="n">
        <v>0.360959245040841</v>
      </c>
      <c r="F99" s="21" t="n">
        <v>19</v>
      </c>
      <c r="G99" s="22" t="n">
        <f aca="false">IF(E99&gt;0,D99/E99,"")</f>
        <v>-1.27093174049503</v>
      </c>
      <c r="H99" s="22" t="n">
        <f aca="false">IF(G99="","",TDIST(ABS(G99),F99-1,2))</f>
        <v>0.219933066270585</v>
      </c>
    </row>
    <row r="100" customFormat="false" ht="15" hidden="false" customHeight="false" outlineLevel="0" collapsed="false">
      <c r="A100" s="7" t="s">
        <v>90</v>
      </c>
      <c r="B100" s="7" t="s">
        <v>73</v>
      </c>
      <c r="C100" s="7" t="s">
        <v>83</v>
      </c>
      <c r="D100" s="20" t="n">
        <v>-0.265950740926509</v>
      </c>
      <c r="E100" s="20" t="n">
        <v>0.253548235390508</v>
      </c>
      <c r="F100" s="21" t="n">
        <v>19</v>
      </c>
      <c r="G100" s="22" t="n">
        <f aca="false">IF(E100&gt;0,D100/E100,"")</f>
        <v>-1.04891576357019</v>
      </c>
      <c r="H100" s="22" t="n">
        <f aca="false">IF(G100="","",TDIST(ABS(G100),F100-1,2))</f>
        <v>0.30809722932861</v>
      </c>
    </row>
    <row r="101" customFormat="false" ht="15" hidden="false" customHeight="false" outlineLevel="0" collapsed="false">
      <c r="A101" s="7" t="s">
        <v>90</v>
      </c>
      <c r="B101" s="7" t="s">
        <v>73</v>
      </c>
      <c r="C101" s="7" t="s">
        <v>84</v>
      </c>
      <c r="D101" s="20" t="n">
        <v>-0.773990241880587</v>
      </c>
      <c r="E101" s="20" t="n">
        <v>0.336208890102611</v>
      </c>
      <c r="F101" s="21" t="n">
        <v>19</v>
      </c>
      <c r="G101" s="22" t="n">
        <f aca="false">IF(E101&gt;0,D101/E101,"")</f>
        <v>-2.30211117155279</v>
      </c>
      <c r="H101" s="22" t="n">
        <f aca="false">IF(G101="","",TDIST(ABS(G101),F101-1,2))</f>
        <v>0.0334847440234344</v>
      </c>
    </row>
    <row r="102" customFormat="false" ht="15" hidden="false" customHeight="false" outlineLevel="0" collapsed="false">
      <c r="A102" s="7" t="s">
        <v>90</v>
      </c>
      <c r="B102" s="7" t="s">
        <v>73</v>
      </c>
      <c r="C102" s="7" t="s">
        <v>76</v>
      </c>
      <c r="D102" s="20" t="n">
        <v>0.508039500954078</v>
      </c>
      <c r="E102" s="20" t="n">
        <v>0.527565901064347</v>
      </c>
      <c r="F102" s="21" t="n">
        <v>19</v>
      </c>
      <c r="G102" s="22" t="n">
        <f aca="false">IF(E102&gt;0,D102/E102,"")</f>
        <v>0.962987751727556</v>
      </c>
      <c r="H102" s="22" t="n">
        <f aca="false">IF(G102="","",TDIST(ABS(G102),F102-1,2))</f>
        <v>0.348313299591622</v>
      </c>
    </row>
    <row r="103" customFormat="false" ht="15" hidden="false" customHeight="false" outlineLevel="0" collapsed="false">
      <c r="A103" s="7" t="s">
        <v>90</v>
      </c>
      <c r="B103" s="7" t="s">
        <v>74</v>
      </c>
      <c r="C103" s="7" t="s">
        <v>83</v>
      </c>
      <c r="D103" s="20" t="n">
        <v>-0.81650829468493</v>
      </c>
      <c r="E103" s="20" t="n">
        <v>0.450434368121531</v>
      </c>
      <c r="F103" s="21" t="n">
        <v>19</v>
      </c>
      <c r="G103" s="22" t="n">
        <f aca="false">IF(E103&gt;0,D103/E103,"")</f>
        <v>-1.81271313308098</v>
      </c>
      <c r="H103" s="22" t="n">
        <f aca="false">IF(G103="","",TDIST(ABS(G103),F103-1,2))</f>
        <v>0.0865891932468708</v>
      </c>
    </row>
    <row r="104" customFormat="false" ht="15" hidden="false" customHeight="false" outlineLevel="0" collapsed="false">
      <c r="A104" s="7" t="s">
        <v>90</v>
      </c>
      <c r="B104" s="7" t="s">
        <v>74</v>
      </c>
      <c r="C104" s="7" t="s">
        <v>84</v>
      </c>
      <c r="D104" s="20" t="n">
        <v>-0.44694397381509</v>
      </c>
      <c r="E104" s="20" t="n">
        <v>0.340782879200332</v>
      </c>
      <c r="F104" s="21" t="n">
        <v>19</v>
      </c>
      <c r="G104" s="22" t="n">
        <f aca="false">IF(E104&gt;0,D104/E104,"")</f>
        <v>-1.31152120923408</v>
      </c>
      <c r="H104" s="22" t="n">
        <f aca="false">IF(G104="","",TDIST(ABS(G104),F104-1,2))</f>
        <v>0.206165155637959</v>
      </c>
    </row>
    <row r="105" customFormat="false" ht="15" hidden="false" customHeight="false" outlineLevel="0" collapsed="false">
      <c r="A105" s="7" t="s">
        <v>90</v>
      </c>
      <c r="B105" s="7" t="s">
        <v>74</v>
      </c>
      <c r="C105" s="7" t="s">
        <v>76</v>
      </c>
      <c r="D105" s="20" t="n">
        <v>-0.369564320869841</v>
      </c>
      <c r="E105" s="20" t="n">
        <v>0.584703034193108</v>
      </c>
      <c r="F105" s="21" t="n">
        <v>19</v>
      </c>
      <c r="G105" s="22" t="n">
        <f aca="false">IF(E105&gt;0,D105/E105,"")</f>
        <v>-0.632054734211942</v>
      </c>
      <c r="H105" s="22" t="n">
        <f aca="false">IF(G105="","",TDIST(ABS(G105),F105-1,2))</f>
        <v>0.535297400640764</v>
      </c>
    </row>
    <row r="106" customFormat="false" ht="15" hidden="false" customHeight="false" outlineLevel="0" collapsed="false">
      <c r="A106" s="7" t="s">
        <v>90</v>
      </c>
      <c r="B106" s="7" t="s">
        <v>75</v>
      </c>
      <c r="C106" s="7" t="s">
        <v>83</v>
      </c>
      <c r="D106" s="20" t="n">
        <v>-0.366369275195547</v>
      </c>
      <c r="E106" s="20" t="n">
        <v>0.193154529307744</v>
      </c>
      <c r="F106" s="21" t="n">
        <v>19</v>
      </c>
      <c r="G106" s="22" t="n">
        <f aca="false">IF(E106&gt;0,D106/E106,"")</f>
        <v>-1.89676771499273</v>
      </c>
      <c r="H106" s="22" t="n">
        <f aca="false">IF(G106="","",TDIST(ABS(G106),F106-1,2))</f>
        <v>0.0740236159183462</v>
      </c>
    </row>
    <row r="107" customFormat="false" ht="15" hidden="false" customHeight="false" outlineLevel="0" collapsed="false">
      <c r="A107" s="7" t="s">
        <v>90</v>
      </c>
      <c r="B107" s="7" t="s">
        <v>75</v>
      </c>
      <c r="C107" s="7" t="s">
        <v>84</v>
      </c>
      <c r="D107" s="20" t="n">
        <v>-0.38823691508521</v>
      </c>
      <c r="E107" s="20" t="n">
        <v>0.21606100610886</v>
      </c>
      <c r="F107" s="21" t="n">
        <v>19</v>
      </c>
      <c r="G107" s="22" t="n">
        <f aca="false">IF(E107&gt;0,D107/E107,"")</f>
        <v>-1.79688562076584</v>
      </c>
      <c r="H107" s="22" t="n">
        <f aca="false">IF(G107="","",TDIST(ABS(G107),F107-1,2))</f>
        <v>0.0891542360122892</v>
      </c>
    </row>
    <row r="108" customFormat="false" ht="15" hidden="false" customHeight="false" outlineLevel="0" collapsed="false">
      <c r="A108" s="7" t="s">
        <v>90</v>
      </c>
      <c r="B108" s="7" t="s">
        <v>75</v>
      </c>
      <c r="C108" s="7" t="s">
        <v>76</v>
      </c>
      <c r="D108" s="20" t="n">
        <v>0.0218676398896629</v>
      </c>
      <c r="E108" s="20" t="n">
        <v>0.335521659014611</v>
      </c>
      <c r="F108" s="21" t="n">
        <v>19</v>
      </c>
      <c r="G108" s="22" t="n">
        <f aca="false">IF(E108&gt;0,D108/E108,"")</f>
        <v>0.065175046981723</v>
      </c>
      <c r="H108" s="22" t="n">
        <f aca="false">IF(G108="","",TDIST(ABS(G108),F108-1,2))</f>
        <v>0.948753027771774</v>
      </c>
    </row>
    <row r="109" customFormat="false" ht="15" hidden="false" customHeight="false" outlineLevel="0" collapsed="false">
      <c r="A109" s="7" t="s">
        <v>90</v>
      </c>
      <c r="B109" s="7" t="s">
        <v>85</v>
      </c>
      <c r="C109" s="7" t="s">
        <v>83</v>
      </c>
      <c r="D109" s="20" t="n">
        <v>-0.444049256738289</v>
      </c>
      <c r="E109" s="20" t="n">
        <v>0.21898987625259</v>
      </c>
      <c r="F109" s="21" t="n">
        <v>19</v>
      </c>
      <c r="G109" s="22" t="n">
        <f aca="false">IF(E109&gt;0,D109/E109,"")</f>
        <v>-2.02771591242925</v>
      </c>
      <c r="H109" s="22" t="n">
        <f aca="false">IF(G109="","",TDIST(ABS(G109),F109-1,2))</f>
        <v>0.0576567861698121</v>
      </c>
    </row>
    <row r="110" customFormat="false" ht="15" hidden="false" customHeight="false" outlineLevel="0" collapsed="false">
      <c r="A110" s="7" t="s">
        <v>90</v>
      </c>
      <c r="B110" s="7" t="s">
        <v>85</v>
      </c>
      <c r="C110" s="7" t="s">
        <v>84</v>
      </c>
      <c r="D110" s="20" t="n">
        <v>-0.238445119178611</v>
      </c>
      <c r="E110" s="20" t="n">
        <v>0.229997666221251</v>
      </c>
      <c r="F110" s="21" t="n">
        <v>19</v>
      </c>
      <c r="G110" s="22" t="n">
        <f aca="false">IF(E110&gt;0,D110/E110,"")</f>
        <v>-1.03672842901473</v>
      </c>
      <c r="H110" s="22" t="n">
        <f aca="false">IF(G110="","",TDIST(ABS(G110),F110-1,2))</f>
        <v>0.313590084374563</v>
      </c>
    </row>
    <row r="111" customFormat="false" ht="15" hidden="false" customHeight="false" outlineLevel="0" collapsed="false">
      <c r="A111" s="7" t="s">
        <v>90</v>
      </c>
      <c r="B111" s="7" t="s">
        <v>85</v>
      </c>
      <c r="C111" s="7" t="s">
        <v>76</v>
      </c>
      <c r="D111" s="20" t="n">
        <v>-0.205604137559678</v>
      </c>
      <c r="E111" s="20" t="n">
        <v>0.359143654525187</v>
      </c>
      <c r="F111" s="21" t="n">
        <v>19</v>
      </c>
      <c r="G111" s="22" t="n">
        <f aca="false">IF(E111&gt;0,D111/E111,"")</f>
        <v>-0.572484394389485</v>
      </c>
      <c r="H111" s="22" t="n">
        <f aca="false">IF(G111="","",TDIST(ABS(G111),F111-1,2))</f>
        <v>0.574075607891595</v>
      </c>
    </row>
    <row r="112" customFormat="false" ht="15" hidden="false" customHeight="false" outlineLevel="0" collapsed="false">
      <c r="A112" s="7" t="s">
        <v>90</v>
      </c>
      <c r="B112" s="7" t="s">
        <v>86</v>
      </c>
      <c r="C112" s="7" t="s">
        <v>83</v>
      </c>
      <c r="D112" s="20" t="n">
        <v>-0.455545579330666</v>
      </c>
      <c r="E112" s="20" t="n">
        <v>0.192685534789312</v>
      </c>
      <c r="F112" s="21" t="n">
        <v>19</v>
      </c>
      <c r="G112" s="22" t="n">
        <f aca="false">IF(E112&gt;0,D112/E112,"")</f>
        <v>-2.36419189343286</v>
      </c>
      <c r="H112" s="22" t="n">
        <f aca="false">IF(G112="","",TDIST(ABS(G112),F112-1,2))</f>
        <v>0.0295133251461615</v>
      </c>
    </row>
    <row r="113" customFormat="false" ht="15" hidden="false" customHeight="false" outlineLevel="0" collapsed="false">
      <c r="A113" s="7" t="s">
        <v>90</v>
      </c>
      <c r="B113" s="7" t="s">
        <v>86</v>
      </c>
      <c r="C113" s="7" t="s">
        <v>84</v>
      </c>
      <c r="D113" s="20" t="n">
        <v>-0.29091591151125</v>
      </c>
      <c r="E113" s="20" t="n">
        <v>0.209288189396934</v>
      </c>
      <c r="F113" s="21" t="n">
        <v>19</v>
      </c>
      <c r="G113" s="22" t="n">
        <f aca="false">IF(E113&gt;0,D113/E113,"")</f>
        <v>-1.3900254589116</v>
      </c>
      <c r="H113" s="22" t="n">
        <f aca="false">IF(G113="","",TDIST(ABS(G113),F113-1,2))</f>
        <v>0.181473332921122</v>
      </c>
    </row>
    <row r="114" customFormat="false" ht="15" hidden="false" customHeight="false" outlineLevel="0" collapsed="false">
      <c r="A114" s="7" t="s">
        <v>90</v>
      </c>
      <c r="B114" s="7" t="s">
        <v>86</v>
      </c>
      <c r="C114" s="7" t="s">
        <v>76</v>
      </c>
      <c r="D114" s="20" t="n">
        <v>-0.164629667819417</v>
      </c>
      <c r="E114" s="20" t="n">
        <v>0.350708581575528</v>
      </c>
      <c r="F114" s="21" t="n">
        <v>19</v>
      </c>
      <c r="G114" s="22" t="n">
        <f aca="false">IF(E114&gt;0,D114/E114,"")</f>
        <v>-0.469420129612547</v>
      </c>
      <c r="H114" s="22" t="n">
        <f aca="false">IF(G114="","",TDIST(ABS(G114),F114-1,2))</f>
        <v>0.644405556988798</v>
      </c>
    </row>
    <row r="115" customFormat="false" ht="15" hidden="false" customHeight="false" outlineLevel="0" collapsed="false">
      <c r="A115" s="7" t="s">
        <v>90</v>
      </c>
      <c r="B115" s="7" t="s">
        <v>87</v>
      </c>
      <c r="C115" s="7" t="s">
        <v>83</v>
      </c>
      <c r="D115" s="20" t="n">
        <v>-0.318177230834228</v>
      </c>
      <c r="E115" s="20" t="n">
        <v>0.197456935138331</v>
      </c>
      <c r="F115" s="21" t="n">
        <v>19</v>
      </c>
      <c r="G115" s="22" t="n">
        <f aca="false">IF(E115&gt;0,D115/E115,"")</f>
        <v>-1.61137531386945</v>
      </c>
      <c r="H115" s="22" t="n">
        <f aca="false">IF(G115="","",TDIST(ABS(G115),F115-1,2))</f>
        <v>0.12449366904555</v>
      </c>
    </row>
    <row r="116" customFormat="false" ht="15" hidden="false" customHeight="false" outlineLevel="0" collapsed="false">
      <c r="A116" s="7" t="s">
        <v>90</v>
      </c>
      <c r="B116" s="7" t="s">
        <v>87</v>
      </c>
      <c r="C116" s="7" t="s">
        <v>84</v>
      </c>
      <c r="D116" s="20" t="n">
        <v>-0.483386669747129</v>
      </c>
      <c r="E116" s="20" t="n">
        <v>0.203586974034447</v>
      </c>
      <c r="F116" s="21" t="n">
        <v>19</v>
      </c>
      <c r="G116" s="22" t="n">
        <f aca="false">IF(E116&gt;0,D116/E116,"")</f>
        <v>-2.3743496952086</v>
      </c>
      <c r="H116" s="22" t="n">
        <f aca="false">IF(G116="","",TDIST(ABS(G116),F116-1,2))</f>
        <v>0.0289068791506269</v>
      </c>
    </row>
    <row r="117" customFormat="false" ht="15" hidden="false" customHeight="false" outlineLevel="0" collapsed="false">
      <c r="A117" s="7" t="s">
        <v>90</v>
      </c>
      <c r="B117" s="7" t="s">
        <v>87</v>
      </c>
      <c r="C117" s="7" t="s">
        <v>76</v>
      </c>
      <c r="D117" s="20" t="n">
        <v>0.165209438912902</v>
      </c>
      <c r="E117" s="20" t="n">
        <v>0.337593289693181</v>
      </c>
      <c r="F117" s="21" t="n">
        <v>19</v>
      </c>
      <c r="G117" s="22" t="n">
        <f aca="false">IF(E117&gt;0,D117/E117,"")</f>
        <v>0.489374178802698</v>
      </c>
      <c r="H117" s="22" t="n">
        <f aca="false">IF(G117="","",TDIST(ABS(G117),F117-1,2))</f>
        <v>0.630487051118296</v>
      </c>
    </row>
    <row r="118" customFormat="false" ht="15" hidden="false" customHeight="false" outlineLevel="0" collapsed="false">
      <c r="A118" s="7" t="s">
        <v>90</v>
      </c>
      <c r="B118" s="7" t="s">
        <v>88</v>
      </c>
      <c r="C118" s="7" t="s">
        <v>83</v>
      </c>
      <c r="D118" s="20" t="n">
        <v>-0.320533950595937</v>
      </c>
      <c r="E118" s="20" t="n">
        <v>0.20762495637493</v>
      </c>
      <c r="F118" s="21" t="n">
        <v>19</v>
      </c>
      <c r="G118" s="22" t="n">
        <f aca="false">IF(E118&gt;0,D118/E118,"")</f>
        <v>-1.54381224777774</v>
      </c>
      <c r="H118" s="22" t="n">
        <f aca="false">IF(G118="","",TDIST(ABS(G118),F118-1,2))</f>
        <v>0.140032587675387</v>
      </c>
    </row>
    <row r="119" customFormat="false" ht="15" hidden="false" customHeight="false" outlineLevel="0" collapsed="false">
      <c r="A119" s="7" t="s">
        <v>90</v>
      </c>
      <c r="B119" s="7" t="s">
        <v>88</v>
      </c>
      <c r="C119" s="7" t="s">
        <v>84</v>
      </c>
      <c r="D119" s="20" t="n">
        <v>-0.533412806488003</v>
      </c>
      <c r="E119" s="20" t="n">
        <v>0.21097903139362</v>
      </c>
      <c r="F119" s="21" t="n">
        <v>19</v>
      </c>
      <c r="G119" s="22" t="n">
        <f aca="false">IF(E119&gt;0,D119/E119,"")</f>
        <v>-2.52827403256405</v>
      </c>
      <c r="H119" s="22" t="n">
        <f aca="false">IF(G119="","",TDIST(ABS(G119),F119-1,2))</f>
        <v>0.0210326561869832</v>
      </c>
    </row>
    <row r="120" customFormat="false" ht="15" hidden="false" customHeight="false" outlineLevel="0" collapsed="false">
      <c r="A120" s="7" t="s">
        <v>90</v>
      </c>
      <c r="B120" s="7" t="s">
        <v>88</v>
      </c>
      <c r="C120" s="7" t="s">
        <v>76</v>
      </c>
      <c r="D120" s="20" t="n">
        <v>0.212878855892067</v>
      </c>
      <c r="E120" s="20" t="n">
        <v>0.35638737482322</v>
      </c>
      <c r="F120" s="21" t="n">
        <v>19</v>
      </c>
      <c r="G120" s="22" t="n">
        <f aca="false">IF(E120&gt;0,D120/E120,"")</f>
        <v>0.597324346850563</v>
      </c>
      <c r="H120" s="22" t="n">
        <f aca="false">IF(G120="","",TDIST(ABS(G120),F120-1,2))</f>
        <v>0.55773098833285</v>
      </c>
    </row>
    <row r="121" customFormat="false" ht="15" hidden="false" customHeight="false" outlineLevel="0" collapsed="false">
      <c r="A121" s="7" t="s">
        <v>91</v>
      </c>
      <c r="B121" s="7" t="s">
        <v>73</v>
      </c>
      <c r="C121" s="7" t="s">
        <v>83</v>
      </c>
      <c r="D121" s="20" t="n">
        <v>-0.0269083744893069</v>
      </c>
      <c r="E121" s="20" t="n">
        <v>0.295442744208572</v>
      </c>
      <c r="F121" s="21" t="n">
        <v>87</v>
      </c>
      <c r="G121" s="22" t="n">
        <f aca="false">IF(E121&gt;0,D121/E121,"")</f>
        <v>-0.0910781361762282</v>
      </c>
      <c r="H121" s="22" t="n">
        <f aca="false">IF(G121="","",TDIST(ABS(G121),F121-1,2))</f>
        <v>0.927642311012261</v>
      </c>
    </row>
    <row r="122" customFormat="false" ht="15" hidden="false" customHeight="false" outlineLevel="0" collapsed="false">
      <c r="A122" s="7" t="s">
        <v>91</v>
      </c>
      <c r="B122" s="7" t="s">
        <v>73</v>
      </c>
      <c r="C122" s="7" t="s">
        <v>84</v>
      </c>
      <c r="D122" s="20" t="n">
        <v>-0.612276382332121</v>
      </c>
      <c r="E122" s="20" t="n">
        <v>0.212717765897274</v>
      </c>
      <c r="F122" s="21" t="n">
        <v>87</v>
      </c>
      <c r="G122" s="22" t="n">
        <f aca="false">IF(E122&gt;0,D122/E122,"")</f>
        <v>-2.87835094426388</v>
      </c>
      <c r="H122" s="22" t="n">
        <f aca="false">IF(G122="","",TDIST(ABS(G122),F122-1,2))</f>
        <v>0.00504218330372112</v>
      </c>
    </row>
    <row r="123" customFormat="false" ht="15" hidden="false" customHeight="false" outlineLevel="0" collapsed="false">
      <c r="A123" s="7" t="s">
        <v>91</v>
      </c>
      <c r="B123" s="7" t="s">
        <v>73</v>
      </c>
      <c r="C123" s="7" t="s">
        <v>76</v>
      </c>
      <c r="D123" s="20" t="n">
        <v>0.585368007842814</v>
      </c>
      <c r="E123" s="20" t="n">
        <v>0.387170987263852</v>
      </c>
      <c r="F123" s="21" t="n">
        <v>87</v>
      </c>
      <c r="G123" s="22" t="n">
        <f aca="false">IF(E123&gt;0,D123/E123,"")</f>
        <v>1.51191082777051</v>
      </c>
      <c r="H123" s="22" t="n">
        <f aca="false">IF(G123="","",TDIST(ABS(G123),F123-1,2))</f>
        <v>0.134222642269026</v>
      </c>
    </row>
    <row r="124" customFormat="false" ht="15" hidden="false" customHeight="false" outlineLevel="0" collapsed="false">
      <c r="A124" s="7" t="s">
        <v>91</v>
      </c>
      <c r="B124" s="7" t="s">
        <v>74</v>
      </c>
      <c r="C124" s="7" t="s">
        <v>83</v>
      </c>
      <c r="D124" s="20" t="n">
        <v>-0.672949777525367</v>
      </c>
      <c r="E124" s="20" t="n">
        <v>0.336339956479298</v>
      </c>
      <c r="F124" s="21" t="n">
        <v>66</v>
      </c>
      <c r="G124" s="22" t="n">
        <f aca="false">IF(E124&gt;0,D124/E124,"")</f>
        <v>-2.000802356549</v>
      </c>
      <c r="H124" s="22" t="n">
        <f aca="false">IF(G124="","",TDIST(ABS(G124),F124-1,2))</f>
        <v>0.0495933177217784</v>
      </c>
    </row>
    <row r="125" customFormat="false" ht="15" hidden="false" customHeight="false" outlineLevel="0" collapsed="false">
      <c r="A125" s="7" t="s">
        <v>91</v>
      </c>
      <c r="B125" s="7" t="s">
        <v>74</v>
      </c>
      <c r="C125" s="7" t="s">
        <v>84</v>
      </c>
      <c r="D125" s="20" t="n">
        <v>-0.455553293679858</v>
      </c>
      <c r="E125" s="20" t="n">
        <v>0.277865980212774</v>
      </c>
      <c r="F125" s="21" t="n">
        <v>66</v>
      </c>
      <c r="G125" s="22" t="n">
        <f aca="false">IF(E125&gt;0,D125/E125,"")</f>
        <v>-1.63947127795573</v>
      </c>
      <c r="H125" s="22" t="n">
        <f aca="false">IF(G125="","",TDIST(ABS(G125),F125-1,2))</f>
        <v>0.105946640968713</v>
      </c>
    </row>
    <row r="126" customFormat="false" ht="15" hidden="false" customHeight="false" outlineLevel="0" collapsed="false">
      <c r="A126" s="7" t="s">
        <v>91</v>
      </c>
      <c r="B126" s="7" t="s">
        <v>74</v>
      </c>
      <c r="C126" s="7" t="s">
        <v>76</v>
      </c>
      <c r="D126" s="20" t="n">
        <v>-0.21739648384551</v>
      </c>
      <c r="E126" s="20" t="n">
        <v>0.404801996299186</v>
      </c>
      <c r="F126" s="21" t="n">
        <v>66</v>
      </c>
      <c r="G126" s="22" t="n">
        <f aca="false">IF(E126&gt;0,D126/E126,"")</f>
        <v>-0.537044001346361</v>
      </c>
      <c r="H126" s="22" t="n">
        <f aca="false">IF(G126="","",TDIST(ABS(G126),F126-1,2))</f>
        <v>0.593070885714367</v>
      </c>
    </row>
    <row r="127" customFormat="false" ht="15" hidden="false" customHeight="false" outlineLevel="0" collapsed="false">
      <c r="A127" s="7" t="s">
        <v>91</v>
      </c>
      <c r="B127" s="7" t="s">
        <v>75</v>
      </c>
      <c r="C127" s="7" t="s">
        <v>83</v>
      </c>
      <c r="D127" s="20" t="n">
        <v>-0.449374914186565</v>
      </c>
      <c r="E127" s="20" t="n">
        <v>0.338022718166865</v>
      </c>
      <c r="F127" s="21" t="n">
        <v>68</v>
      </c>
      <c r="G127" s="22" t="n">
        <f aca="false">IF(E127&gt;0,D127/E127,"")</f>
        <v>-1.32942222529768</v>
      </c>
      <c r="H127" s="22" t="n">
        <f aca="false">IF(G127="","",TDIST(ABS(G127),F127-1,2))</f>
        <v>0.188217655807636</v>
      </c>
    </row>
    <row r="128" customFormat="false" ht="15" hidden="false" customHeight="false" outlineLevel="0" collapsed="false">
      <c r="A128" s="7" t="s">
        <v>91</v>
      </c>
      <c r="B128" s="7" t="s">
        <v>75</v>
      </c>
      <c r="C128" s="7" t="s">
        <v>84</v>
      </c>
      <c r="D128" s="20" t="n">
        <v>-0.283770652965016</v>
      </c>
      <c r="E128" s="20" t="n">
        <v>0.182804948379165</v>
      </c>
      <c r="F128" s="21" t="n">
        <v>68</v>
      </c>
      <c r="G128" s="22" t="n">
        <f aca="false">IF(E128&gt;0,D128/E128,"")</f>
        <v>-1.55231384861876</v>
      </c>
      <c r="H128" s="22" t="n">
        <f aca="false">IF(G128="","",TDIST(ABS(G128),F128-1,2))</f>
        <v>0.125298347784346</v>
      </c>
    </row>
    <row r="129" customFormat="false" ht="15" hidden="false" customHeight="false" outlineLevel="0" collapsed="false">
      <c r="A129" s="7" t="s">
        <v>91</v>
      </c>
      <c r="B129" s="7" t="s">
        <v>75</v>
      </c>
      <c r="C129" s="7" t="s">
        <v>76</v>
      </c>
      <c r="D129" s="20" t="n">
        <v>-0.165604261221549</v>
      </c>
      <c r="E129" s="20" t="n">
        <v>0.378477805340094</v>
      </c>
      <c r="F129" s="21" t="n">
        <v>68</v>
      </c>
      <c r="G129" s="22" t="n">
        <f aca="false">IF(E129&gt;0,D129/E129,"")</f>
        <v>-0.437553428193074</v>
      </c>
      <c r="H129" s="22" t="n">
        <f aca="false">IF(G129="","",TDIST(ABS(G129),F129-1,2))</f>
        <v>0.66311730112471</v>
      </c>
    </row>
    <row r="130" customFormat="false" ht="15" hidden="false" customHeight="false" outlineLevel="0" collapsed="false">
      <c r="A130" s="7" t="s">
        <v>91</v>
      </c>
      <c r="B130" s="7" t="s">
        <v>85</v>
      </c>
      <c r="C130" s="7" t="s">
        <v>83</v>
      </c>
      <c r="D130" s="20" t="n">
        <v>-0.497751479604297</v>
      </c>
      <c r="E130" s="20" t="n">
        <v>0.368468311062409</v>
      </c>
      <c r="F130" s="21" t="n">
        <v>66</v>
      </c>
      <c r="G130" s="22" t="n">
        <f aca="false">IF(E130&gt;0,D130/E130,"")</f>
        <v>-1.3508664508194</v>
      </c>
      <c r="H130" s="22" t="n">
        <f aca="false">IF(G130="","",TDIST(ABS(G130),F130-1,2))</f>
        <v>0.181422129274998</v>
      </c>
    </row>
    <row r="131" customFormat="false" ht="15" hidden="false" customHeight="false" outlineLevel="0" collapsed="false">
      <c r="A131" s="7" t="s">
        <v>91</v>
      </c>
      <c r="B131" s="7" t="s">
        <v>85</v>
      </c>
      <c r="C131" s="7" t="s">
        <v>84</v>
      </c>
      <c r="D131" s="20" t="n">
        <v>-0.263053379851856</v>
      </c>
      <c r="E131" s="20" t="n">
        <v>0.164962957590807</v>
      </c>
      <c r="F131" s="21" t="n">
        <v>66</v>
      </c>
      <c r="G131" s="22" t="n">
        <f aca="false">IF(E131&gt;0,D131/E131,"")</f>
        <v>-1.59462089970746</v>
      </c>
      <c r="H131" s="22" t="n">
        <f aca="false">IF(G131="","",TDIST(ABS(G131),F131-1,2))</f>
        <v>0.115648347610537</v>
      </c>
    </row>
    <row r="132" customFormat="false" ht="15" hidden="false" customHeight="false" outlineLevel="0" collapsed="false">
      <c r="A132" s="7" t="s">
        <v>91</v>
      </c>
      <c r="B132" s="7" t="s">
        <v>85</v>
      </c>
      <c r="C132" s="7" t="s">
        <v>76</v>
      </c>
      <c r="D132" s="20" t="n">
        <v>-0.234698099752441</v>
      </c>
      <c r="E132" s="20" t="n">
        <v>0.390449538190056</v>
      </c>
      <c r="F132" s="21" t="n">
        <v>66</v>
      </c>
      <c r="G132" s="22" t="n">
        <f aca="false">IF(E132&gt;0,D132/E132,"")</f>
        <v>-0.601097137521005</v>
      </c>
      <c r="H132" s="22" t="n">
        <f aca="false">IF(G132="","",TDIST(ABS(G132),F132-1,2))</f>
        <v>0.549865826035536</v>
      </c>
    </row>
    <row r="133" customFormat="false" ht="15" hidden="false" customHeight="false" outlineLevel="0" collapsed="false">
      <c r="A133" s="7" t="s">
        <v>91</v>
      </c>
      <c r="B133" s="7" t="s">
        <v>86</v>
      </c>
      <c r="C133" s="7" t="s">
        <v>83</v>
      </c>
      <c r="D133" s="20" t="n">
        <v>-0.372978931373495</v>
      </c>
      <c r="E133" s="20" t="n">
        <v>0.371581098939985</v>
      </c>
      <c r="F133" s="21" t="n">
        <v>87</v>
      </c>
      <c r="G133" s="22" t="n">
        <f aca="false">IF(E133&gt;0,D133/E133,"")</f>
        <v>-1.00376185020578</v>
      </c>
      <c r="H133" s="22" t="n">
        <f aca="false">IF(G133="","",TDIST(ABS(G133),F133-1,2))</f>
        <v>0.318309348411172</v>
      </c>
    </row>
    <row r="134" customFormat="false" ht="15" hidden="false" customHeight="false" outlineLevel="0" collapsed="false">
      <c r="A134" s="7" t="s">
        <v>91</v>
      </c>
      <c r="B134" s="7" t="s">
        <v>86</v>
      </c>
      <c r="C134" s="7" t="s">
        <v>84</v>
      </c>
      <c r="D134" s="20" t="n">
        <v>-0.267957305765747</v>
      </c>
      <c r="E134" s="20" t="n">
        <v>0.172899261381484</v>
      </c>
      <c r="F134" s="21" t="n">
        <v>87</v>
      </c>
      <c r="G134" s="22" t="n">
        <f aca="false">IF(E134&gt;0,D134/E134,"")</f>
        <v>-1.54978860883927</v>
      </c>
      <c r="H134" s="22" t="n">
        <f aca="false">IF(G134="","",TDIST(ABS(G134),F134-1,2))</f>
        <v>0.124864616848226</v>
      </c>
    </row>
    <row r="135" customFormat="false" ht="15" hidden="false" customHeight="false" outlineLevel="0" collapsed="false">
      <c r="A135" s="7" t="s">
        <v>91</v>
      </c>
      <c r="B135" s="7" t="s">
        <v>86</v>
      </c>
      <c r="C135" s="7" t="s">
        <v>76</v>
      </c>
      <c r="D135" s="20" t="n">
        <v>-0.105021625607748</v>
      </c>
      <c r="E135" s="20" t="n">
        <v>0.408056060931408</v>
      </c>
      <c r="F135" s="21" t="n">
        <v>87</v>
      </c>
      <c r="G135" s="22" t="n">
        <f aca="false">IF(E135&gt;0,D135/E135,"")</f>
        <v>-0.257370581306968</v>
      </c>
      <c r="H135" s="22" t="n">
        <f aca="false">IF(G135="","",TDIST(ABS(G135),F135-1,2))</f>
        <v>0.79750751828883</v>
      </c>
    </row>
    <row r="136" customFormat="false" ht="15" hidden="false" customHeight="false" outlineLevel="0" collapsed="false">
      <c r="A136" s="7" t="s">
        <v>91</v>
      </c>
      <c r="B136" s="7" t="s">
        <v>87</v>
      </c>
      <c r="C136" s="7" t="s">
        <v>83</v>
      </c>
      <c r="D136" s="20" t="n">
        <v>-0.356102625759997</v>
      </c>
      <c r="E136" s="20" t="n">
        <v>0.276517815899834</v>
      </c>
      <c r="F136" s="21" t="n">
        <v>68</v>
      </c>
      <c r="G136" s="22" t="n">
        <f aca="false">IF(E136&gt;0,D136/E136,"")</f>
        <v>-1.28781078572164</v>
      </c>
      <c r="H136" s="22" t="n">
        <f aca="false">IF(G136="","",TDIST(ABS(G136),F136-1,2))</f>
        <v>0.202242180311173</v>
      </c>
    </row>
    <row r="137" customFormat="false" ht="15" hidden="false" customHeight="false" outlineLevel="0" collapsed="false">
      <c r="A137" s="7" t="s">
        <v>91</v>
      </c>
      <c r="B137" s="7" t="s">
        <v>87</v>
      </c>
      <c r="C137" s="7" t="s">
        <v>84</v>
      </c>
      <c r="D137" s="20" t="n">
        <v>-0.331228412469102</v>
      </c>
      <c r="E137" s="20" t="n">
        <v>0.168522071465814</v>
      </c>
      <c r="F137" s="21" t="n">
        <v>68</v>
      </c>
      <c r="G137" s="22" t="n">
        <f aca="false">IF(E137&gt;0,D137/E137,"")</f>
        <v>-1.96548979957378</v>
      </c>
      <c r="H137" s="22" t="n">
        <f aca="false">IF(G137="","",TDIST(ABS(G137),F137-1,2))</f>
        <v>0.0535045767085793</v>
      </c>
    </row>
    <row r="138" customFormat="false" ht="15" hidden="false" customHeight="false" outlineLevel="0" collapsed="false">
      <c r="A138" s="7" t="s">
        <v>91</v>
      </c>
      <c r="B138" s="7" t="s">
        <v>87</v>
      </c>
      <c r="C138" s="7" t="s">
        <v>76</v>
      </c>
      <c r="D138" s="20" t="n">
        <v>-0.0248742132908957</v>
      </c>
      <c r="E138" s="20" t="n">
        <v>0.314347581963533</v>
      </c>
      <c r="F138" s="21" t="n">
        <v>68</v>
      </c>
      <c r="G138" s="22" t="n">
        <f aca="false">IF(E138&gt;0,D138/E138,"")</f>
        <v>-0.0791296473016335</v>
      </c>
      <c r="H138" s="22" t="n">
        <f aca="false">IF(G138="","",TDIST(ABS(G138),F138-1,2))</f>
        <v>0.937165368788758</v>
      </c>
    </row>
    <row r="139" customFormat="false" ht="15" hidden="false" customHeight="false" outlineLevel="0" collapsed="false">
      <c r="A139" s="7" t="s">
        <v>91</v>
      </c>
      <c r="B139" s="7" t="s">
        <v>88</v>
      </c>
      <c r="C139" s="7" t="s">
        <v>83</v>
      </c>
      <c r="D139" s="20" t="n">
        <v>-0.352332112723274</v>
      </c>
      <c r="E139" s="20" t="n">
        <v>0.275096069732255</v>
      </c>
      <c r="F139" s="21" t="n">
        <v>63</v>
      </c>
      <c r="G139" s="22" t="n">
        <f aca="false">IF(E139&gt;0,D139/E139,"")</f>
        <v>-1.28076025610323</v>
      </c>
      <c r="H139" s="22" t="n">
        <f aca="false">IF(G139="","",TDIST(ABS(G139),F139-1,2))</f>
        <v>0.205048295882459</v>
      </c>
    </row>
    <row r="140" customFormat="false" ht="15" hidden="false" customHeight="false" outlineLevel="0" collapsed="false">
      <c r="A140" s="7" t="s">
        <v>91</v>
      </c>
      <c r="B140" s="7" t="s">
        <v>88</v>
      </c>
      <c r="C140" s="7" t="s">
        <v>84</v>
      </c>
      <c r="D140" s="20" t="n">
        <v>-0.360109693634646</v>
      </c>
      <c r="E140" s="20" t="n">
        <v>0.168312176975637</v>
      </c>
      <c r="F140" s="21" t="n">
        <v>63</v>
      </c>
      <c r="G140" s="22" t="n">
        <f aca="false">IF(E140&gt;0,D140/E140,"")</f>
        <v>-2.13953440627632</v>
      </c>
      <c r="H140" s="22" t="n">
        <f aca="false">IF(G140="","",TDIST(ABS(G140),F140-1,2))</f>
        <v>0.0363365168541225</v>
      </c>
    </row>
    <row r="141" customFormat="false" ht="15" hidden="false" customHeight="false" outlineLevel="0" collapsed="false">
      <c r="A141" s="7" t="s">
        <v>91</v>
      </c>
      <c r="B141" s="7" t="s">
        <v>88</v>
      </c>
      <c r="C141" s="7" t="s">
        <v>76</v>
      </c>
      <c r="D141" s="20" t="n">
        <v>0.00777758091137148</v>
      </c>
      <c r="E141" s="20" t="n">
        <v>0.303128320355704</v>
      </c>
      <c r="F141" s="21" t="n">
        <v>63</v>
      </c>
      <c r="G141" s="22" t="n">
        <f aca="false">IF(E141&gt;0,D141/E141,"")</f>
        <v>0.0256577178346283</v>
      </c>
      <c r="H141" s="22" t="n">
        <f aca="false">IF(G141="","",TDIST(ABS(G141),F141-1,2))</f>
        <v>0.97961275425864</v>
      </c>
    </row>
    <row r="142" customFormat="false" ht="15" hidden="false" customHeight="false" outlineLevel="0" collapsed="false">
      <c r="A142" s="7" t="s">
        <v>92</v>
      </c>
      <c r="B142" s="7" t="s">
        <v>73</v>
      </c>
      <c r="C142" s="7" t="s">
        <v>83</v>
      </c>
      <c r="D142" s="20" t="n">
        <v>-1.40866662191584</v>
      </c>
      <c r="E142" s="20" t="n">
        <v>0.970706502341395</v>
      </c>
      <c r="F142" s="21" t="n">
        <v>19</v>
      </c>
      <c r="G142" s="22" t="n">
        <f aca="false">IF(E142&gt;0,D142/E142,"")</f>
        <v>-1.45117666206836</v>
      </c>
      <c r="H142" s="22" t="n">
        <f aca="false">IF(G142="","",TDIST(ABS(G142),F142-1,2))</f>
        <v>0.16393621677203</v>
      </c>
    </row>
    <row r="143" customFormat="false" ht="15" hidden="false" customHeight="false" outlineLevel="0" collapsed="false">
      <c r="A143" s="7" t="s">
        <v>92</v>
      </c>
      <c r="B143" s="7" t="s">
        <v>73</v>
      </c>
      <c r="C143" s="7" t="s">
        <v>84</v>
      </c>
      <c r="D143" s="20" t="n">
        <v>-0.381907504291192</v>
      </c>
      <c r="E143" s="20" t="n">
        <v>0.304049945389078</v>
      </c>
      <c r="F143" s="21" t="n">
        <v>19</v>
      </c>
      <c r="G143" s="22" t="n">
        <f aca="false">IF(E143&gt;0,D143/E143,"")</f>
        <v>-1.25606832062569</v>
      </c>
      <c r="H143" s="22" t="n">
        <f aca="false">IF(G143="","",TDIST(ABS(G143),F143-1,2))</f>
        <v>0.225150296113358</v>
      </c>
    </row>
    <row r="144" customFormat="false" ht="15" hidden="false" customHeight="false" outlineLevel="0" collapsed="false">
      <c r="A144" s="7" t="s">
        <v>92</v>
      </c>
      <c r="B144" s="7" t="s">
        <v>73</v>
      </c>
      <c r="C144" s="7" t="s">
        <v>76</v>
      </c>
      <c r="D144" s="20" t="n">
        <v>-1.02675911762465</v>
      </c>
      <c r="E144" s="20" t="n">
        <v>1.24081225319479</v>
      </c>
      <c r="F144" s="21" t="n">
        <v>19</v>
      </c>
      <c r="G144" s="22" t="n">
        <f aca="false">IF(E144&gt;0,D144/E144,"")</f>
        <v>-0.827489505346998</v>
      </c>
      <c r="H144" s="22" t="n">
        <f aca="false">IF(G144="","",TDIST(ABS(G144),F144-1,2))</f>
        <v>0.418795613138911</v>
      </c>
    </row>
    <row r="145" customFormat="false" ht="15" hidden="false" customHeight="false" outlineLevel="0" collapsed="false">
      <c r="A145" s="7" t="s">
        <v>92</v>
      </c>
      <c r="B145" s="7" t="s">
        <v>74</v>
      </c>
      <c r="C145" s="7" t="s">
        <v>83</v>
      </c>
      <c r="D145" s="20" t="n">
        <v>-0.84854503972945</v>
      </c>
      <c r="E145" s="20" t="n">
        <v>0.770767745488997</v>
      </c>
      <c r="F145" s="21" t="n">
        <v>19</v>
      </c>
      <c r="G145" s="22" t="n">
        <f aca="false">IF(E145&gt;0,D145/E145,"")</f>
        <v>-1.10090885963463</v>
      </c>
      <c r="H145" s="22" t="n">
        <f aca="false">IF(G145="","",TDIST(ABS(G145),F145-1,2))</f>
        <v>0.285441179016971</v>
      </c>
    </row>
    <row r="146" customFormat="false" ht="15" hidden="false" customHeight="false" outlineLevel="0" collapsed="false">
      <c r="A146" s="7" t="s">
        <v>92</v>
      </c>
      <c r="B146" s="7" t="s">
        <v>74</v>
      </c>
      <c r="C146" s="7" t="s">
        <v>84</v>
      </c>
      <c r="D146" s="20" t="n">
        <v>-0.338759106992169</v>
      </c>
      <c r="E146" s="20" t="n">
        <v>0.171458097682274</v>
      </c>
      <c r="F146" s="21" t="n">
        <v>19</v>
      </c>
      <c r="G146" s="22" t="n">
        <f aca="false">IF(E146&gt;0,D146/E146,"")</f>
        <v>-1.97575449378843</v>
      </c>
      <c r="H146" s="22" t="n">
        <f aca="false">IF(G146="","",TDIST(ABS(G146),F146-1,2))</f>
        <v>0.063716926590921</v>
      </c>
    </row>
    <row r="147" customFormat="false" ht="15" hidden="false" customHeight="false" outlineLevel="0" collapsed="false">
      <c r="A147" s="7" t="s">
        <v>92</v>
      </c>
      <c r="B147" s="7" t="s">
        <v>74</v>
      </c>
      <c r="C147" s="7" t="s">
        <v>76</v>
      </c>
      <c r="D147" s="20" t="n">
        <v>-0.509785932737281</v>
      </c>
      <c r="E147" s="20" t="n">
        <v>0.80603002782909</v>
      </c>
      <c r="F147" s="21" t="n">
        <v>19</v>
      </c>
      <c r="G147" s="22" t="n">
        <f aca="false">IF(E147&gt;0,D147/E147,"")</f>
        <v>-0.632465187569136</v>
      </c>
      <c r="H147" s="22" t="n">
        <f aca="false">IF(G147="","",TDIST(ABS(G147),F147-1,2))</f>
        <v>0.535035250535236</v>
      </c>
    </row>
    <row r="148" customFormat="false" ht="15" hidden="false" customHeight="false" outlineLevel="0" collapsed="false">
      <c r="A148" s="7" t="s">
        <v>92</v>
      </c>
      <c r="B148" s="7" t="s">
        <v>75</v>
      </c>
      <c r="C148" s="7" t="s">
        <v>83</v>
      </c>
      <c r="D148" s="20" t="n">
        <v>-0.964023850085912</v>
      </c>
      <c r="E148" s="20" t="n">
        <v>0.265020762079483</v>
      </c>
      <c r="F148" s="21" t="n">
        <v>19</v>
      </c>
      <c r="G148" s="22" t="n">
        <f aca="false">IF(E148&gt;0,D148/E148,"")</f>
        <v>-3.63754085725854</v>
      </c>
      <c r="H148" s="22" t="n">
        <f aca="false">IF(G148="","",TDIST(ABS(G148),F148-1,2))</f>
        <v>0.00188314014647664</v>
      </c>
    </row>
    <row r="149" customFormat="false" ht="15" hidden="false" customHeight="false" outlineLevel="0" collapsed="false">
      <c r="A149" s="7" t="s">
        <v>92</v>
      </c>
      <c r="B149" s="7" t="s">
        <v>75</v>
      </c>
      <c r="C149" s="7" t="s">
        <v>84</v>
      </c>
      <c r="D149" s="20" t="n">
        <v>-0.0935725885585972</v>
      </c>
      <c r="E149" s="20" t="n">
        <v>0.142929417467805</v>
      </c>
      <c r="F149" s="21" t="n">
        <v>19</v>
      </c>
      <c r="G149" s="22" t="n">
        <f aca="false">IF(E149&gt;0,D149/E149,"")</f>
        <v>-0.654676904281614</v>
      </c>
      <c r="H149" s="22" t="n">
        <f aca="false">IF(G149="","",TDIST(ABS(G149),F149-1,2))</f>
        <v>0.520954400508472</v>
      </c>
    </row>
    <row r="150" customFormat="false" ht="15" hidden="false" customHeight="false" outlineLevel="0" collapsed="false">
      <c r="A150" s="7" t="s">
        <v>92</v>
      </c>
      <c r="B150" s="7" t="s">
        <v>75</v>
      </c>
      <c r="C150" s="7" t="s">
        <v>76</v>
      </c>
      <c r="D150" s="20" t="n">
        <v>-0.870451261527315</v>
      </c>
      <c r="E150" s="20" t="n">
        <v>0.33586011622448</v>
      </c>
      <c r="F150" s="21" t="n">
        <v>19</v>
      </c>
      <c r="G150" s="22" t="n">
        <f aca="false">IF(E150&gt;0,D150/E150,"")</f>
        <v>-2.59170773628128</v>
      </c>
      <c r="H150" s="22" t="n">
        <f aca="false">IF(G150="","",TDIST(ABS(G150),F150-1,2))</f>
        <v>0.0184175265073535</v>
      </c>
    </row>
    <row r="151" customFormat="false" ht="15" hidden="false" customHeight="false" outlineLevel="0" collapsed="false">
      <c r="A151" s="7" t="s">
        <v>92</v>
      </c>
      <c r="B151" s="7" t="s">
        <v>85</v>
      </c>
      <c r="C151" s="7" t="s">
        <v>83</v>
      </c>
      <c r="D151" s="20" t="n">
        <v>-0.978001073891981</v>
      </c>
      <c r="E151" s="20" t="n">
        <v>0.278742898249414</v>
      </c>
      <c r="F151" s="21" t="n">
        <v>19</v>
      </c>
      <c r="G151" s="22" t="n">
        <f aca="false">IF(E151&gt;0,D151/E151,"")</f>
        <v>-3.50861342130727</v>
      </c>
      <c r="H151" s="22" t="n">
        <f aca="false">IF(G151="","",TDIST(ABS(G151),F151-1,2))</f>
        <v>0.00250829019467229</v>
      </c>
    </row>
    <row r="152" customFormat="false" ht="15" hidden="false" customHeight="false" outlineLevel="0" collapsed="false">
      <c r="A152" s="7" t="s">
        <v>92</v>
      </c>
      <c r="B152" s="7" t="s">
        <v>85</v>
      </c>
      <c r="C152" s="7" t="s">
        <v>84</v>
      </c>
      <c r="D152" s="20" t="n">
        <v>-0.0703137297423723</v>
      </c>
      <c r="E152" s="20" t="n">
        <v>0.138022018957318</v>
      </c>
      <c r="F152" s="21" t="n">
        <v>19</v>
      </c>
      <c r="G152" s="22" t="n">
        <f aca="false">IF(E152&gt;0,D152/E152,"")</f>
        <v>-0.509438495926626</v>
      </c>
      <c r="H152" s="22" t="n">
        <f aca="false">IF(G152="","",TDIST(ABS(G152),F152-1,2))</f>
        <v>0.616633665024385</v>
      </c>
    </row>
    <row r="153" customFormat="false" ht="15" hidden="false" customHeight="false" outlineLevel="0" collapsed="false">
      <c r="A153" s="7" t="s">
        <v>92</v>
      </c>
      <c r="B153" s="7" t="s">
        <v>85</v>
      </c>
      <c r="C153" s="7" t="s">
        <v>76</v>
      </c>
      <c r="D153" s="20" t="n">
        <v>-0.907687344149608</v>
      </c>
      <c r="E153" s="20" t="n">
        <v>0.338019944204312</v>
      </c>
      <c r="F153" s="21" t="n">
        <v>19</v>
      </c>
      <c r="G153" s="22" t="n">
        <f aca="false">IF(E153&gt;0,D153/E153,"")</f>
        <v>-2.68530706460613</v>
      </c>
      <c r="H153" s="22" t="n">
        <f aca="false">IF(G153="","",TDIST(ABS(G153),F153-1,2))</f>
        <v>0.0151157280686965</v>
      </c>
    </row>
    <row r="154" customFormat="false" ht="15" hidden="false" customHeight="false" outlineLevel="0" collapsed="false">
      <c r="A154" s="7" t="s">
        <v>92</v>
      </c>
      <c r="B154" s="7" t="s">
        <v>86</v>
      </c>
      <c r="C154" s="7" t="s">
        <v>83</v>
      </c>
      <c r="D154" s="20" t="n">
        <v>-0.879332214570555</v>
      </c>
      <c r="E154" s="20" t="n">
        <v>0.221770804634534</v>
      </c>
      <c r="F154" s="21" t="n">
        <v>19</v>
      </c>
      <c r="G154" s="22" t="n">
        <f aca="false">IF(E154&gt;0,D154/E154,"")</f>
        <v>-3.96504948439739</v>
      </c>
      <c r="H154" s="22" t="n">
        <f aca="false">IF(G154="","",TDIST(ABS(G154),F154-1,2))</f>
        <v>0.000907824145166795</v>
      </c>
    </row>
    <row r="155" customFormat="false" ht="15" hidden="false" customHeight="false" outlineLevel="0" collapsed="false">
      <c r="A155" s="7" t="s">
        <v>92</v>
      </c>
      <c r="B155" s="7" t="s">
        <v>86</v>
      </c>
      <c r="C155" s="7" t="s">
        <v>84</v>
      </c>
      <c r="D155" s="20" t="n">
        <v>-0.100469415219551</v>
      </c>
      <c r="E155" s="20" t="n">
        <v>0.130574439492781</v>
      </c>
      <c r="F155" s="21" t="n">
        <v>19</v>
      </c>
      <c r="G155" s="22" t="n">
        <f aca="false">IF(E155&gt;0,D155/E155,"")</f>
        <v>-0.76944167334607</v>
      </c>
      <c r="H155" s="22" t="n">
        <f aca="false">IF(G155="","",TDIST(ABS(G155),F155-1,2))</f>
        <v>0.451610836980247</v>
      </c>
    </row>
    <row r="156" customFormat="false" ht="15" hidden="false" customHeight="false" outlineLevel="0" collapsed="false">
      <c r="A156" s="7" t="s">
        <v>92</v>
      </c>
      <c r="B156" s="7" t="s">
        <v>86</v>
      </c>
      <c r="C156" s="7" t="s">
        <v>76</v>
      </c>
      <c r="D156" s="20" t="n">
        <v>-0.778862799351004</v>
      </c>
      <c r="E156" s="20" t="n">
        <v>0.278025233748561</v>
      </c>
      <c r="F156" s="21" t="n">
        <v>19</v>
      </c>
      <c r="G156" s="22" t="n">
        <f aca="false">IF(E156&gt;0,D156/E156,"")</f>
        <v>-2.80141046497739</v>
      </c>
      <c r="H156" s="22" t="n">
        <f aca="false">IF(G156="","",TDIST(ABS(G156),F156-1,2))</f>
        <v>0.0118010003697222</v>
      </c>
    </row>
    <row r="157" customFormat="false" ht="15" hidden="false" customHeight="false" outlineLevel="0" collapsed="false">
      <c r="A157" s="7" t="s">
        <v>92</v>
      </c>
      <c r="B157" s="7" t="s">
        <v>87</v>
      </c>
      <c r="C157" s="7" t="s">
        <v>83</v>
      </c>
      <c r="D157" s="20" t="n">
        <v>-0.969605568202884</v>
      </c>
      <c r="E157" s="20" t="n">
        <v>0.25377559083711</v>
      </c>
      <c r="F157" s="21" t="n">
        <v>19</v>
      </c>
      <c r="G157" s="22" t="n">
        <f aca="false">IF(E157&gt;0,D157/E157,"")</f>
        <v>-3.8207203655975</v>
      </c>
      <c r="H157" s="22" t="n">
        <f aca="false">IF(G157="","",TDIST(ABS(G157),F157-1,2))</f>
        <v>0.00125221335853066</v>
      </c>
    </row>
    <row r="158" customFormat="false" ht="15" hidden="false" customHeight="false" outlineLevel="0" collapsed="false">
      <c r="A158" s="7" t="s">
        <v>92</v>
      </c>
      <c r="B158" s="7" t="s">
        <v>87</v>
      </c>
      <c r="C158" s="7" t="s">
        <v>84</v>
      </c>
      <c r="D158" s="20" t="n">
        <v>-0.152879845656852</v>
      </c>
      <c r="E158" s="20" t="n">
        <v>0.141048164986641</v>
      </c>
      <c r="F158" s="21" t="n">
        <v>19</v>
      </c>
      <c r="G158" s="22" t="n">
        <f aca="false">IF(E158&gt;0,D158/E158,"")</f>
        <v>-1.08388397446597</v>
      </c>
      <c r="H158" s="22" t="n">
        <f aca="false">IF(G158="","",TDIST(ABS(G158),F158-1,2))</f>
        <v>0.292721620871077</v>
      </c>
    </row>
    <row r="159" customFormat="false" ht="15" hidden="false" customHeight="false" outlineLevel="0" collapsed="false">
      <c r="A159" s="7" t="s">
        <v>92</v>
      </c>
      <c r="B159" s="7" t="s">
        <v>87</v>
      </c>
      <c r="C159" s="7" t="s">
        <v>76</v>
      </c>
      <c r="D159" s="20" t="n">
        <v>-0.816725722546032</v>
      </c>
      <c r="E159" s="20" t="n">
        <v>0.325627238543046</v>
      </c>
      <c r="F159" s="21" t="n">
        <v>19</v>
      </c>
      <c r="G159" s="22" t="n">
        <f aca="false">IF(E159&gt;0,D159/E159,"")</f>
        <v>-2.50816155982623</v>
      </c>
      <c r="H159" s="22" t="n">
        <f aca="false">IF(G159="","",TDIST(ABS(G159),F159-1,2))</f>
        <v>0.0219325780534039</v>
      </c>
    </row>
    <row r="160" customFormat="false" ht="15" hidden="false" customHeight="false" outlineLevel="0" collapsed="false">
      <c r="A160" s="7" t="s">
        <v>92</v>
      </c>
      <c r="B160" s="7" t="s">
        <v>88</v>
      </c>
      <c r="C160" s="7" t="s">
        <v>83</v>
      </c>
      <c r="D160" s="20" t="n">
        <v>-0.984585586784422</v>
      </c>
      <c r="E160" s="20" t="n">
        <v>0.265086310083659</v>
      </c>
      <c r="F160" s="21" t="n">
        <v>19</v>
      </c>
      <c r="G160" s="22" t="n">
        <f aca="false">IF(E160&gt;0,D160/E160,"")</f>
        <v>-3.71420759704148</v>
      </c>
      <c r="H160" s="22" t="n">
        <f aca="false">IF(G160="","",TDIST(ABS(G160),F160-1,2))</f>
        <v>0.00158761676072205</v>
      </c>
    </row>
    <row r="161" customFormat="false" ht="15" hidden="false" customHeight="false" outlineLevel="0" collapsed="false">
      <c r="A161" s="7" t="s">
        <v>92</v>
      </c>
      <c r="B161" s="7" t="s">
        <v>88</v>
      </c>
      <c r="C161" s="7" t="s">
        <v>84</v>
      </c>
      <c r="D161" s="20" t="n">
        <v>-0.173340153349661</v>
      </c>
      <c r="E161" s="20" t="n">
        <v>0.139268492444946</v>
      </c>
      <c r="F161" s="21" t="n">
        <v>19</v>
      </c>
      <c r="G161" s="22" t="n">
        <f aca="false">IF(E161&gt;0,D161/E161,"")</f>
        <v>-1.24464730181656</v>
      </c>
      <c r="H161" s="22" t="n">
        <f aca="false">IF(G161="","",TDIST(ABS(G161),F161-1,2))</f>
        <v>0.229223971620865</v>
      </c>
    </row>
    <row r="162" customFormat="false" ht="15" hidden="false" customHeight="false" outlineLevel="0" collapsed="false">
      <c r="A162" s="7" t="s">
        <v>92</v>
      </c>
      <c r="B162" s="7" t="s">
        <v>88</v>
      </c>
      <c r="C162" s="7" t="s">
        <v>76</v>
      </c>
      <c r="D162" s="20" t="n">
        <v>-0.81124543343476</v>
      </c>
      <c r="E162" s="20" t="n">
        <v>0.338179824312589</v>
      </c>
      <c r="F162" s="21" t="n">
        <v>19</v>
      </c>
      <c r="G162" s="22" t="n">
        <f aca="false">IF(E162&gt;0,D162/E162,"")</f>
        <v>-2.39885816690502</v>
      </c>
      <c r="H162" s="22" t="n">
        <f aca="false">IF(G162="","",TDIST(ABS(G162),F162-1,2))</f>
        <v>0.027491216136945</v>
      </c>
    </row>
    <row r="163" customFormat="false" ht="15" hidden="false" customHeight="false" outlineLevel="0" collapsed="false">
      <c r="A163" s="7" t="s">
        <v>93</v>
      </c>
      <c r="B163" s="7" t="s">
        <v>73</v>
      </c>
      <c r="C163" s="7" t="s">
        <v>83</v>
      </c>
      <c r="D163" s="20" t="n">
        <v>-1.35569747833822</v>
      </c>
      <c r="E163" s="20" t="n">
        <v>0.193587984446488</v>
      </c>
      <c r="F163" s="21" t="n">
        <v>19</v>
      </c>
      <c r="G163" s="22" t="n">
        <f aca="false">IF(E163&gt;0,D163/E163,"")</f>
        <v>-7.00300425263721</v>
      </c>
      <c r="H163" s="22" t="n">
        <f aca="false">IF(G163="","",TDIST(ABS(G163),F163-1,2))</f>
        <v>1.54462860683405E-006</v>
      </c>
    </row>
    <row r="164" customFormat="false" ht="15" hidden="false" customHeight="false" outlineLevel="0" collapsed="false">
      <c r="A164" s="7" t="s">
        <v>93</v>
      </c>
      <c r="B164" s="7" t="s">
        <v>73</v>
      </c>
      <c r="C164" s="7" t="s">
        <v>84</v>
      </c>
      <c r="D164" s="20" t="n">
        <v>-0.314149990184642</v>
      </c>
      <c r="E164" s="20" t="n">
        <v>0.154660248937985</v>
      </c>
      <c r="F164" s="21" t="n">
        <v>19</v>
      </c>
      <c r="G164" s="22" t="n">
        <f aca="false">IF(E164&gt;0,D164/E164,"")</f>
        <v>-2.0312264614976</v>
      </c>
      <c r="H164" s="22" t="n">
        <f aca="false">IF(G164="","",TDIST(ABS(G164),F164-1,2))</f>
        <v>0.0572667098705494</v>
      </c>
    </row>
    <row r="165" customFormat="false" ht="15" hidden="false" customHeight="false" outlineLevel="0" collapsed="false">
      <c r="A165" s="7" t="s">
        <v>93</v>
      </c>
      <c r="B165" s="7" t="s">
        <v>73</v>
      </c>
      <c r="C165" s="7" t="s">
        <v>76</v>
      </c>
      <c r="D165" s="20" t="n">
        <v>-1.04154748815358</v>
      </c>
      <c r="E165" s="20" t="n">
        <v>0.200650930223804</v>
      </c>
      <c r="F165" s="21" t="n">
        <v>19</v>
      </c>
      <c r="G165" s="22" t="n">
        <f aca="false">IF(E165&gt;0,D165/E165,"")</f>
        <v>-5.19084305760181</v>
      </c>
      <c r="H165" s="22" t="n">
        <f aca="false">IF(G165="","",TDIST(ABS(G165),F165-1,2))</f>
        <v>6.15403052106177E-005</v>
      </c>
    </row>
    <row r="166" customFormat="false" ht="15" hidden="false" customHeight="false" outlineLevel="0" collapsed="false">
      <c r="A166" s="7" t="s">
        <v>93</v>
      </c>
      <c r="B166" s="7" t="s">
        <v>74</v>
      </c>
      <c r="C166" s="7" t="s">
        <v>83</v>
      </c>
      <c r="D166" s="20" t="n">
        <v>-1.07684049708784</v>
      </c>
      <c r="E166" s="20" t="n">
        <v>0.646661177452818</v>
      </c>
      <c r="F166" s="21" t="n">
        <v>19</v>
      </c>
      <c r="G166" s="22" t="n">
        <f aca="false">IF(E166&gt;0,D166/E166,"")</f>
        <v>-1.66523139881303</v>
      </c>
      <c r="H166" s="22" t="n">
        <f aca="false">IF(G166="","",TDIST(ABS(G166),F166-1,2))</f>
        <v>0.113175337004049</v>
      </c>
    </row>
    <row r="167" customFormat="false" ht="15" hidden="false" customHeight="false" outlineLevel="0" collapsed="false">
      <c r="A167" s="7" t="s">
        <v>93</v>
      </c>
      <c r="B167" s="7" t="s">
        <v>74</v>
      </c>
      <c r="C167" s="7" t="s">
        <v>84</v>
      </c>
      <c r="D167" s="20" t="n">
        <v>-0.433805644989318</v>
      </c>
      <c r="E167" s="20" t="n">
        <v>0.256461621630504</v>
      </c>
      <c r="F167" s="21" t="n">
        <v>19</v>
      </c>
      <c r="G167" s="22" t="n">
        <f aca="false">IF(E167&gt;0,D167/E167,"")</f>
        <v>-1.69150316617089</v>
      </c>
      <c r="H167" s="22" t="n">
        <f aca="false">IF(G167="","",TDIST(ABS(G167),F167-1,2))</f>
        <v>0.107980708211129</v>
      </c>
    </row>
    <row r="168" customFormat="false" ht="15" hidden="false" customHeight="false" outlineLevel="0" collapsed="false">
      <c r="A168" s="7" t="s">
        <v>93</v>
      </c>
      <c r="B168" s="7" t="s">
        <v>74</v>
      </c>
      <c r="C168" s="7" t="s">
        <v>76</v>
      </c>
      <c r="D168" s="20" t="n">
        <v>-0.643034852098521</v>
      </c>
      <c r="E168" s="20" t="n">
        <v>0.75820697456925</v>
      </c>
      <c r="F168" s="21" t="n">
        <v>19</v>
      </c>
      <c r="G168" s="22" t="n">
        <f aca="false">IF(E168&gt;0,D168/E168,"")</f>
        <v>-0.848099362926383</v>
      </c>
      <c r="H168" s="22" t="n">
        <f aca="false">IF(G168="","",TDIST(ABS(G168),F168-1,2))</f>
        <v>0.407519508752102</v>
      </c>
    </row>
    <row r="169" customFormat="false" ht="15" hidden="false" customHeight="false" outlineLevel="0" collapsed="false">
      <c r="A169" s="7" t="s">
        <v>93</v>
      </c>
      <c r="B169" s="7" t="s">
        <v>75</v>
      </c>
      <c r="C169" s="7" t="s">
        <v>83</v>
      </c>
      <c r="D169" s="20" t="n">
        <v>-0.982693722870947</v>
      </c>
      <c r="E169" s="20" t="n">
        <v>0.42910370918517</v>
      </c>
      <c r="F169" s="21" t="n">
        <v>19</v>
      </c>
      <c r="G169" s="22" t="n">
        <f aca="false">IF(E169&gt;0,D169/E169,"")</f>
        <v>-2.29010773348242</v>
      </c>
      <c r="H169" s="22" t="n">
        <f aca="false">IF(G169="","",TDIST(ABS(G169),F169-1,2))</f>
        <v>0.0343076921867149</v>
      </c>
    </row>
    <row r="170" customFormat="false" ht="15" hidden="false" customHeight="false" outlineLevel="0" collapsed="false">
      <c r="A170" s="7" t="s">
        <v>93</v>
      </c>
      <c r="B170" s="7" t="s">
        <v>75</v>
      </c>
      <c r="C170" s="7" t="s">
        <v>84</v>
      </c>
      <c r="D170" s="20" t="n">
        <v>-0.184992697940827</v>
      </c>
      <c r="E170" s="20" t="n">
        <v>0.0962162510823191</v>
      </c>
      <c r="F170" s="21" t="n">
        <v>19</v>
      </c>
      <c r="G170" s="22" t="n">
        <f aca="false">IF(E170&gt;0,D170/E170,"")</f>
        <v>-1.9226762200759</v>
      </c>
      <c r="H170" s="22" t="n">
        <f aca="false">IF(G170="","",TDIST(ABS(G170),F170-1,2))</f>
        <v>0.0704902880238571</v>
      </c>
    </row>
    <row r="171" customFormat="false" ht="15" hidden="false" customHeight="false" outlineLevel="0" collapsed="false">
      <c r="A171" s="7" t="s">
        <v>93</v>
      </c>
      <c r="B171" s="7" t="s">
        <v>75</v>
      </c>
      <c r="C171" s="7" t="s">
        <v>76</v>
      </c>
      <c r="D171" s="20" t="n">
        <v>-0.79770102493012</v>
      </c>
      <c r="E171" s="20" t="n">
        <v>0.441861559032067</v>
      </c>
      <c r="F171" s="21" t="n">
        <v>19</v>
      </c>
      <c r="G171" s="22" t="n">
        <f aca="false">IF(E171&gt;0,D171/E171,"")</f>
        <v>-1.80531890277477</v>
      </c>
      <c r="H171" s="22" t="n">
        <f aca="false">IF(G171="","",TDIST(ABS(G171),F171-1,2))</f>
        <v>0.0877793698704087</v>
      </c>
    </row>
    <row r="172" customFormat="false" ht="15" hidden="false" customHeight="false" outlineLevel="0" collapsed="false">
      <c r="A172" s="7" t="s">
        <v>93</v>
      </c>
      <c r="B172" s="7" t="s">
        <v>85</v>
      </c>
      <c r="C172" s="7" t="s">
        <v>83</v>
      </c>
      <c r="D172" s="20" t="n">
        <v>-1.12635570521989</v>
      </c>
      <c r="E172" s="20" t="n">
        <v>0.499645510068497</v>
      </c>
      <c r="F172" s="21" t="n">
        <v>19</v>
      </c>
      <c r="G172" s="22" t="n">
        <f aca="false">IF(E172&gt;0,D172/E172,"")</f>
        <v>-2.25430967060123</v>
      </c>
      <c r="H172" s="22" t="n">
        <f aca="false">IF(G172="","",TDIST(ABS(G172),F172-1,2))</f>
        <v>0.0368744860721154</v>
      </c>
    </row>
    <row r="173" customFormat="false" ht="15" hidden="false" customHeight="false" outlineLevel="0" collapsed="false">
      <c r="A173" s="7" t="s">
        <v>93</v>
      </c>
      <c r="B173" s="7" t="s">
        <v>85</v>
      </c>
      <c r="C173" s="7" t="s">
        <v>84</v>
      </c>
      <c r="D173" s="20" t="n">
        <v>-0.206398857316423</v>
      </c>
      <c r="E173" s="20" t="n">
        <v>0.108414271485863</v>
      </c>
      <c r="F173" s="21" t="n">
        <v>19</v>
      </c>
      <c r="G173" s="22" t="n">
        <f aca="false">IF(E173&gt;0,D173/E173,"")</f>
        <v>-1.90379785324977</v>
      </c>
      <c r="H173" s="22" t="n">
        <f aca="false">IF(G173="","",TDIST(ABS(G173),F173-1,2))</f>
        <v>0.0730496573843693</v>
      </c>
    </row>
    <row r="174" customFormat="false" ht="15" hidden="false" customHeight="false" outlineLevel="0" collapsed="false">
      <c r="A174" s="7" t="s">
        <v>93</v>
      </c>
      <c r="B174" s="7" t="s">
        <v>85</v>
      </c>
      <c r="C174" s="7" t="s">
        <v>76</v>
      </c>
      <c r="D174" s="20" t="n">
        <v>-0.919956847903471</v>
      </c>
      <c r="E174" s="20" t="n">
        <v>0.524164496204798</v>
      </c>
      <c r="F174" s="21" t="n">
        <v>19</v>
      </c>
      <c r="G174" s="22" t="n">
        <f aca="false">IF(E174&gt;0,D174/E174,"")</f>
        <v>-1.75509187395254</v>
      </c>
      <c r="H174" s="22" t="n">
        <f aca="false">IF(G174="","",TDIST(ABS(G174),F174-1,2))</f>
        <v>0.0962486512579225</v>
      </c>
    </row>
    <row r="175" customFormat="false" ht="15" hidden="false" customHeight="false" outlineLevel="0" collapsed="false">
      <c r="A175" s="7" t="s">
        <v>93</v>
      </c>
      <c r="B175" s="7" t="s">
        <v>86</v>
      </c>
      <c r="C175" s="7" t="s">
        <v>83</v>
      </c>
      <c r="D175" s="20" t="n">
        <v>-0.666805895028035</v>
      </c>
      <c r="E175" s="20" t="n">
        <v>0.315436286518302</v>
      </c>
      <c r="F175" s="21" t="n">
        <v>19</v>
      </c>
      <c r="G175" s="22" t="n">
        <f aca="false">IF(E175&gt;0,D175/E175,"")</f>
        <v>-2.11391625988263</v>
      </c>
      <c r="H175" s="22" t="n">
        <f aca="false">IF(G175="","",TDIST(ABS(G175),F175-1,2))</f>
        <v>0.0487416023989034</v>
      </c>
    </row>
    <row r="176" customFormat="false" ht="15" hidden="false" customHeight="false" outlineLevel="0" collapsed="false">
      <c r="A176" s="7" t="s">
        <v>93</v>
      </c>
      <c r="B176" s="7" t="s">
        <v>86</v>
      </c>
      <c r="C176" s="7" t="s">
        <v>84</v>
      </c>
      <c r="D176" s="20" t="n">
        <v>-0.184813233915943</v>
      </c>
      <c r="E176" s="20" t="n">
        <v>0.0987053920764977</v>
      </c>
      <c r="F176" s="21" t="n">
        <v>19</v>
      </c>
      <c r="G176" s="22" t="n">
        <f aca="false">IF(E176&gt;0,D176/E176,"")</f>
        <v>-1.87237221825441</v>
      </c>
      <c r="H176" s="22" t="n">
        <f aca="false">IF(G176="","",TDIST(ABS(G176),F176-1,2))</f>
        <v>0.0774931961372826</v>
      </c>
    </row>
    <row r="177" customFormat="false" ht="15" hidden="false" customHeight="false" outlineLevel="0" collapsed="false">
      <c r="A177" s="7" t="s">
        <v>93</v>
      </c>
      <c r="B177" s="7" t="s">
        <v>86</v>
      </c>
      <c r="C177" s="7" t="s">
        <v>76</v>
      </c>
      <c r="D177" s="20" t="n">
        <v>-0.481992661112092</v>
      </c>
      <c r="E177" s="20" t="n">
        <v>0.3427938051794</v>
      </c>
      <c r="F177" s="21" t="n">
        <v>19</v>
      </c>
      <c r="G177" s="22" t="n">
        <f aca="false">IF(E177&gt;0,D177/E177,"")</f>
        <v>-1.40607167874531</v>
      </c>
      <c r="H177" s="22" t="n">
        <f aca="false">IF(G177="","",TDIST(ABS(G177),F177-1,2))</f>
        <v>0.176731118305069</v>
      </c>
    </row>
    <row r="178" customFormat="false" ht="15" hidden="false" customHeight="false" outlineLevel="0" collapsed="false">
      <c r="A178" s="7" t="s">
        <v>93</v>
      </c>
      <c r="B178" s="7" t="s">
        <v>87</v>
      </c>
      <c r="C178" s="7" t="s">
        <v>83</v>
      </c>
      <c r="D178" s="20" t="n">
        <v>-1.05236336652595</v>
      </c>
      <c r="E178" s="20" t="n">
        <v>0.409423286247432</v>
      </c>
      <c r="F178" s="21" t="n">
        <v>19</v>
      </c>
      <c r="G178" s="22" t="n">
        <f aca="false">IF(E178&gt;0,D178/E178,"")</f>
        <v>-2.57035542890435</v>
      </c>
      <c r="H178" s="22" t="n">
        <f aca="false">IF(G178="","",TDIST(ABS(G178),F178-1,2))</f>
        <v>0.019261350706673</v>
      </c>
    </row>
    <row r="179" customFormat="false" ht="15" hidden="false" customHeight="false" outlineLevel="0" collapsed="false">
      <c r="A179" s="7" t="s">
        <v>93</v>
      </c>
      <c r="B179" s="7" t="s">
        <v>87</v>
      </c>
      <c r="C179" s="7" t="s">
        <v>84</v>
      </c>
      <c r="D179" s="20" t="n">
        <v>-0.215997933059204</v>
      </c>
      <c r="E179" s="20" t="n">
        <v>0.10225991836183</v>
      </c>
      <c r="F179" s="21" t="n">
        <v>19</v>
      </c>
      <c r="G179" s="22" t="n">
        <f aca="false">IF(E179&gt;0,D179/E179,"")</f>
        <v>-2.11224433306244</v>
      </c>
      <c r="H179" s="22" t="n">
        <f aca="false">IF(G179="","",TDIST(ABS(G179),F179-1,2))</f>
        <v>0.0489018850692073</v>
      </c>
    </row>
    <row r="180" customFormat="false" ht="15" hidden="false" customHeight="false" outlineLevel="0" collapsed="false">
      <c r="A180" s="7" t="s">
        <v>93</v>
      </c>
      <c r="B180" s="7" t="s">
        <v>87</v>
      </c>
      <c r="C180" s="7" t="s">
        <v>76</v>
      </c>
      <c r="D180" s="20" t="n">
        <v>-0.836365433466742</v>
      </c>
      <c r="E180" s="20" t="n">
        <v>0.425477493122164</v>
      </c>
      <c r="F180" s="21" t="n">
        <v>19</v>
      </c>
      <c r="G180" s="22" t="n">
        <f aca="false">IF(E180&gt;0,D180/E180,"")</f>
        <v>-1.96571016560588</v>
      </c>
      <c r="H180" s="22" t="n">
        <f aca="false">IF(G180="","",TDIST(ABS(G180),F180-1,2))</f>
        <v>0.0649521967602796</v>
      </c>
    </row>
    <row r="181" customFormat="false" ht="15" hidden="false" customHeight="false" outlineLevel="0" collapsed="false">
      <c r="A181" s="7" t="s">
        <v>93</v>
      </c>
      <c r="B181" s="7" t="s">
        <v>88</v>
      </c>
      <c r="C181" s="7" t="s">
        <v>83</v>
      </c>
      <c r="D181" s="20" t="n">
        <v>-1.02423292063769</v>
      </c>
      <c r="E181" s="20" t="n">
        <v>0.40738903510474</v>
      </c>
      <c r="F181" s="21" t="n">
        <v>19</v>
      </c>
      <c r="G181" s="22" t="n">
        <f aca="false">IF(E181&gt;0,D181/E181,"")</f>
        <v>-2.51413963651318</v>
      </c>
      <c r="H181" s="22" t="n">
        <f aca="false">IF(G181="","",TDIST(ABS(G181),F181-1,2))</f>
        <v>0.0216613675852672</v>
      </c>
    </row>
    <row r="182" customFormat="false" ht="15" hidden="false" customHeight="false" outlineLevel="0" collapsed="false">
      <c r="A182" s="7" t="s">
        <v>93</v>
      </c>
      <c r="B182" s="7" t="s">
        <v>88</v>
      </c>
      <c r="C182" s="7" t="s">
        <v>84</v>
      </c>
      <c r="D182" s="20" t="n">
        <v>-0.227686654111155</v>
      </c>
      <c r="E182" s="20" t="n">
        <v>0.101189326532367</v>
      </c>
      <c r="F182" s="21" t="n">
        <v>19</v>
      </c>
      <c r="G182" s="22" t="n">
        <f aca="false">IF(E182&gt;0,D182/E182,"")</f>
        <v>-2.25010544010614</v>
      </c>
      <c r="H182" s="22" t="n">
        <f aca="false">IF(G182="","",TDIST(ABS(G182),F182-1,2))</f>
        <v>0.0371873094964738</v>
      </c>
    </row>
    <row r="183" customFormat="false" ht="15" hidden="false" customHeight="false" outlineLevel="0" collapsed="false">
      <c r="A183" s="7" t="s">
        <v>93</v>
      </c>
      <c r="B183" s="7" t="s">
        <v>88</v>
      </c>
      <c r="C183" s="7" t="s">
        <v>76</v>
      </c>
      <c r="D183" s="20" t="n">
        <v>-0.796546266526531</v>
      </c>
      <c r="E183" s="20" t="n">
        <v>0.422707334427902</v>
      </c>
      <c r="F183" s="21" t="n">
        <v>19</v>
      </c>
      <c r="G183" s="22" t="n">
        <f aca="false">IF(E183&gt;0,D183/E183,"")</f>
        <v>-1.88439187506549</v>
      </c>
      <c r="H183" s="22" t="n">
        <f aca="false">IF(G183="","",TDIST(ABS(G183),F183-1,2))</f>
        <v>0.0757661592131356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2026-10-16T16:18:52Z</dcterms:created>
  <dc:creator>openpyxl</dc:creator>
  <dc:description/>
  <dc:language>en-US</dc:language>
  <cp:lastModifiedBy/>
  <dcterms:modified xsi:type="dcterms:W3CDTF">2026-10-16T16:18:52Z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