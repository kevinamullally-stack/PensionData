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otes" sheetId="1" state="visible" r:id="rId3"/>
    <sheet name="Summary" sheetId="2" state="visible" r:id="rId4"/>
    <sheet name="Main" sheetId="3" state="visible" r:id="rId5"/>
    <sheet name="Robustness" sheetId="4" state="visible" r:id="rId6"/>
    <sheet name="Paired"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<sst xmlns="http://schemas.openxmlformats.org/spreadsheetml/2006/main" count="464" uniqueCount="107">
  <si>
    <t xml:space="preserve">First half vs. second half of CIO tenure: regression results for conflicted CIOs</t>
  </si>
  <si>
    <t xml:space="preserve">Prepared for the Financial Management revision of "Conflicted CIOs" (Referee Major Concern 3). Source data: data_v3_3.dta. Code: halves_analysis.py in referee_response/time_to_departure.</t>
  </si>
  <si>
    <t xml:space="preserve">Sample</t>
  </si>
  <si>
    <t xml:space="preserve">CIO-plan-years of CIOs with an observed departure (conflicted CIOs and CIOs departing for any other reason). CIOs still in office in 2020 and CIOs who left for an unknown destination are excluded, because tenure halves are undefined for them.</t>
  </si>
  <si>
    <t xml:space="preserve">Tenure at departure = CIO tenure in the last observed fiscal year plus any gap between that year and the departure year. Second half = CIO tenure &gt; tenure at departure / 2. First half is the omitted category.</t>
  </si>
  <si>
    <t xml:space="preserve">Conflicted CIO = baseline definition (conf_cio): CIO who eventually departs for an investment vendor. Other departure = retirement, move to another public plan, move to a non-vendor private job, dismissal, or death.</t>
  </si>
  <si>
    <t xml:space="preserve">Returns are in percentage points. Peer-adjusted = plan return minus peer-group return; benchmark-adjusted = plan return minus the plan's own policy benchmark.</t>
  </si>
  <si>
    <t xml:space="preserve">How to read the tables</t>
  </si>
  <si>
    <t xml:space="preserve">"Conflicted x Second half" is the change in a conflicted CIO's performance from the first half to the second half of tenure. "Other departure x Second half" is the same change for other departing CIOs. "Difference" is the conflict-specific component (first minus second).</t>
  </si>
  <si>
    <t xml:space="preserve">In the pooled specifications "Conflicted CIO" is the first-half level of conflicted CIOs relative to the first half of other departing CIOs. In the within-CIO specifications that level is absorbed by the CIO-spell fixed effects.</t>
  </si>
  <si>
    <t xml:space="preserve">Blue cells are estimates pasted from the regression output (coefficients, standard errors, sample sizes, cluster counts). t-statistics, p-values, confidence intervals and significance stars are spreadsheet formulas based on those cells, using the t distribution with (clusters - 1) degrees of freedom.</t>
  </si>
  <si>
    <t xml:space="preserve">Three standard errors are shown for every coefficient: clustered by CIO (preferred, since one CIO can run several plans in one system), by plan (the paper's convention), and by system.</t>
  </si>
  <si>
    <t xml:space="preserve">Significance stars: *** p&lt;0.01, ** p&lt;0.05, * p&lt;0.10, using the CIO-clustered standard error.</t>
  </si>
  <si>
    <t xml:space="preserve">Sheets</t>
  </si>
  <si>
    <t xml:space="preserve">Summary: one row per specification with the three key coefficients. Main: full coefficient tables for the four main specifications. Robustness: tenure &gt;= 4, last two years, fraction of tenure elapsed. Paired: person-level paired tests, one observation per CIO.</t>
  </si>
  <si>
    <t xml:space="preserve">Summary of first-half vs. second-half results (CIO-clustered standard errors; t-based p-values with clusters - 1 df)</t>
  </si>
  <si>
    <t xml:space="preserve">Specification</t>
  </si>
  <si>
    <t xml:space="preserve">N</t>
  </si>
  <si>
    <t xml:space="preserve">Distinct conflicted CIOs</t>
  </si>
  <si>
    <t xml:space="preserve">Clusters (CIO)</t>
  </si>
  <si>
    <t xml:space="preserve">Conflicted first-half level</t>
  </si>
  <si>
    <t xml:space="preserve">SE</t>
  </si>
  <si>
    <t xml:space="preserve">p</t>
  </si>
  <si>
    <t xml:space="preserve">Conflicted: 2nd half minus 1st half</t>
  </si>
  <si>
    <t xml:space="preserve">Other departures: 2nd half minus 1st half</t>
  </si>
  <si>
    <t xml:space="preserve">Difference (conflict-specific)</t>
  </si>
  <si>
    <t xml:space="preserve">95% CI low</t>
  </si>
  <si>
    <t xml:space="preserve">95% CI high</t>
  </si>
  <si>
    <t xml:space="preserve">Sig.</t>
  </si>
  <si>
    <t xml:space="preserve">Peer-adjusted return (pp) | Pooled | Plan + fiscal-year FE</t>
  </si>
  <si>
    <t xml:space="preserve">Peer-adjusted return (pp) | Within CIO | CIO-spell + fiscal-year FE</t>
  </si>
  <si>
    <t xml:space="preserve">absorbed</t>
  </si>
  <si>
    <t xml:space="preserve">Benchmark-adjusted return (pp) | Pooled | Plan + fiscal-year FE</t>
  </si>
  <si>
    <t xml:space="preserve">Benchmark-adjusted return (pp) | Within CIO | CIO-spell + fiscal-year FE</t>
  </si>
  <si>
    <t xml:space="preserve">Peer-adjusted return (pp) | Within CIO | Tenure at departure &gt;= 4 years only</t>
  </si>
  <si>
    <t xml:space="preserve">Peer-adjusted return (pp) | Within CIO | Last two years vs. earlier</t>
  </si>
  <si>
    <t xml:space="preserve">Peer-adjusted return (pp) | Within CIO | Fraction of tenure elapsed (continuous, 0 to 1)</t>
  </si>
  <si>
    <t xml:space="preserve">Peer-adjusted return (pp) | Pooled | Fraction of tenure elapsed (continuous, 0 to 1)</t>
  </si>
  <si>
    <t xml:space="preserve">Benchmark-adjusted return (pp) | Within CIO | Tenure at departure &gt;= 4 years only</t>
  </si>
  <si>
    <t xml:space="preserve">Benchmark-adjusted return (pp) | Within CIO | Last two years vs. earlier</t>
  </si>
  <si>
    <t xml:space="preserve">Benchmark-adjusted return (pp) | Within CIO | Fraction of tenure elapsed (continuous, 0 to 1)</t>
  </si>
  <si>
    <t xml:space="preserve">Benchmark-adjusted return (pp) | Pooled | Fraction of tenure elapsed (continuous, 0 to 1)</t>
  </si>
  <si>
    <t xml:space="preserve">Rows 4-7 are the main specifications (sheet Main); the remaining rows are robustness variants (sheet Robustness). For the fraction-of-tenure rows the coefficients are the change from the start to the end of tenure rather than a half-to-half change.</t>
  </si>
  <si>
    <t xml:space="preserve">Fixed effects: Plan FE, fiscal-year FE. Dependent variable: Peer-adjusted return (pp).</t>
  </si>
  <si>
    <t xml:space="preserve">Variable</t>
  </si>
  <si>
    <t xml:space="preserve">Coefficient</t>
  </si>
  <si>
    <t xml:space="preserve">SE (CIO)</t>
  </si>
  <si>
    <t xml:space="preserve">t (CIO)</t>
  </si>
  <si>
    <t xml:space="preserve">p (CIO)</t>
  </si>
  <si>
    <t xml:space="preserve">95% CI low (CIO)</t>
  </si>
  <si>
    <t xml:space="preserve">95% CI high (CIO)</t>
  </si>
  <si>
    <t xml:space="preserve">SE (Plan)</t>
  </si>
  <si>
    <t xml:space="preserve">p (Plan)</t>
  </si>
  <si>
    <t xml:space="preserve">SE (System)</t>
  </si>
  <si>
    <t xml:space="preserve">p (System)</t>
  </si>
  <si>
    <t xml:space="preserve">Observations</t>
  </si>
  <si>
    <t xml:space="preserve">Conflicted CIO (first-half level vs. other departers)</t>
  </si>
  <si>
    <t xml:space="preserve">Conflicted x Second half of tenure</t>
  </si>
  <si>
    <t xml:space="preserve">Clusters (Plan)</t>
  </si>
  <si>
    <t xml:space="preserve">Other departure x Second half of tenure</t>
  </si>
  <si>
    <t xml:space="preserve">Clusters (System)</t>
  </si>
  <si>
    <t xml:space="preserve">Log plan size</t>
  </si>
  <si>
    <t xml:space="preserve">R-squared</t>
  </si>
  <si>
    <t xml:space="preserve">Funded ratio (GASB)</t>
  </si>
  <si>
    <t xml:space="preserve">Within R-squared</t>
  </si>
  <si>
    <t xml:space="preserve">Return assumption</t>
  </si>
  <si>
    <t xml:space="preserve">Separate investment board</t>
  </si>
  <si>
    <t xml:space="preserve">Conflicted CIO-years</t>
  </si>
  <si>
    <t xml:space="preserve">CIO age</t>
  </si>
  <si>
    <t xml:space="preserve">Distinct other departing CIOs</t>
  </si>
  <si>
    <t xml:space="preserve">CIO tenure (years)</t>
  </si>
  <si>
    <t xml:space="preserve">Critical t, 95% (CIO clusters)</t>
  </si>
  <si>
    <t xml:space="preserve">Prior private-sector experience</t>
  </si>
  <si>
    <t xml:space="preserve">Elite institution</t>
  </si>
  <si>
    <t xml:space="preserve">Difference: Conflicted x Second half of tenure minus Other departure x Second half of tenure</t>
  </si>
  <si>
    <t xml:space="preserve">Fixed effects: CIO-plan spell FE, fiscal-year FE (CIO-level controls absorbed). Dependent variable: Peer-adjusted return (pp).</t>
  </si>
  <si>
    <t xml:space="preserve">Fixed effects: Plan FE, fiscal-year FE. Dependent variable: Benchmark-adjusted return (pp).</t>
  </si>
  <si>
    <t xml:space="preserve">Fixed effects: CIO-plan spell FE, fiscal-year FE (CIO-level controls absorbed). Dependent variable: Benchmark-adjusted return (pp).</t>
  </si>
  <si>
    <t xml:space="preserve">Fixed effects: CIO-plan spell FE, fiscal-year FE; CIOs with final tenure &gt;= 4. Dependent variable: Peer-adjusted return (pp).</t>
  </si>
  <si>
    <t xml:space="preserve">Fixed effects: CIO-plan spell FE, fiscal-year FE. Dependent variable: Peer-adjusted return (pp).</t>
  </si>
  <si>
    <t xml:space="preserve">Conflicted x Last two years</t>
  </si>
  <si>
    <t xml:space="preserve">Other departure x Last two years</t>
  </si>
  <si>
    <t xml:space="preserve">Difference: Conflicted x Last two years minus Other departure x Last two years</t>
  </si>
  <si>
    <t xml:space="preserve">Conflicted x Fraction of tenure elapsed</t>
  </si>
  <si>
    <t xml:space="preserve">Other departure x Fraction of tenure elapsed</t>
  </si>
  <si>
    <t xml:space="preserve">Difference: Conflicted x Fraction of tenure elapsed minus Other departure x Fraction of tenure elapsed</t>
  </si>
  <si>
    <t xml:space="preserve">Fixed effects: CIO-plan spell FE, fiscal-year FE; CIOs with final tenure &gt;= 4. Dependent variable: Benchmark-adjusted return (pp).</t>
  </si>
  <si>
    <t xml:space="preserve">Fixed effects: CIO-plan spell FE, fiscal-year FE. Dependent variable: Benchmark-adjusted return (pp).</t>
  </si>
  <si>
    <t xml:space="preserve">Person-level paired tests: each CIO's mean return in the second half of tenure minus the first half (plans averaged within CIO-year; one observation per CIO)</t>
  </si>
  <si>
    <t xml:space="preserve">Outcome</t>
  </si>
  <si>
    <t xml:space="preserve">Group</t>
  </si>
  <si>
    <t xml:space="preserve">CIOs</t>
  </si>
  <si>
    <t xml:space="preserve">Mean, first half</t>
  </si>
  <si>
    <t xml:space="preserve">Mean, second half</t>
  </si>
  <si>
    <t xml:space="preserve">Mean change</t>
  </si>
  <si>
    <t xml:space="preserve">SD of change</t>
  </si>
  <si>
    <t xml:space="preserve">Median change</t>
  </si>
  <si>
    <t xml:space="preserve">Share improving</t>
  </si>
  <si>
    <t xml:space="preserve">p: paired t / Welch t</t>
  </si>
  <si>
    <t xml:space="preserve">p: Wilcoxon / Mann-Whitney</t>
  </si>
  <si>
    <t xml:space="preserve">p: sign test</t>
  </si>
  <si>
    <t xml:space="preserve">Peer-adjusted return (pp)</t>
  </si>
  <si>
    <t xml:space="preserve">Conflicted CIOs</t>
  </si>
  <si>
    <t xml:space="preserve">Other departing CIOs</t>
  </si>
  <si>
    <t xml:space="preserve">Conflicted minus other (two-sample)</t>
  </si>
  <si>
    <t xml:space="preserve">Benchmark-adjusted return (pp)</t>
  </si>
  <si>
    <t xml:space="preserve">Means are in percentage points. The paired t, Wilcoxon signed-rank and sign tests are against a zero change for each group; the "Conflicted minus other" row uses Welch's t and Mann-Whitney on the two groups' changes. Fewer CIOs appear here than in the regressions because the benchmark-adjusted series is missing for some plans and a CIO needs at least one year in each half.</t>
  </si>
</sst>
</file>

<file path=xl/styles.xml><?xml version="1.0" encoding="utf-8"?>
<styleSheet xmlns="http://schemas.openxmlformats.org/spreadsheetml/2006/main">
  <numFmts count="2">
    <numFmt numFmtId="164" formatCode="General"/>
    <numFmt numFmtId="165" formatCode="0.000"/>
  </numFmts>
  <fonts count="9">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sz val="10"/>
      <color rgb="FF0000FF"/>
      <name val="Arial"/>
      <family val="0"/>
      <charset val="1"/>
    </font>
    <font>
      <i val="true"/>
      <sz val="9"/>
      <color rgb="FF555555"/>
      <name val="Arial"/>
      <family val="0"/>
      <charset val="1"/>
    </font>
  </fonts>
  <fills count="3">
    <fill>
      <patternFill patternType="none"/>
    </fill>
    <fill>
      <patternFill patternType="gray125"/>
    </fill>
    <fill>
      <patternFill patternType="solid">
        <fgColor rgb="FFDDEBF7"/>
        <bgColor rgb="FFCCFFFF"/>
      </patternFill>
    </fill>
  </fills>
  <borders count="3">
    <border diagonalUp="false" diagonalDown="false">
      <left/>
      <right/>
      <top/>
      <bottom/>
      <diagonal/>
    </border>
    <border diagonalUp="false" diagonalDown="false">
      <left/>
      <right/>
      <top/>
      <bottom style="thin">
        <color rgb="FFBBBBBB"/>
      </bottom>
      <diagonal/>
    </border>
    <border diagonalUp="false" diagonalDown="false">
      <left/>
      <right/>
      <top style="thin">
        <color rgb="FFBBBBBB"/>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true" indent="0" shrinkToFit="false"/>
      <protection locked="true" hidden="false"/>
    </xf>
    <xf numFmtId="164" fontId="6" fillId="0" borderId="2" xfId="0" applyFont="true" applyBorder="true" applyAlignment="false" applyProtection="false">
      <alignment horizontal="general" vertical="bottom" textRotation="0" wrapText="false" indent="0" shrinkToFit="false"/>
      <protection locked="true" hidden="false"/>
    </xf>
    <xf numFmtId="165" fontId="7" fillId="0" borderId="2" xfId="0" applyFont="true" applyBorder="true" applyAlignment="false" applyProtection="false">
      <alignment horizontal="general" vertical="bottom" textRotation="0" wrapText="false" indent="0" shrinkToFit="false"/>
      <protection locked="true" hidden="false"/>
    </xf>
    <xf numFmtId="165" fontId="5" fillId="0" borderId="2" xfId="0" applyFont="tru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5" hidden="false" customHeight="false" outlineLevel="0" collapsed="false">
      <c r="A1" s="1" t="s">
        <v>0</v>
      </c>
    </row>
    <row r="2" customFormat="false" ht="23.8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23.85" hidden="false" customHeight="false" outlineLevel="0" collapsed="false">
      <c r="A5" s="2" t="s">
        <v>3</v>
      </c>
    </row>
    <row r="6" customFormat="false" ht="23.85" hidden="false" customHeight="false" outlineLevel="0" collapsed="false">
      <c r="A6" s="2" t="s">
        <v>4</v>
      </c>
    </row>
    <row r="7" customFormat="false" ht="23.8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row>
    <row r="10" customFormat="false" ht="15" hidden="false" customHeight="false" outlineLevel="0" collapsed="false">
      <c r="A10" s="3" t="s">
        <v>7</v>
      </c>
    </row>
    <row r="11" customFormat="false" ht="23.85" hidden="false" customHeight="false" outlineLevel="0" collapsed="false">
      <c r="A11" s="2" t="s">
        <v>8</v>
      </c>
    </row>
    <row r="12" customFormat="false" ht="23.85" hidden="false" customHeight="false" outlineLevel="0" collapsed="false">
      <c r="A12" s="2" t="s">
        <v>9</v>
      </c>
    </row>
    <row r="13" customFormat="false" ht="23.85" hidden="false" customHeight="false" outlineLevel="0" collapsed="false">
      <c r="A13" s="2" t="s">
        <v>10</v>
      </c>
    </row>
    <row r="14" customFormat="false" ht="23.8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row>
    <row r="17" customFormat="false" ht="15" hidden="false" customHeight="false" outlineLevel="0" collapsed="false">
      <c r="A17" s="3" t="s">
        <v>13</v>
      </c>
    </row>
    <row r="18" customFormat="false" ht="23.85" hidden="false" customHeight="false" outlineLevel="0" collapsed="false">
      <c r="A18" s="2"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2" min="2" style="0" width="8"/>
    <col collapsed="false" customWidth="true" hidden="false" outlineLevel="0" max="3" min="3" style="0" width="12"/>
    <col collapsed="false" customWidth="true" hidden="false" outlineLevel="0" max="4" min="4" style="0" width="10"/>
    <col collapsed="false" customWidth="true" hidden="false" outlineLevel="0" max="5" min="5" style="0" width="12"/>
    <col collapsed="false" customWidth="true" hidden="false" outlineLevel="0" max="7" min="6" style="0" width="8"/>
    <col collapsed="false" customWidth="true" hidden="false" outlineLevel="0" max="8" min="8" style="0" width="14"/>
    <col collapsed="false" customWidth="true" hidden="false" outlineLevel="0" max="10" min="9" style="0" width="8"/>
    <col collapsed="false" customWidth="true" hidden="false" outlineLevel="0" max="11" min="11" style="0" width="16"/>
    <col collapsed="false" customWidth="true" hidden="false" outlineLevel="0" max="13" min="12" style="0" width="8"/>
    <col collapsed="false" customWidth="true" hidden="false" outlineLevel="0" max="14" min="14" style="0" width="14"/>
    <col collapsed="false" customWidth="true" hidden="false" outlineLevel="0" max="16" min="15" style="0" width="8"/>
    <col collapsed="false" customWidth="true" hidden="false" outlineLevel="0" max="18" min="17" style="0" width="10"/>
    <col collapsed="false" customWidth="true" hidden="false" outlineLevel="0" max="19" min="19" style="0" width="6"/>
  </cols>
  <sheetData>
    <row r="1" customFormat="false" ht="15" hidden="false" customHeight="false" outlineLevel="0" collapsed="false">
      <c r="A1" s="4" t="s">
        <v>15</v>
      </c>
    </row>
    <row r="3" customFormat="false" ht="45" hidden="false" customHeight="true" outlineLevel="0" collapsed="false">
      <c r="A3" s="5" t="s">
        <v>16</v>
      </c>
      <c r="B3" s="5" t="s">
        <v>17</v>
      </c>
      <c r="C3" s="5" t="s">
        <v>18</v>
      </c>
      <c r="D3" s="5" t="s">
        <v>19</v>
      </c>
      <c r="E3" s="5" t="s">
        <v>20</v>
      </c>
      <c r="F3" s="5" t="s">
        <v>21</v>
      </c>
      <c r="G3" s="5" t="s">
        <v>22</v>
      </c>
      <c r="H3" s="5" t="s">
        <v>23</v>
      </c>
      <c r="I3" s="5" t="s">
        <v>21</v>
      </c>
      <c r="J3" s="5" t="s">
        <v>22</v>
      </c>
      <c r="K3" s="5" t="s">
        <v>24</v>
      </c>
      <c r="L3" s="5" t="s">
        <v>21</v>
      </c>
      <c r="M3" s="5" t="s">
        <v>22</v>
      </c>
      <c r="N3" s="5" t="s">
        <v>25</v>
      </c>
      <c r="O3" s="5" t="s">
        <v>21</v>
      </c>
      <c r="P3" s="5" t="s">
        <v>22</v>
      </c>
      <c r="Q3" s="5" t="s">
        <v>26</v>
      </c>
      <c r="R3" s="5" t="s">
        <v>27</v>
      </c>
      <c r="S3" s="5" t="s">
        <v>28</v>
      </c>
    </row>
    <row r="4" customFormat="false" ht="15" hidden="false" customHeight="false" outlineLevel="0" collapsed="false">
      <c r="A4" s="6" t="s">
        <v>29</v>
      </c>
      <c r="B4" s="7" t="n">
        <v>949</v>
      </c>
      <c r="C4" s="7" t="n">
        <v>41</v>
      </c>
      <c r="D4" s="7" t="n">
        <v>125</v>
      </c>
      <c r="E4" s="8" t="n">
        <v>-0.343</v>
      </c>
      <c r="F4" s="8" t="n">
        <v>0.2774</v>
      </c>
      <c r="G4" s="9" t="n">
        <f aca="false">TDIST(ABS(E4/F4),$D4-1,2)</f>
        <v>0.218616496118588</v>
      </c>
      <c r="H4" s="8" t="n">
        <v>0.0089</v>
      </c>
      <c r="I4" s="8" t="n">
        <v>0.3774</v>
      </c>
      <c r="J4" s="9" t="n">
        <f aca="false">TDIST(ABS(H4/I4),$D4-1,2)</f>
        <v>0.981223613731848</v>
      </c>
      <c r="K4" s="8" t="n">
        <v>-0.2548</v>
      </c>
      <c r="L4" s="8" t="n">
        <v>0.2679</v>
      </c>
      <c r="M4" s="9" t="n">
        <f aca="false">TDIST(ABS(K4/L4),$D4-1,2)</f>
        <v>0.343403190458734</v>
      </c>
      <c r="N4" s="8" t="n">
        <v>0.2638</v>
      </c>
      <c r="O4" s="8" t="n">
        <v>0.437</v>
      </c>
      <c r="P4" s="9" t="n">
        <f aca="false">TDIST(ABS(N4/O4),$D4-1,2)</f>
        <v>0.547171543452233</v>
      </c>
      <c r="Q4" s="9" t="n">
        <f aca="false">N4-TINV(0.05,$D4-1)*O4</f>
        <v>-0.601145410956321</v>
      </c>
      <c r="R4" s="9" t="n">
        <f aca="false">N4+TINV(0.05,$D4-1)*O4</f>
        <v>1.12874541095632</v>
      </c>
      <c r="S4" s="6" t="str">
        <f aca="false">IF(P4&lt;0.01,"***",IF(P4&lt;0.05,"**",IF(P4&lt;0.1,"*","")))</f>
        <v/>
      </c>
    </row>
    <row r="5" customFormat="false" ht="15" hidden="false" customHeight="false" outlineLevel="0" collapsed="false">
      <c r="A5" s="6" t="s">
        <v>30</v>
      </c>
      <c r="B5" s="7" t="n">
        <v>1067</v>
      </c>
      <c r="C5" s="7" t="n">
        <v>41</v>
      </c>
      <c r="D5" s="7" t="n">
        <v>129</v>
      </c>
      <c r="E5" s="10" t="s">
        <v>31</v>
      </c>
      <c r="F5" s="11"/>
      <c r="G5" s="11"/>
      <c r="H5" s="8" t="n">
        <v>-0.2605</v>
      </c>
      <c r="I5" s="8" t="n">
        <v>0.386</v>
      </c>
      <c r="J5" s="9" t="n">
        <f aca="false">TDIST(ABS(H5/I5),$D5-1,2)</f>
        <v>0.500975257091254</v>
      </c>
      <c r="K5" s="8" t="n">
        <v>-0.899</v>
      </c>
      <c r="L5" s="8" t="n">
        <v>0.3674</v>
      </c>
      <c r="M5" s="9" t="n">
        <f aca="false">TDIST(ABS(K5/L5),$D5-1,2)</f>
        <v>0.0157650212669247</v>
      </c>
      <c r="N5" s="8" t="n">
        <v>0.6384</v>
      </c>
      <c r="O5" s="8" t="n">
        <v>0.4227</v>
      </c>
      <c r="P5" s="9" t="n">
        <f aca="false">TDIST(ABS(N5/O5),$D5-1,2)</f>
        <v>0.133433892940531</v>
      </c>
      <c r="Q5" s="9" t="n">
        <f aca="false">N5-TINV(0.05,$D5-1)*O5</f>
        <v>-0.197984168226454</v>
      </c>
      <c r="R5" s="9" t="n">
        <f aca="false">N5+TINV(0.05,$D5-1)*O5</f>
        <v>1.47478416822645</v>
      </c>
      <c r="S5" s="6" t="str">
        <f aca="false">IF(P5&lt;0.01,"***",IF(P5&lt;0.05,"**",IF(P5&lt;0.1,"*","")))</f>
        <v/>
      </c>
    </row>
    <row r="6" customFormat="false" ht="15" hidden="false" customHeight="false" outlineLevel="0" collapsed="false">
      <c r="A6" s="6" t="s">
        <v>32</v>
      </c>
      <c r="B6" s="7" t="n">
        <v>679</v>
      </c>
      <c r="C6" s="7" t="n">
        <v>41</v>
      </c>
      <c r="D6" s="7" t="n">
        <v>101</v>
      </c>
      <c r="E6" s="8" t="n">
        <v>-0.9221</v>
      </c>
      <c r="F6" s="8" t="n">
        <v>0.4975</v>
      </c>
      <c r="G6" s="9" t="n">
        <f aca="false">TDIST(ABS(E6/F6),$D6-1,2)</f>
        <v>0.0667634961348942</v>
      </c>
      <c r="H6" s="8" t="n">
        <v>-0.6348</v>
      </c>
      <c r="I6" s="8" t="n">
        <v>0.4299</v>
      </c>
      <c r="J6" s="9" t="n">
        <f aca="false">TDIST(ABS(H6/I6),$D6-1,2)</f>
        <v>0.142919107027723</v>
      </c>
      <c r="K6" s="8" t="n">
        <v>-0.2774</v>
      </c>
      <c r="L6" s="8" t="n">
        <v>0.3753</v>
      </c>
      <c r="M6" s="9" t="n">
        <f aca="false">TDIST(ABS(K6/L6),$D6-1,2)</f>
        <v>0.461552227242893</v>
      </c>
      <c r="N6" s="8" t="n">
        <v>-0.3574</v>
      </c>
      <c r="O6" s="8" t="n">
        <v>0.5171</v>
      </c>
      <c r="P6" s="9" t="n">
        <f aca="false">TDIST(ABS(N6/O6),$D6-1,2)</f>
        <v>0.491064965756025</v>
      </c>
      <c r="Q6" s="9" t="n">
        <f aca="false">N6-TINV(0.05,$D6-1)*O6</f>
        <v>-1.38331167222853</v>
      </c>
      <c r="R6" s="9" t="n">
        <f aca="false">N6+TINV(0.05,$D6-1)*O6</f>
        <v>0.668511672228531</v>
      </c>
      <c r="S6" s="6" t="str">
        <f aca="false">IF(P6&lt;0.01,"***",IF(P6&lt;0.05,"**",IF(P6&lt;0.1,"*","")))</f>
        <v/>
      </c>
    </row>
    <row r="7" customFormat="false" ht="15" hidden="false" customHeight="false" outlineLevel="0" collapsed="false">
      <c r="A7" s="6" t="s">
        <v>33</v>
      </c>
      <c r="B7" s="7" t="n">
        <v>754</v>
      </c>
      <c r="C7" s="7" t="n">
        <v>41</v>
      </c>
      <c r="D7" s="7" t="n">
        <v>101</v>
      </c>
      <c r="E7" s="10" t="s">
        <v>31</v>
      </c>
      <c r="F7" s="11"/>
      <c r="G7" s="11"/>
      <c r="H7" s="8" t="n">
        <v>-0.6644</v>
      </c>
      <c r="I7" s="8" t="n">
        <v>0.4685</v>
      </c>
      <c r="J7" s="9" t="n">
        <f aca="false">TDIST(ABS(H7/I7),$D7-1,2)</f>
        <v>0.159257818938665</v>
      </c>
      <c r="K7" s="8" t="n">
        <v>-1.1107</v>
      </c>
      <c r="L7" s="8" t="n">
        <v>0.5461</v>
      </c>
      <c r="M7" s="9" t="n">
        <f aca="false">TDIST(ABS(K7/L7),$D7-1,2)</f>
        <v>0.0446123037216449</v>
      </c>
      <c r="N7" s="8" t="n">
        <v>0.4463</v>
      </c>
      <c r="O7" s="8" t="n">
        <v>0.375</v>
      </c>
      <c r="P7" s="9" t="n">
        <f aca="false">TDIST(ABS(N7/O7),$D7-1,2)</f>
        <v>0.236811760723698</v>
      </c>
      <c r="Q7" s="9" t="n">
        <f aca="false">N7-TINV(0.05,$D7-1)*O7</f>
        <v>-0.297689319446334</v>
      </c>
      <c r="R7" s="9" t="n">
        <f aca="false">N7+TINV(0.05,$D7-1)*O7</f>
        <v>1.19028931944633</v>
      </c>
      <c r="S7" s="6" t="str">
        <f aca="false">IF(P7&lt;0.01,"***",IF(P7&lt;0.05,"**",IF(P7&lt;0.1,"*","")))</f>
        <v/>
      </c>
    </row>
    <row r="8" customFormat="false" ht="15" hidden="false" customHeight="false" outlineLevel="0" collapsed="false">
      <c r="A8" s="6" t="s">
        <v>34</v>
      </c>
      <c r="B8" s="7" t="n">
        <v>842</v>
      </c>
      <c r="C8" s="7" t="n">
        <v>25</v>
      </c>
      <c r="D8" s="7" t="n">
        <v>91</v>
      </c>
      <c r="E8" s="10" t="s">
        <v>31</v>
      </c>
      <c r="F8" s="11"/>
      <c r="G8" s="11"/>
      <c r="H8" s="8" t="n">
        <v>0.1654</v>
      </c>
      <c r="I8" s="8" t="n">
        <v>0.4793</v>
      </c>
      <c r="J8" s="9" t="n">
        <f aca="false">TDIST(ABS(H8/I8),$D8-1,2)</f>
        <v>0.730834469205805</v>
      </c>
      <c r="K8" s="8" t="n">
        <v>-0.7792</v>
      </c>
      <c r="L8" s="8" t="n">
        <v>0.3986</v>
      </c>
      <c r="M8" s="9" t="n">
        <f aca="false">TDIST(ABS(K8/L8),$D8-1,2)</f>
        <v>0.0537050747800688</v>
      </c>
      <c r="N8" s="8" t="n">
        <v>0.9445</v>
      </c>
      <c r="O8" s="8" t="n">
        <v>0.5047</v>
      </c>
      <c r="P8" s="9" t="n">
        <f aca="false">TDIST(ABS(N8/O8),$D8-1,2)</f>
        <v>0.064536976829603</v>
      </c>
      <c r="Q8" s="9" t="n">
        <f aca="false">N8-TINV(0.05,$D8-1)*O8</f>
        <v>-0.0581746406931915</v>
      </c>
      <c r="R8" s="9" t="n">
        <f aca="false">N8+TINV(0.05,$D8-1)*O8</f>
        <v>1.94717464069319</v>
      </c>
      <c r="S8" s="6" t="str">
        <f aca="false">IF(P8&lt;0.01,"***",IF(P8&lt;0.05,"**",IF(P8&lt;0.1,"*","")))</f>
        <v>*</v>
      </c>
    </row>
    <row r="9" customFormat="false" ht="15" hidden="false" customHeight="false" outlineLevel="0" collapsed="false">
      <c r="A9" s="6" t="s">
        <v>35</v>
      </c>
      <c r="B9" s="7" t="n">
        <v>1067</v>
      </c>
      <c r="C9" s="7" t="n">
        <v>41</v>
      </c>
      <c r="D9" s="7" t="n">
        <v>129</v>
      </c>
      <c r="E9" s="10" t="s">
        <v>31</v>
      </c>
      <c r="F9" s="11"/>
      <c r="G9" s="11"/>
      <c r="H9" s="8" t="n">
        <v>0.2976</v>
      </c>
      <c r="I9" s="8" t="n">
        <v>0.4016</v>
      </c>
      <c r="J9" s="9" t="n">
        <f aca="false">TDIST(ABS(H9/I9),$D9-1,2)</f>
        <v>0.460029015268477</v>
      </c>
      <c r="K9" s="8" t="n">
        <v>-0.2664</v>
      </c>
      <c r="L9" s="8" t="n">
        <v>0.2744</v>
      </c>
      <c r="M9" s="9" t="n">
        <f aca="false">TDIST(ABS(K9/L9),$D9-1,2)</f>
        <v>0.333456225309888</v>
      </c>
      <c r="N9" s="8" t="n">
        <v>0.564</v>
      </c>
      <c r="O9" s="8" t="n">
        <v>0.4562</v>
      </c>
      <c r="P9" s="9" t="n">
        <f aca="false">TDIST(ABS(N9/O9),$D9-1,2)</f>
        <v>0.218610919601329</v>
      </c>
      <c r="Q9" s="9" t="n">
        <f aca="false">N9-TINV(0.05,$D9-1)*O9</f>
        <v>-0.338669641696022</v>
      </c>
      <c r="R9" s="9" t="n">
        <f aca="false">N9+TINV(0.05,$D9-1)*O9</f>
        <v>1.46666964169602</v>
      </c>
      <c r="S9" s="6" t="str">
        <f aca="false">IF(P9&lt;0.01,"***",IF(P9&lt;0.05,"**",IF(P9&lt;0.1,"*","")))</f>
        <v/>
      </c>
    </row>
    <row r="10" customFormat="false" ht="15" hidden="false" customHeight="false" outlineLevel="0" collapsed="false">
      <c r="A10" s="6" t="s">
        <v>36</v>
      </c>
      <c r="B10" s="7" t="n">
        <v>1066</v>
      </c>
      <c r="C10" s="7" t="n">
        <v>41</v>
      </c>
      <c r="D10" s="7" t="n">
        <v>129</v>
      </c>
      <c r="E10" s="10" t="s">
        <v>31</v>
      </c>
      <c r="F10" s="11"/>
      <c r="G10" s="11"/>
      <c r="H10" s="8" t="n">
        <v>0.1101</v>
      </c>
      <c r="I10" s="8" t="n">
        <v>0.5096</v>
      </c>
      <c r="J10" s="9" t="n">
        <f aca="false">TDIST(ABS(H10/I10),$D10-1,2)</f>
        <v>0.829291289999989</v>
      </c>
      <c r="K10" s="8" t="n">
        <v>-0.7142</v>
      </c>
      <c r="L10" s="8" t="n">
        <v>0.5064</v>
      </c>
      <c r="M10" s="9" t="n">
        <f aca="false">TDIST(ABS(K10/L10),$D10-1,2)</f>
        <v>0.160862586451335</v>
      </c>
      <c r="N10" s="8" t="n">
        <v>0.8243</v>
      </c>
      <c r="O10" s="8" t="n">
        <v>0.6017</v>
      </c>
      <c r="P10" s="9" t="n">
        <f aca="false">TDIST(ABS(N10/O10),$D10-1,2)</f>
        <v>0.173100210380574</v>
      </c>
      <c r="Q10" s="9" t="n">
        <f aca="false">N10-TINV(0.05,$D10-1)*O10</f>
        <v>-0.366266250347427</v>
      </c>
      <c r="R10" s="9" t="n">
        <f aca="false">N10+TINV(0.05,$D10-1)*O10</f>
        <v>2.01486625034743</v>
      </c>
      <c r="S10" s="6" t="str">
        <f aca="false">IF(P10&lt;0.01,"***",IF(P10&lt;0.05,"**",IF(P10&lt;0.1,"*","")))</f>
        <v/>
      </c>
    </row>
    <row r="11" customFormat="false" ht="15" hidden="false" customHeight="false" outlineLevel="0" collapsed="false">
      <c r="A11" s="6" t="s">
        <v>37</v>
      </c>
      <c r="B11" s="7" t="n">
        <v>949</v>
      </c>
      <c r="C11" s="7" t="n">
        <v>41</v>
      </c>
      <c r="D11" s="7" t="n">
        <v>125</v>
      </c>
      <c r="E11" s="8" t="n">
        <v>-0.419</v>
      </c>
      <c r="F11" s="8" t="n">
        <v>0.3792</v>
      </c>
      <c r="G11" s="9" t="n">
        <f aca="false">TDIST(ABS(E11/F11),$D11-1,2)</f>
        <v>0.271317264957364</v>
      </c>
      <c r="H11" s="8" t="n">
        <v>0.3166</v>
      </c>
      <c r="I11" s="8" t="n">
        <v>0.541</v>
      </c>
      <c r="J11" s="9" t="n">
        <f aca="false">TDIST(ABS(H11/I11),$D11-1,2)</f>
        <v>0.559468247910338</v>
      </c>
      <c r="K11" s="8" t="n">
        <v>-0.0205</v>
      </c>
      <c r="L11" s="8" t="n">
        <v>0.3447</v>
      </c>
      <c r="M11" s="9" t="n">
        <f aca="false">TDIST(ABS(K11/L11),$D11-1,2)</f>
        <v>0.952671902926219</v>
      </c>
      <c r="N11" s="8" t="n">
        <v>0.3372</v>
      </c>
      <c r="O11" s="8" t="n">
        <v>0.6216</v>
      </c>
      <c r="P11" s="9" t="n">
        <f aca="false">TDIST(ABS(N11/O11),$D11-1,2)</f>
        <v>0.588467678205724</v>
      </c>
      <c r="Q11" s="9" t="n">
        <f aca="false">N11-TINV(0.05,$D11-1)*O11</f>
        <v>-0.893120520481576</v>
      </c>
      <c r="R11" s="9" t="n">
        <f aca="false">N11+TINV(0.05,$D11-1)*O11</f>
        <v>1.56752052048158</v>
      </c>
      <c r="S11" s="6" t="str">
        <f aca="false">IF(P11&lt;0.01,"***",IF(P11&lt;0.05,"**",IF(P11&lt;0.1,"*","")))</f>
        <v/>
      </c>
    </row>
    <row r="12" customFormat="false" ht="15" hidden="false" customHeight="false" outlineLevel="0" collapsed="false">
      <c r="A12" s="6" t="s">
        <v>38</v>
      </c>
      <c r="B12" s="7" t="n">
        <v>583</v>
      </c>
      <c r="C12" s="7" t="n">
        <v>25</v>
      </c>
      <c r="D12" s="7" t="n">
        <v>68</v>
      </c>
      <c r="E12" s="10" t="s">
        <v>31</v>
      </c>
      <c r="F12" s="11"/>
      <c r="G12" s="11"/>
      <c r="H12" s="8" t="n">
        <v>-1.4833</v>
      </c>
      <c r="I12" s="8" t="n">
        <v>0.8705</v>
      </c>
      <c r="J12" s="9" t="n">
        <f aca="false">TDIST(ABS(H12/I12),$D12-1,2)</f>
        <v>0.0930220769241029</v>
      </c>
      <c r="K12" s="8" t="n">
        <v>-1.4399</v>
      </c>
      <c r="L12" s="8" t="n">
        <v>0.736</v>
      </c>
      <c r="M12" s="9" t="n">
        <f aca="false">TDIST(ABS(K12/L12),$D12-1,2)</f>
        <v>0.0545898150281671</v>
      </c>
      <c r="N12" s="8" t="n">
        <v>-0.0433</v>
      </c>
      <c r="O12" s="8" t="n">
        <v>0.4869</v>
      </c>
      <c r="P12" s="9" t="n">
        <f aca="false">TDIST(ABS(N12/O12),$D12-1,2)</f>
        <v>0.929402862837714</v>
      </c>
      <c r="Q12" s="9" t="n">
        <f aca="false">N12-TINV(0.05,$D12-1)*O12</f>
        <v>-1.01515646757492</v>
      </c>
      <c r="R12" s="9" t="n">
        <f aca="false">N12+TINV(0.05,$D12-1)*O12</f>
        <v>0.928556467574918</v>
      </c>
      <c r="S12" s="6" t="str">
        <f aca="false">IF(P12&lt;0.01,"***",IF(P12&lt;0.05,"**",IF(P12&lt;0.1,"*","")))</f>
        <v/>
      </c>
    </row>
    <row r="13" customFormat="false" ht="15" hidden="false" customHeight="false" outlineLevel="0" collapsed="false">
      <c r="A13" s="6" t="s">
        <v>39</v>
      </c>
      <c r="B13" s="7" t="n">
        <v>754</v>
      </c>
      <c r="C13" s="7" t="n">
        <v>41</v>
      </c>
      <c r="D13" s="7" t="n">
        <v>101</v>
      </c>
      <c r="E13" s="10" t="s">
        <v>31</v>
      </c>
      <c r="F13" s="11"/>
      <c r="G13" s="11"/>
      <c r="H13" s="8" t="n">
        <v>0.2184</v>
      </c>
      <c r="I13" s="8" t="n">
        <v>0.5859</v>
      </c>
      <c r="J13" s="9" t="n">
        <f aca="false">TDIST(ABS(H13/I13),$D13-1,2)</f>
        <v>0.710116092830998</v>
      </c>
      <c r="K13" s="8" t="n">
        <v>-0.0849</v>
      </c>
      <c r="L13" s="8" t="n">
        <v>0.2824</v>
      </c>
      <c r="M13" s="9" t="n">
        <f aca="false">TDIST(ABS(K13/L13),$D13-1,2)</f>
        <v>0.764315160880081</v>
      </c>
      <c r="N13" s="8" t="n">
        <v>0.3033</v>
      </c>
      <c r="O13" s="8" t="n">
        <v>0.6334</v>
      </c>
      <c r="P13" s="9" t="n">
        <f aca="false">TDIST(ABS(N13/O13),$D13-1,2)</f>
        <v>0.633094755409383</v>
      </c>
      <c r="Q13" s="9" t="n">
        <f aca="false">N13-TINV(0.05,$D13-1)*O13</f>
        <v>-0.953347559832821</v>
      </c>
      <c r="R13" s="9" t="n">
        <f aca="false">N13+TINV(0.05,$D13-1)*O13</f>
        <v>1.55994755983282</v>
      </c>
      <c r="S13" s="6" t="str">
        <f aca="false">IF(P13&lt;0.01,"***",IF(P13&lt;0.05,"**",IF(P13&lt;0.1,"*","")))</f>
        <v/>
      </c>
    </row>
    <row r="14" customFormat="false" ht="15" hidden="false" customHeight="false" outlineLevel="0" collapsed="false">
      <c r="A14" s="6" t="s">
        <v>40</v>
      </c>
      <c r="B14" s="7" t="n">
        <v>753</v>
      </c>
      <c r="C14" s="7" t="n">
        <v>41</v>
      </c>
      <c r="D14" s="7" t="n">
        <v>101</v>
      </c>
      <c r="E14" s="10" t="s">
        <v>31</v>
      </c>
      <c r="F14" s="11"/>
      <c r="G14" s="11"/>
      <c r="H14" s="8" t="n">
        <v>-0.1143</v>
      </c>
      <c r="I14" s="8" t="n">
        <v>0.6374</v>
      </c>
      <c r="J14" s="9" t="n">
        <f aca="false">TDIST(ABS(H14/I14),$D14-1,2)</f>
        <v>0.858047519336408</v>
      </c>
      <c r="K14" s="8" t="n">
        <v>-0.2522</v>
      </c>
      <c r="L14" s="8" t="n">
        <v>0.5857</v>
      </c>
      <c r="M14" s="9" t="n">
        <f aca="false">TDIST(ABS(K14/L14),$D14-1,2)</f>
        <v>0.667688901046931</v>
      </c>
      <c r="N14" s="8" t="n">
        <v>0.138</v>
      </c>
      <c r="O14" s="8" t="n">
        <v>0.627</v>
      </c>
      <c r="P14" s="9" t="n">
        <f aca="false">TDIST(ABS(N14/O14),$D14-1,2)</f>
        <v>0.826245319860821</v>
      </c>
      <c r="Q14" s="9" t="n">
        <f aca="false">N14-TINV(0.05,$D14-1)*O14</f>
        <v>-1.10595014211427</v>
      </c>
      <c r="R14" s="9" t="n">
        <f aca="false">N14+TINV(0.05,$D14-1)*O14</f>
        <v>1.38195014211427</v>
      </c>
      <c r="S14" s="6" t="str">
        <f aca="false">IF(P14&lt;0.01,"***",IF(P14&lt;0.05,"**",IF(P14&lt;0.1,"*","")))</f>
        <v/>
      </c>
    </row>
    <row r="15" customFormat="false" ht="15" hidden="false" customHeight="false" outlineLevel="0" collapsed="false">
      <c r="A15" s="6" t="s">
        <v>41</v>
      </c>
      <c r="B15" s="7" t="n">
        <v>679</v>
      </c>
      <c r="C15" s="7" t="n">
        <v>41</v>
      </c>
      <c r="D15" s="7" t="n">
        <v>101</v>
      </c>
      <c r="E15" s="8" t="n">
        <v>-0.877</v>
      </c>
      <c r="F15" s="8" t="n">
        <v>0.5847</v>
      </c>
      <c r="G15" s="9" t="n">
        <f aca="false">TDIST(ABS(E15/F15),$D15-1,2)</f>
        <v>0.136787185060425</v>
      </c>
      <c r="H15" s="8" t="n">
        <v>-0.1997</v>
      </c>
      <c r="I15" s="8" t="n">
        <v>0.6127</v>
      </c>
      <c r="J15" s="9" t="n">
        <f aca="false">TDIST(ABS(H15/I15),$D15-1,2)</f>
        <v>0.745155067262198</v>
      </c>
      <c r="K15" s="8" t="n">
        <v>0.4047</v>
      </c>
      <c r="L15" s="8" t="n">
        <v>0.5641</v>
      </c>
      <c r="M15" s="9" t="n">
        <f aca="false">TDIST(ABS(K15/L15),$D15-1,2)</f>
        <v>0.474783821718042</v>
      </c>
      <c r="N15" s="8" t="n">
        <v>-0.6044</v>
      </c>
      <c r="O15" s="8" t="n">
        <v>0.7515</v>
      </c>
      <c r="P15" s="9" t="n">
        <f aca="false">TDIST(ABS(N15/O15),$D15-1,2)</f>
        <v>0.423155755005752</v>
      </c>
      <c r="Q15" s="9" t="n">
        <f aca="false">N15-TINV(0.05,$D15-1)*O15</f>
        <v>-2.09535459617045</v>
      </c>
      <c r="R15" s="9" t="n">
        <f aca="false">N15+TINV(0.05,$D15-1)*O15</f>
        <v>0.886554596170453</v>
      </c>
      <c r="S15" s="6" t="str">
        <f aca="false">IF(P15&lt;0.01,"***",IF(P15&lt;0.05,"**",IF(P15&lt;0.1,"*","")))</f>
        <v/>
      </c>
    </row>
    <row r="17" customFormat="false" ht="15" hidden="false" customHeight="false" outlineLevel="0" collapsed="false">
      <c r="A17" s="12" t="s">
        <v>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2"/>
    <col collapsed="false" customWidth="true" hidden="false" outlineLevel="0" max="3" min="3" style="0" width="10"/>
    <col collapsed="false" customWidth="true" hidden="false" outlineLevel="0" max="5" min="4" style="0" width="9"/>
    <col collapsed="false" customWidth="true" hidden="false" outlineLevel="0" max="6" min="6" style="0" width="6"/>
    <col collapsed="false" customWidth="true" hidden="false" outlineLevel="0" max="8" min="7" style="0" width="12"/>
    <col collapsed="false" customWidth="true" hidden="false" outlineLevel="0" max="9" min="9" style="0" width="10"/>
    <col collapsed="false" customWidth="true" hidden="false" outlineLevel="0" max="10" min="10" style="0" width="9"/>
    <col collapsed="false" customWidth="true" hidden="false" outlineLevel="0" max="11" min="11" style="0" width="11"/>
    <col collapsed="false" customWidth="true" hidden="false" outlineLevel="0" max="12" min="12" style="0" width="10"/>
    <col collapsed="false" customWidth="true" hidden="false" outlineLevel="0" max="13" min="13" style="0" width="3"/>
    <col collapsed="false" customWidth="true" hidden="false" outlineLevel="0" max="14" min="14" style="0" width="30"/>
    <col collapsed="false" customWidth="true" hidden="false" outlineLevel="0" max="15" min="15" style="0" width="12"/>
  </cols>
  <sheetData>
    <row r="1" customFormat="false" ht="15" hidden="false" customHeight="false" outlineLevel="0" collapsed="false">
      <c r="A1" s="4" t="s">
        <v>29</v>
      </c>
    </row>
    <row r="2" customFormat="false" ht="15" hidden="false" customHeight="false" outlineLevel="0" collapsed="false">
      <c r="A2" s="12" t="s">
        <v>43</v>
      </c>
    </row>
    <row r="3" customFormat="false" ht="23.85" hidden="false" customHeight="false" outlineLevel="0" collapsed="false">
      <c r="A3" s="13" t="s">
        <v>44</v>
      </c>
      <c r="B3" s="13" t="s">
        <v>45</v>
      </c>
      <c r="C3" s="13" t="s">
        <v>46</v>
      </c>
      <c r="D3" s="13" t="s">
        <v>47</v>
      </c>
      <c r="E3" s="13" t="s">
        <v>48</v>
      </c>
      <c r="F3" s="13" t="s">
        <v>28</v>
      </c>
      <c r="G3" s="13" t="s">
        <v>49</v>
      </c>
      <c r="H3" s="13" t="s">
        <v>50</v>
      </c>
      <c r="I3" s="13" t="s">
        <v>51</v>
      </c>
      <c r="J3" s="13" t="s">
        <v>52</v>
      </c>
      <c r="K3" s="13" t="s">
        <v>53</v>
      </c>
      <c r="L3" s="13" t="s">
        <v>54</v>
      </c>
      <c r="N3" s="6" t="s">
        <v>55</v>
      </c>
      <c r="O3" s="7" t="n">
        <v>949</v>
      </c>
    </row>
    <row r="4" customFormat="false" ht="15" hidden="false" customHeight="false" outlineLevel="0" collapsed="false">
      <c r="A4" s="6" t="s">
        <v>56</v>
      </c>
      <c r="B4" s="8" t="n">
        <v>-0.343</v>
      </c>
      <c r="C4" s="8" t="n">
        <v>0.2774</v>
      </c>
      <c r="D4" s="9" t="n">
        <f aca="false">B4/C4</f>
        <v>-1.2364816149964</v>
      </c>
      <c r="E4" s="9" t="n">
        <f aca="false">TDIST(ABS(D4),$O$4-1,2)</f>
        <v>0.218616496118588</v>
      </c>
      <c r="F4" s="6" t="str">
        <f aca="false">IF(E4&lt;0.01,"***",IF(E4&lt;0.05,"**",IF(E4&lt;0.1,"*","")))</f>
        <v/>
      </c>
      <c r="G4" s="9" t="n">
        <f aca="false">B4-$O$12*C4</f>
        <v>-0.892052304346186</v>
      </c>
      <c r="H4" s="9" t="n">
        <f aca="false">B4+$O$12*C4</f>
        <v>0.206052304346186</v>
      </c>
      <c r="I4" s="8" t="n">
        <v>0.2435</v>
      </c>
      <c r="J4" s="9" t="n">
        <f aca="false">TDIST(ABS(B4/I4),$O$5-1,2)</f>
        <v>0.162726866805972</v>
      </c>
      <c r="K4" s="8" t="n">
        <v>0.3046</v>
      </c>
      <c r="L4" s="9" t="n">
        <f aca="false">TDIST(ABS(B4/K4),$O$6-1,2)</f>
        <v>0.264095669853259</v>
      </c>
      <c r="N4" s="6" t="s">
        <v>19</v>
      </c>
      <c r="O4" s="7" t="n">
        <v>125</v>
      </c>
    </row>
    <row r="5" customFormat="false" ht="15" hidden="false" customHeight="false" outlineLevel="0" collapsed="false">
      <c r="A5" s="6" t="s">
        <v>57</v>
      </c>
      <c r="B5" s="8" t="n">
        <v>0.0089</v>
      </c>
      <c r="C5" s="8" t="n">
        <v>0.3774</v>
      </c>
      <c r="D5" s="9" t="n">
        <f aca="false">B5/C5</f>
        <v>0.0235824059353471</v>
      </c>
      <c r="E5" s="9" t="n">
        <f aca="false">TDIST(ABS(D5),$O$4-1,2)</f>
        <v>0.981223613731848</v>
      </c>
      <c r="F5" s="6" t="str">
        <f aca="false">IF(E5&lt;0.01,"***",IF(E5&lt;0.05,"**",IF(E5&lt;0.1,"*","")))</f>
        <v/>
      </c>
      <c r="G5" s="9" t="n">
        <f aca="false">B5-$O$12*C5</f>
        <v>-0.738080316006671</v>
      </c>
      <c r="H5" s="9" t="n">
        <f aca="false">B5+$O$12*C5</f>
        <v>0.755880316006671</v>
      </c>
      <c r="I5" s="8" t="n">
        <v>0.311</v>
      </c>
      <c r="J5" s="9" t="n">
        <f aca="false">TDIST(ABS(B5/I5),$O$5-1,2)</f>
        <v>0.977239298344664</v>
      </c>
      <c r="K5" s="8" t="n">
        <v>0.4391</v>
      </c>
      <c r="L5" s="9" t="n">
        <f aca="false">TDIST(ABS(B5/K5),$O$6-1,2)</f>
        <v>0.983888356452887</v>
      </c>
      <c r="N5" s="6" t="s">
        <v>58</v>
      </c>
      <c r="O5" s="7" t="n">
        <v>83</v>
      </c>
    </row>
    <row r="6" customFormat="false" ht="15" hidden="false" customHeight="false" outlineLevel="0" collapsed="false">
      <c r="A6" s="6" t="s">
        <v>59</v>
      </c>
      <c r="B6" s="8" t="n">
        <v>-0.2548</v>
      </c>
      <c r="C6" s="8" t="n">
        <v>0.2679</v>
      </c>
      <c r="D6" s="9" t="n">
        <f aca="false">B6/C6</f>
        <v>-0.95110115714819</v>
      </c>
      <c r="E6" s="9" t="n">
        <f aca="false">TDIST(ABS(D6),$O$4-1,2)</f>
        <v>0.343403190458734</v>
      </c>
      <c r="F6" s="6" t="str">
        <f aca="false">IF(E6&lt;0.01,"***",IF(E6&lt;0.05,"**",IF(E6&lt;0.1,"*","")))</f>
        <v/>
      </c>
      <c r="G6" s="9" t="n">
        <f aca="false">B6-$O$12*C6</f>
        <v>-0.78504914323844</v>
      </c>
      <c r="H6" s="9" t="n">
        <f aca="false">B6+$O$12*C6</f>
        <v>0.27544914323844</v>
      </c>
      <c r="I6" s="8" t="n">
        <v>0.2336</v>
      </c>
      <c r="J6" s="9" t="n">
        <f aca="false">TDIST(ABS(B6/I6),$O$5-1,2)</f>
        <v>0.278576177244897</v>
      </c>
      <c r="K6" s="8" t="n">
        <v>0.2786</v>
      </c>
      <c r="L6" s="9" t="n">
        <f aca="false">TDIST(ABS(B6/K6),$O$6-1,2)</f>
        <v>0.363647614395085</v>
      </c>
      <c r="N6" s="6" t="s">
        <v>60</v>
      </c>
      <c r="O6" s="7" t="n">
        <v>69</v>
      </c>
    </row>
    <row r="7" customFormat="false" ht="15" hidden="false" customHeight="false" outlineLevel="0" collapsed="false">
      <c r="A7" s="6" t="s">
        <v>61</v>
      </c>
      <c r="B7" s="8" t="n">
        <v>-1.0893</v>
      </c>
      <c r="C7" s="8" t="n">
        <v>0.8467</v>
      </c>
      <c r="D7" s="9" t="n">
        <f aca="false">B7/C7</f>
        <v>-1.28652415259242</v>
      </c>
      <c r="E7" s="9" t="n">
        <f aca="false">TDIST(ABS(D7),$O$4-1,2)</f>
        <v>0.200656964522963</v>
      </c>
      <c r="F7" s="6" t="str">
        <f aca="false">IF(E7&lt;0.01,"***",IF(E7&lt;0.05,"**",IF(E7&lt;0.1,"*","")))</f>
        <v/>
      </c>
      <c r="G7" s="9" t="n">
        <f aca="false">B7-$O$12*C7</f>
        <v>-2.76515647472933</v>
      </c>
      <c r="H7" s="9" t="n">
        <f aca="false">B7+$O$12*C7</f>
        <v>0.586556474729329</v>
      </c>
      <c r="I7" s="8" t="n">
        <v>1.0057</v>
      </c>
      <c r="J7" s="9" t="n">
        <f aca="false">TDIST(ABS(B7/I7),$O$5-1,2)</f>
        <v>0.281927082335366</v>
      </c>
      <c r="K7" s="8" t="n">
        <v>0.8881</v>
      </c>
      <c r="L7" s="9" t="n">
        <f aca="false">TDIST(ABS(B7/K7),$O$6-1,2)</f>
        <v>0.224221570626518</v>
      </c>
      <c r="N7" s="6" t="s">
        <v>62</v>
      </c>
      <c r="O7" s="7" t="n">
        <v>0.2636</v>
      </c>
    </row>
    <row r="8" customFormat="false" ht="15" hidden="false" customHeight="false" outlineLevel="0" collapsed="false">
      <c r="A8" s="6" t="s">
        <v>63</v>
      </c>
      <c r="B8" s="8" t="n">
        <v>-1.3846</v>
      </c>
      <c r="C8" s="8" t="n">
        <v>2.6358</v>
      </c>
      <c r="D8" s="9" t="n">
        <f aca="false">B8/C8</f>
        <v>-0.525305410122164</v>
      </c>
      <c r="E8" s="9" t="n">
        <f aca="false">TDIST(ABS(D8),$O$4-1,2)</f>
        <v>0.600308940832131</v>
      </c>
      <c r="F8" s="6" t="str">
        <f aca="false">IF(E8&lt;0.01,"***",IF(E8&lt;0.05,"**",IF(E8&lt;0.1,"*","")))</f>
        <v/>
      </c>
      <c r="G8" s="9" t="n">
        <f aca="false">B8-$O$12*C8</f>
        <v>-6.60158653134707</v>
      </c>
      <c r="H8" s="9" t="n">
        <f aca="false">B8+$O$12*C8</f>
        <v>3.83238653134707</v>
      </c>
      <c r="I8" s="8" t="n">
        <v>2.1808</v>
      </c>
      <c r="J8" s="9" t="n">
        <f aca="false">TDIST(ABS(B8/I8),$O$5-1,2)</f>
        <v>0.527258233814651</v>
      </c>
      <c r="K8" s="8" t="n">
        <v>2.821</v>
      </c>
      <c r="L8" s="9" t="n">
        <f aca="false">TDIST(ABS(B8/K8),$O$6-1,2)</f>
        <v>0.625134821203643</v>
      </c>
      <c r="N8" s="6" t="s">
        <v>64</v>
      </c>
      <c r="O8" s="7" t="n">
        <v>0.0155</v>
      </c>
    </row>
    <row r="9" customFormat="false" ht="15" hidden="false" customHeight="false" outlineLevel="0" collapsed="false">
      <c r="A9" s="6" t="s">
        <v>65</v>
      </c>
      <c r="B9" s="8" t="n">
        <v>41.0133</v>
      </c>
      <c r="C9" s="8" t="n">
        <v>37.3268</v>
      </c>
      <c r="D9" s="9" t="n">
        <f aca="false">B9/C9</f>
        <v>1.09876281920765</v>
      </c>
      <c r="E9" s="9" t="n">
        <f aca="false">TDIST(ABS(D9),$O$4-1,2)</f>
        <v>0.274000346711651</v>
      </c>
      <c r="F9" s="6" t="str">
        <f aca="false">IF(E9&lt;0.01,"***",IF(E9&lt;0.05,"**",IF(E9&lt;0.1,"*","")))</f>
        <v/>
      </c>
      <c r="G9" s="9" t="n">
        <f aca="false">B9-$O$12*C9</f>
        <v>-32.866893056486</v>
      </c>
      <c r="H9" s="9" t="n">
        <f aca="false">B9+$O$12*C9</f>
        <v>114.893493056486</v>
      </c>
      <c r="I9" s="8" t="n">
        <v>31.6804</v>
      </c>
      <c r="J9" s="9" t="n">
        <f aca="false">TDIST(ABS(B9/I9),$O$5-1,2)</f>
        <v>0.199093537696709</v>
      </c>
      <c r="K9" s="8" t="n">
        <v>37.2375</v>
      </c>
      <c r="L9" s="9" t="n">
        <f aca="false">TDIST(ABS(B9/K9),$O$6-1,2)</f>
        <v>0.27460690437725</v>
      </c>
      <c r="N9" s="6" t="s">
        <v>18</v>
      </c>
      <c r="O9" s="7" t="n">
        <v>41</v>
      </c>
    </row>
    <row r="10" customFormat="false" ht="15" hidden="false" customHeight="false" outlineLevel="0" collapsed="false">
      <c r="A10" s="6" t="s">
        <v>66</v>
      </c>
      <c r="B10" s="8" t="n">
        <v>-0.0925</v>
      </c>
      <c r="C10" s="8" t="n">
        <v>0.2653</v>
      </c>
      <c r="D10" s="9" t="n">
        <f aca="false">B10/C10</f>
        <v>-0.348661892197512</v>
      </c>
      <c r="E10" s="9" t="n">
        <f aca="false">TDIST(ABS(D10),$O$4-1,2)</f>
        <v>0.727934450485593</v>
      </c>
      <c r="F10" s="6" t="str">
        <f aca="false">IF(E10&lt;0.01,"***",IF(E10&lt;0.05,"**",IF(E10&lt;0.1,"*","")))</f>
        <v/>
      </c>
      <c r="G10" s="9" t="n">
        <f aca="false">B10-$O$12*C10</f>
        <v>-0.617603014935267</v>
      </c>
      <c r="H10" s="9" t="n">
        <f aca="false">B10+$O$12*C10</f>
        <v>0.432603014935267</v>
      </c>
      <c r="I10" s="8" t="n">
        <v>0.2598</v>
      </c>
      <c r="J10" s="9" t="n">
        <f aca="false">TDIST(ABS(B10/I10),$O$5-1,2)</f>
        <v>0.722722674943451</v>
      </c>
      <c r="K10" s="8" t="n">
        <v>0.2585</v>
      </c>
      <c r="L10" s="9" t="n">
        <f aca="false">TDIST(ABS(B10/K10),$O$6-1,2)</f>
        <v>0.721576149256449</v>
      </c>
      <c r="N10" s="6" t="s">
        <v>67</v>
      </c>
      <c r="O10" s="7" t="n">
        <v>308</v>
      </c>
    </row>
    <row r="11" customFormat="false" ht="15" hidden="false" customHeight="false" outlineLevel="0" collapsed="false">
      <c r="A11" s="6" t="s">
        <v>68</v>
      </c>
      <c r="B11" s="8" t="n">
        <v>0.0393</v>
      </c>
      <c r="C11" s="8" t="n">
        <v>0.0166</v>
      </c>
      <c r="D11" s="9" t="n">
        <f aca="false">B11/C11</f>
        <v>2.36746987951807</v>
      </c>
      <c r="E11" s="9" t="n">
        <f aca="false">TDIST(ABS(D11),$O$4-1,2)</f>
        <v>0.0194571600662175</v>
      </c>
      <c r="F11" s="6" t="str">
        <f aca="false">IF(E11&lt;0.01,"***",IF(E11&lt;0.05,"**",IF(E11&lt;0.1,"*","")))</f>
        <v>**</v>
      </c>
      <c r="G11" s="9" t="n">
        <f aca="false">B11-$O$12*C11</f>
        <v>0.00644395006435945</v>
      </c>
      <c r="H11" s="9" t="n">
        <f aca="false">B11+$O$12*C11</f>
        <v>0.0721560499356406</v>
      </c>
      <c r="I11" s="8" t="n">
        <v>0.0175</v>
      </c>
      <c r="J11" s="9" t="n">
        <f aca="false">TDIST(ABS(B11/I11),$O$5-1,2)</f>
        <v>0.0274127959588302</v>
      </c>
      <c r="K11" s="8" t="n">
        <v>0.0191</v>
      </c>
      <c r="L11" s="9" t="n">
        <f aca="false">TDIST(ABS(B11/K11),$O$6-1,2)</f>
        <v>0.0434661422192232</v>
      </c>
      <c r="N11" s="6" t="s">
        <v>69</v>
      </c>
      <c r="O11" s="7" t="n">
        <v>137</v>
      </c>
    </row>
    <row r="12" customFormat="false" ht="15" hidden="false" customHeight="false" outlineLevel="0" collapsed="false">
      <c r="A12" s="6" t="s">
        <v>70</v>
      </c>
      <c r="B12" s="8" t="n">
        <v>0.0061</v>
      </c>
      <c r="C12" s="8" t="n">
        <v>0.0188</v>
      </c>
      <c r="D12" s="9" t="n">
        <f aca="false">B12/C12</f>
        <v>0.324468085106383</v>
      </c>
      <c r="E12" s="9" t="n">
        <f aca="false">TDIST(ABS(D12),$O$4-1,2)</f>
        <v>0.746130396594073</v>
      </c>
      <c r="F12" s="6" t="str">
        <f aca="false">IF(E12&lt;0.01,"***",IF(E12&lt;0.05,"**",IF(E12&lt;0.1,"*","")))</f>
        <v/>
      </c>
      <c r="G12" s="9" t="n">
        <f aca="false">B12-$O$12*C12</f>
        <v>-0.0311104661921712</v>
      </c>
      <c r="H12" s="9" t="n">
        <f aca="false">B12+$O$12*C12</f>
        <v>0.0433104661921712</v>
      </c>
      <c r="I12" s="8" t="n">
        <v>0.0184</v>
      </c>
      <c r="J12" s="9" t="n">
        <f aca="false">TDIST(ABS(B12/I12),$O$5-1,2)</f>
        <v>0.741096222100642</v>
      </c>
      <c r="K12" s="8" t="n">
        <v>0.0206</v>
      </c>
      <c r="L12" s="9" t="n">
        <f aca="false">TDIST(ABS(B12/K12),$O$6-1,2)</f>
        <v>0.768043569853295</v>
      </c>
      <c r="N12" s="6" t="s">
        <v>71</v>
      </c>
      <c r="O12" s="6" t="n">
        <f aca="false">TINV(0.05,$O$4-1)</f>
        <v>1.97928011660485</v>
      </c>
    </row>
    <row r="13" customFormat="false" ht="15" hidden="false" customHeight="false" outlineLevel="0" collapsed="false">
      <c r="A13" s="6" t="s">
        <v>72</v>
      </c>
      <c r="B13" s="8" t="n">
        <v>0.1005</v>
      </c>
      <c r="C13" s="8" t="n">
        <v>0.1757</v>
      </c>
      <c r="D13" s="9" t="n">
        <f aca="false">B13/C13</f>
        <v>0.571997723392146</v>
      </c>
      <c r="E13" s="9" t="n">
        <f aca="false">TDIST(ABS(D13),$O$4-1,2)</f>
        <v>0.56835902185697</v>
      </c>
      <c r="F13" s="6" t="str">
        <f aca="false">IF(E13&lt;0.01,"***",IF(E13&lt;0.05,"**",IF(E13&lt;0.1,"*","")))</f>
        <v/>
      </c>
      <c r="G13" s="9" t="n">
        <f aca="false">B13-$O$12*C13</f>
        <v>-0.247259516487473</v>
      </c>
      <c r="H13" s="9" t="n">
        <f aca="false">B13+$O$12*C13</f>
        <v>0.448259516487473</v>
      </c>
      <c r="I13" s="8" t="n">
        <v>0.1713</v>
      </c>
      <c r="J13" s="9" t="n">
        <f aca="false">TDIST(ABS(B13/I13),$O$5-1,2)</f>
        <v>0.559023663776877</v>
      </c>
      <c r="K13" s="8" t="n">
        <v>0.1883</v>
      </c>
      <c r="L13" s="9" t="n">
        <f aca="false">TDIST(ABS(B13/K13),$O$6-1,2)</f>
        <v>0.595273763358122</v>
      </c>
    </row>
    <row r="14" customFormat="false" ht="15" hidden="false" customHeight="false" outlineLevel="0" collapsed="false">
      <c r="A14" s="6" t="s">
        <v>73</v>
      </c>
      <c r="B14" s="8" t="n">
        <v>0.038</v>
      </c>
      <c r="C14" s="8" t="n">
        <v>0.1842</v>
      </c>
      <c r="D14" s="9" t="n">
        <f aca="false">B14/C14</f>
        <v>0.206297502714441</v>
      </c>
      <c r="E14" s="9" t="n">
        <f aca="false">TDIST(ABS(D14),$O$4-1,2)</f>
        <v>0.836896870736123</v>
      </c>
      <c r="F14" s="6" t="str">
        <f aca="false">IF(E14&lt;0.01,"***",IF(E14&lt;0.05,"**",IF(E14&lt;0.1,"*","")))</f>
        <v/>
      </c>
      <c r="G14" s="9" t="n">
        <f aca="false">B14-$O$12*C14</f>
        <v>-0.326583397478614</v>
      </c>
      <c r="H14" s="9" t="n">
        <f aca="false">B14+$O$12*C14</f>
        <v>0.402583397478614</v>
      </c>
      <c r="I14" s="8" t="n">
        <v>0.1924</v>
      </c>
      <c r="J14" s="9" t="n">
        <f aca="false">TDIST(ABS(B14/I14),$O$5-1,2)</f>
        <v>0.843920981771682</v>
      </c>
      <c r="K14" s="8" t="n">
        <v>0.2212</v>
      </c>
      <c r="L14" s="9" t="n">
        <f aca="false">TDIST(ABS(B14/K14),$O$6-1,2)</f>
        <v>0.864112668404375</v>
      </c>
    </row>
    <row r="15" customFormat="false" ht="15" hidden="false" customHeight="false" outlineLevel="0" collapsed="false">
      <c r="A15" s="14" t="s">
        <v>74</v>
      </c>
      <c r="B15" s="15" t="n">
        <v>0.2638</v>
      </c>
      <c r="C15" s="15" t="n">
        <v>0.437</v>
      </c>
      <c r="D15" s="16" t="n">
        <f aca="false">B15/C15</f>
        <v>0.603661327231121</v>
      </c>
      <c r="E15" s="16" t="n">
        <f aca="false">TDIST(ABS(D15),$O$4-1,2)</f>
        <v>0.547171543452233</v>
      </c>
      <c r="F15" s="17" t="str">
        <f aca="false">IF(E15&lt;0.01,"***",IF(E15&lt;0.05,"**",IF(E15&lt;0.1,"*","")))</f>
        <v/>
      </c>
      <c r="G15" s="16" t="n">
        <f aca="false">B15-$O$12*C15</f>
        <v>-0.601145410956321</v>
      </c>
      <c r="H15" s="16" t="n">
        <f aca="false">B15+$O$12*C15</f>
        <v>1.12874541095632</v>
      </c>
      <c r="I15" s="15" t="n">
        <v>0.319</v>
      </c>
      <c r="J15" s="16" t="n">
        <f aca="false">TDIST(ABS(B15/I15),$O$5-1,2)</f>
        <v>0.410660137715269</v>
      </c>
      <c r="K15" s="15" t="n">
        <v>0.4225</v>
      </c>
      <c r="L15" s="16" t="n">
        <f aca="false">TDIST(ABS(B15/K15),$O$6-1,2)</f>
        <v>0.534468222610987</v>
      </c>
    </row>
    <row r="18" customFormat="false" ht="15" hidden="false" customHeight="false" outlineLevel="0" collapsed="false">
      <c r="A18" s="4" t="s">
        <v>30</v>
      </c>
    </row>
    <row r="19" customFormat="false" ht="15" hidden="false" customHeight="false" outlineLevel="0" collapsed="false">
      <c r="A19" s="12" t="s">
        <v>75</v>
      </c>
    </row>
    <row r="20" customFormat="false" ht="23.85" hidden="false" customHeight="false" outlineLevel="0" collapsed="false">
      <c r="A20" s="13" t="s">
        <v>44</v>
      </c>
      <c r="B20" s="13" t="s">
        <v>45</v>
      </c>
      <c r="C20" s="13" t="s">
        <v>46</v>
      </c>
      <c r="D20" s="13" t="s">
        <v>47</v>
      </c>
      <c r="E20" s="13" t="s">
        <v>48</v>
      </c>
      <c r="F20" s="13" t="s">
        <v>28</v>
      </c>
      <c r="G20" s="13" t="s">
        <v>49</v>
      </c>
      <c r="H20" s="13" t="s">
        <v>50</v>
      </c>
      <c r="I20" s="13" t="s">
        <v>51</v>
      </c>
      <c r="J20" s="13" t="s">
        <v>52</v>
      </c>
      <c r="K20" s="13" t="s">
        <v>53</v>
      </c>
      <c r="L20" s="13" t="s">
        <v>54</v>
      </c>
      <c r="N20" s="6" t="s">
        <v>55</v>
      </c>
      <c r="O20" s="7" t="n">
        <v>1067</v>
      </c>
    </row>
    <row r="21" customFormat="false" ht="15" hidden="false" customHeight="false" outlineLevel="0" collapsed="false">
      <c r="A21" s="6" t="s">
        <v>57</v>
      </c>
      <c r="B21" s="8" t="n">
        <v>-0.2605</v>
      </c>
      <c r="C21" s="8" t="n">
        <v>0.386</v>
      </c>
      <c r="D21" s="9" t="n">
        <f aca="false">B21/C21</f>
        <v>-0.674870466321244</v>
      </c>
      <c r="E21" s="9" t="n">
        <f aca="false">TDIST(ABS(D21),$O$21-1,2)</f>
        <v>0.500975257091254</v>
      </c>
      <c r="F21" s="6" t="str">
        <f aca="false">IF(E21&lt;0.01,"***",IF(E21&lt;0.05,"**",IF(E21&lt;0.1,"*","")))</f>
        <v/>
      </c>
      <c r="G21" s="9" t="n">
        <f aca="false">B21-$O$29*C21</f>
        <v>-1.02426694803741</v>
      </c>
      <c r="H21" s="9" t="n">
        <f aca="false">B21+$O$29*C21</f>
        <v>0.503266948037406</v>
      </c>
      <c r="I21" s="8" t="n">
        <v>0.2958</v>
      </c>
      <c r="J21" s="9" t="n">
        <f aca="false">TDIST(ABS(B21/I21),$O$22-1,2)</f>
        <v>0.380820434699245</v>
      </c>
      <c r="K21" s="8" t="n">
        <v>0.3749</v>
      </c>
      <c r="L21" s="9" t="n">
        <f aca="false">TDIST(ABS(B21/K21),$O$23-1,2)</f>
        <v>0.489239568743595</v>
      </c>
      <c r="N21" s="6" t="s">
        <v>19</v>
      </c>
      <c r="O21" s="7" t="n">
        <v>129</v>
      </c>
    </row>
    <row r="22" customFormat="false" ht="15" hidden="false" customHeight="false" outlineLevel="0" collapsed="false">
      <c r="A22" s="6" t="s">
        <v>59</v>
      </c>
      <c r="B22" s="8" t="n">
        <v>-0.899</v>
      </c>
      <c r="C22" s="8" t="n">
        <v>0.3674</v>
      </c>
      <c r="D22" s="9" t="n">
        <f aca="false">B22/C22</f>
        <v>-2.44692433315188</v>
      </c>
      <c r="E22" s="9" t="n">
        <f aca="false">TDIST(ABS(D22),$O$21-1,2)</f>
        <v>0.0157650212669247</v>
      </c>
      <c r="F22" s="6" t="str">
        <f aca="false">IF(E22&lt;0.01,"***",IF(E22&lt;0.05,"**",IF(E22&lt;0.1,"*","")))</f>
        <v>**</v>
      </c>
      <c r="G22" s="9" t="n">
        <f aca="false">B22-$O$29*C22</f>
        <v>-1.62596367023042</v>
      </c>
      <c r="H22" s="9" t="n">
        <f aca="false">B22+$O$29*C22</f>
        <v>-0.172036329769578</v>
      </c>
      <c r="I22" s="8" t="n">
        <v>0.308</v>
      </c>
      <c r="J22" s="9" t="n">
        <f aca="false">TDIST(ABS(B22/I22),$O$22-1,2)</f>
        <v>0.00442715665251265</v>
      </c>
      <c r="K22" s="8" t="n">
        <v>0.3362</v>
      </c>
      <c r="L22" s="9" t="n">
        <f aca="false">TDIST(ABS(B22/K22),$O$23-1,2)</f>
        <v>0.00914853659478613</v>
      </c>
      <c r="N22" s="6" t="s">
        <v>58</v>
      </c>
      <c r="O22" s="7" t="n">
        <v>92</v>
      </c>
    </row>
    <row r="23" customFormat="false" ht="15" hidden="false" customHeight="false" outlineLevel="0" collapsed="false">
      <c r="A23" s="6" t="s">
        <v>61</v>
      </c>
      <c r="B23" s="8" t="n">
        <v>-7.1343</v>
      </c>
      <c r="C23" s="8" t="n">
        <v>2.102</v>
      </c>
      <c r="D23" s="9" t="n">
        <f aca="false">B23/C23</f>
        <v>-3.39405328258801</v>
      </c>
      <c r="E23" s="9" t="n">
        <f aca="false">TDIST(ABS(D23),$O$21-1,2)</f>
        <v>0.000917194309411983</v>
      </c>
      <c r="F23" s="6" t="str">
        <f aca="false">IF(E23&lt;0.01,"***",IF(E23&lt;0.05,"**",IF(E23&lt;0.1,"*","")))</f>
        <v>***</v>
      </c>
      <c r="G23" s="9" t="n">
        <f aca="false">B23-$O$29*C23</f>
        <v>-11.2934661263591</v>
      </c>
      <c r="H23" s="9" t="n">
        <f aca="false">B23+$O$29*C23</f>
        <v>-2.97513387364086</v>
      </c>
      <c r="I23" s="8" t="n">
        <v>2.1382</v>
      </c>
      <c r="J23" s="9" t="n">
        <f aca="false">TDIST(ABS(B23/I23),$O$22-1,2)</f>
        <v>0.00122931483156237</v>
      </c>
      <c r="K23" s="8" t="n">
        <v>2.1073</v>
      </c>
      <c r="L23" s="9" t="n">
        <f aca="false">TDIST(ABS(B23/K23),$O$23-1,2)</f>
        <v>0.00112081947723446</v>
      </c>
      <c r="N23" s="6" t="s">
        <v>60</v>
      </c>
      <c r="O23" s="7" t="n">
        <v>78</v>
      </c>
    </row>
    <row r="24" customFormat="false" ht="15" hidden="false" customHeight="false" outlineLevel="0" collapsed="false">
      <c r="A24" s="6" t="s">
        <v>63</v>
      </c>
      <c r="B24" s="8" t="n">
        <v>-2.5621</v>
      </c>
      <c r="C24" s="8" t="n">
        <v>3.4509</v>
      </c>
      <c r="D24" s="9" t="n">
        <f aca="false">B24/C24</f>
        <v>-0.742444000115912</v>
      </c>
      <c r="E24" s="9" t="n">
        <f aca="false">TDIST(ABS(D24),$O$21-1,2)</f>
        <v>0.459178673022334</v>
      </c>
      <c r="F24" s="6" t="str">
        <f aca="false">IF(E24&lt;0.01,"***",IF(E24&lt;0.05,"**",IF(E24&lt;0.1,"*","")))</f>
        <v/>
      </c>
      <c r="G24" s="9" t="n">
        <f aca="false">B24-$O$29*C24</f>
        <v>-9.3902952357054</v>
      </c>
      <c r="H24" s="9" t="n">
        <f aca="false">B24+$O$29*C24</f>
        <v>4.2660952357054</v>
      </c>
      <c r="I24" s="8" t="n">
        <v>2.8433</v>
      </c>
      <c r="J24" s="9" t="n">
        <f aca="false">TDIST(ABS(B24/I24),$O$22-1,2)</f>
        <v>0.369913393824142</v>
      </c>
      <c r="K24" s="8" t="n">
        <v>3.434</v>
      </c>
      <c r="L24" s="9" t="n">
        <f aca="false">TDIST(ABS(B24/K24),$O$23-1,2)</f>
        <v>0.457880117732753</v>
      </c>
      <c r="N24" s="6" t="s">
        <v>62</v>
      </c>
      <c r="O24" s="7" t="n">
        <v>0.3386</v>
      </c>
    </row>
    <row r="25" customFormat="false" ht="15" hidden="false" customHeight="false" outlineLevel="0" collapsed="false">
      <c r="A25" s="6" t="s">
        <v>65</v>
      </c>
      <c r="B25" s="8" t="n">
        <v>84.3378</v>
      </c>
      <c r="C25" s="8" t="n">
        <v>57.5923</v>
      </c>
      <c r="D25" s="9" t="n">
        <f aca="false">B25/C25</f>
        <v>1.46439367762704</v>
      </c>
      <c r="E25" s="9" t="n">
        <f aca="false">TDIST(ABS(D25),$O$21-1,2)</f>
        <v>0.145538145858025</v>
      </c>
      <c r="F25" s="6" t="str">
        <f aca="false">IF(E25&lt;0.01,"***",IF(E25&lt;0.05,"**",IF(E25&lt;0.1,"*","")))</f>
        <v/>
      </c>
      <c r="G25" s="9" t="n">
        <f aca="false">B25-$O$29*C25</f>
        <v>-29.6184051851158</v>
      </c>
      <c r="H25" s="9" t="n">
        <f aca="false">B25+$O$29*C25</f>
        <v>198.294005185116</v>
      </c>
      <c r="I25" s="8" t="n">
        <v>50.8886</v>
      </c>
      <c r="J25" s="9" t="n">
        <f aca="false">TDIST(ABS(B25/I25),$O$22-1,2)</f>
        <v>0.100902177012231</v>
      </c>
      <c r="K25" s="8" t="n">
        <v>57.6877</v>
      </c>
      <c r="L25" s="9" t="n">
        <f aca="false">TDIST(ABS(B25/K25),$O$23-1,2)</f>
        <v>0.147818312932366</v>
      </c>
      <c r="N25" s="6" t="s">
        <v>64</v>
      </c>
      <c r="O25" s="7" t="n">
        <v>0.0524</v>
      </c>
    </row>
    <row r="26" customFormat="false" ht="15" hidden="false" customHeight="false" outlineLevel="0" collapsed="false">
      <c r="A26" s="14" t="s">
        <v>74</v>
      </c>
      <c r="B26" s="15" t="n">
        <v>0.6384</v>
      </c>
      <c r="C26" s="15" t="n">
        <v>0.4227</v>
      </c>
      <c r="D26" s="16" t="n">
        <f aca="false">B26/C26</f>
        <v>1.51029098651526</v>
      </c>
      <c r="E26" s="16" t="n">
        <f aca="false">TDIST(ABS(D26),$O$21-1,2)</f>
        <v>0.133433892940531</v>
      </c>
      <c r="F26" s="17" t="str">
        <f aca="false">IF(E26&lt;0.01,"***",IF(E26&lt;0.05,"**",IF(E26&lt;0.1,"*","")))</f>
        <v/>
      </c>
      <c r="G26" s="16" t="n">
        <f aca="false">B26-$O$29*C26</f>
        <v>-0.197984168226454</v>
      </c>
      <c r="H26" s="16" t="n">
        <f aca="false">B26+$O$29*C26</f>
        <v>1.47478416822645</v>
      </c>
      <c r="I26" s="15" t="n">
        <v>0.3238</v>
      </c>
      <c r="J26" s="16" t="n">
        <f aca="false">TDIST(ABS(B26/I26),$O$22-1,2)</f>
        <v>0.0516940698165088</v>
      </c>
      <c r="K26" s="15" t="n">
        <v>0.39</v>
      </c>
      <c r="L26" s="16" t="n">
        <f aca="false">TDIST(ABS(B26/K26),$O$23-1,2)</f>
        <v>0.105727471217932</v>
      </c>
      <c r="N26" s="6" t="s">
        <v>18</v>
      </c>
      <c r="O26" s="7" t="n">
        <v>41</v>
      </c>
    </row>
    <row r="27" customFormat="false" ht="15" hidden="false" customHeight="false" outlineLevel="0" collapsed="false">
      <c r="N27" s="6" t="s">
        <v>67</v>
      </c>
      <c r="O27" s="7" t="n">
        <v>308</v>
      </c>
    </row>
    <row r="28" customFormat="false" ht="15" hidden="false" customHeight="false" outlineLevel="0" collapsed="false">
      <c r="N28" s="6" t="s">
        <v>69</v>
      </c>
      <c r="O28" s="7" t="n">
        <v>137</v>
      </c>
    </row>
    <row r="29" customFormat="false" ht="15" hidden="false" customHeight="false" outlineLevel="0" collapsed="false">
      <c r="A29" s="4" t="s">
        <v>32</v>
      </c>
      <c r="N29" s="6" t="s">
        <v>71</v>
      </c>
      <c r="O29" s="6" t="n">
        <f aca="false">TINV(0.05,$O$21-1)</f>
        <v>1.97867084983784</v>
      </c>
    </row>
    <row r="30" customFormat="false" ht="15" hidden="false" customHeight="false" outlineLevel="0" collapsed="false">
      <c r="A30" s="12" t="s">
        <v>76</v>
      </c>
    </row>
    <row r="31" customFormat="false" ht="23.85" hidden="false" customHeight="false" outlineLevel="0" collapsed="false">
      <c r="A31" s="13" t="s">
        <v>44</v>
      </c>
      <c r="B31" s="13" t="s">
        <v>45</v>
      </c>
      <c r="C31" s="13" t="s">
        <v>46</v>
      </c>
      <c r="D31" s="13" t="s">
        <v>47</v>
      </c>
      <c r="E31" s="13" t="s">
        <v>48</v>
      </c>
      <c r="F31" s="13" t="s">
        <v>28</v>
      </c>
      <c r="G31" s="13" t="s">
        <v>49</v>
      </c>
      <c r="H31" s="13" t="s">
        <v>50</v>
      </c>
      <c r="I31" s="13" t="s">
        <v>51</v>
      </c>
      <c r="J31" s="13" t="s">
        <v>52</v>
      </c>
      <c r="K31" s="13" t="s">
        <v>53</v>
      </c>
      <c r="L31" s="13" t="s">
        <v>54</v>
      </c>
      <c r="N31" s="6" t="s">
        <v>55</v>
      </c>
      <c r="O31" s="7" t="n">
        <v>679</v>
      </c>
    </row>
    <row r="32" customFormat="false" ht="15" hidden="false" customHeight="false" outlineLevel="0" collapsed="false">
      <c r="A32" s="6" t="s">
        <v>56</v>
      </c>
      <c r="B32" s="8" t="n">
        <v>-0.9221</v>
      </c>
      <c r="C32" s="8" t="n">
        <v>0.4975</v>
      </c>
      <c r="D32" s="9" t="n">
        <f aca="false">B32/C32</f>
        <v>-1.85346733668342</v>
      </c>
      <c r="E32" s="9" t="n">
        <f aca="false">TDIST(ABS(D32),$O$32-1,2)</f>
        <v>0.0667634961348942</v>
      </c>
      <c r="F32" s="6" t="str">
        <f aca="false">IF(E32&lt;0.01,"***",IF(E32&lt;0.05,"**",IF(E32&lt;0.1,"*","")))</f>
        <v>*</v>
      </c>
      <c r="G32" s="9" t="n">
        <f aca="false">B32-$O$40*C32</f>
        <v>-1.90912583046547</v>
      </c>
      <c r="H32" s="9" t="n">
        <f aca="false">B32+$O$40*C32</f>
        <v>0.0649258304654694</v>
      </c>
      <c r="I32" s="8" t="n">
        <v>0.5492</v>
      </c>
      <c r="J32" s="9" t="n">
        <f aca="false">TDIST(ABS(B32/I32),$O$33-1,2)</f>
        <v>0.0978832643034459</v>
      </c>
      <c r="K32" s="8" t="n">
        <v>0.6311</v>
      </c>
      <c r="L32" s="9" t="n">
        <f aca="false">TDIST(ABS(B32/K32),$O$34-1,2)</f>
        <v>0.149782823787097</v>
      </c>
      <c r="N32" s="6" t="s">
        <v>19</v>
      </c>
      <c r="O32" s="7" t="n">
        <v>101</v>
      </c>
    </row>
    <row r="33" customFormat="false" ht="15" hidden="false" customHeight="false" outlineLevel="0" collapsed="false">
      <c r="A33" s="6" t="s">
        <v>57</v>
      </c>
      <c r="B33" s="8" t="n">
        <v>-0.6348</v>
      </c>
      <c r="C33" s="8" t="n">
        <v>0.4299</v>
      </c>
      <c r="D33" s="9" t="n">
        <f aca="false">B33/C33</f>
        <v>-1.47662247034194</v>
      </c>
      <c r="E33" s="9" t="n">
        <f aca="false">TDIST(ABS(D33),$O$32-1,2)</f>
        <v>0.142919107027723</v>
      </c>
      <c r="F33" s="6" t="str">
        <f aca="false">IF(E33&lt;0.01,"***",IF(E33&lt;0.05,"**",IF(E33&lt;0.1,"*","")))</f>
        <v/>
      </c>
      <c r="G33" s="9" t="n">
        <f aca="false">B33-$O$40*C33</f>
        <v>-1.48770935581328</v>
      </c>
      <c r="H33" s="9" t="n">
        <f aca="false">B33+$O$40*C33</f>
        <v>0.218109355813277</v>
      </c>
      <c r="I33" s="8" t="n">
        <v>0.4063</v>
      </c>
      <c r="J33" s="9" t="n">
        <f aca="false">TDIST(ABS(B33/I33),$O$33-1,2)</f>
        <v>0.122978184855573</v>
      </c>
      <c r="K33" s="8" t="n">
        <v>0.4879</v>
      </c>
      <c r="L33" s="9" t="n">
        <f aca="false">TDIST(ABS(B33/K33),$O$34-1,2)</f>
        <v>0.1987533156803</v>
      </c>
      <c r="N33" s="6" t="s">
        <v>58</v>
      </c>
      <c r="O33" s="7" t="n">
        <v>67</v>
      </c>
    </row>
    <row r="34" customFormat="false" ht="15" hidden="false" customHeight="false" outlineLevel="0" collapsed="false">
      <c r="A34" s="6" t="s">
        <v>59</v>
      </c>
      <c r="B34" s="8" t="n">
        <v>-0.2774</v>
      </c>
      <c r="C34" s="8" t="n">
        <v>0.3753</v>
      </c>
      <c r="D34" s="9" t="n">
        <f aca="false">B34/C34</f>
        <v>-0.739142019717559</v>
      </c>
      <c r="E34" s="9" t="n">
        <f aca="false">TDIST(ABS(D34),$O$32-1,2)</f>
        <v>0.461552227242893</v>
      </c>
      <c r="F34" s="6" t="str">
        <f aca="false">IF(E34&lt;0.01,"***",IF(E34&lt;0.05,"**",IF(E34&lt;0.1,"*","")))</f>
        <v/>
      </c>
      <c r="G34" s="9" t="n">
        <f aca="false">B34-$O$40*C34</f>
        <v>-1.02198451090189</v>
      </c>
      <c r="H34" s="9" t="n">
        <f aca="false">B34+$O$40*C34</f>
        <v>0.467184510901891</v>
      </c>
      <c r="I34" s="8" t="n">
        <v>0.3505</v>
      </c>
      <c r="J34" s="9" t="n">
        <f aca="false">TDIST(ABS(B34/I34),$O$33-1,2)</f>
        <v>0.431521967171787</v>
      </c>
      <c r="K34" s="8" t="n">
        <v>0.3857</v>
      </c>
      <c r="L34" s="9" t="n">
        <f aca="false">TDIST(ABS(B34/K34),$O$34-1,2)</f>
        <v>0.47511147033922</v>
      </c>
      <c r="N34" s="6" t="s">
        <v>60</v>
      </c>
      <c r="O34" s="7" t="n">
        <v>55</v>
      </c>
    </row>
    <row r="35" customFormat="false" ht="15" hidden="false" customHeight="false" outlineLevel="0" collapsed="false">
      <c r="A35" s="6" t="s">
        <v>61</v>
      </c>
      <c r="B35" s="8" t="n">
        <v>-3.5436</v>
      </c>
      <c r="C35" s="8" t="n">
        <v>1.5725</v>
      </c>
      <c r="D35" s="9" t="n">
        <f aca="false">B35/C35</f>
        <v>-2.25348171701113</v>
      </c>
      <c r="E35" s="9" t="n">
        <f aca="false">TDIST(ABS(D35),$O$32-1,2)</f>
        <v>0.0264119966627531</v>
      </c>
      <c r="F35" s="6" t="str">
        <f aca="false">IF(E35&lt;0.01,"***",IF(E35&lt;0.05,"**",IF(E35&lt;0.1,"*","")))</f>
        <v>**</v>
      </c>
      <c r="G35" s="9" t="n">
        <f aca="false">B35-$O$40*C35</f>
        <v>-6.66339521287829</v>
      </c>
      <c r="H35" s="9" t="n">
        <f aca="false">B35+$O$40*C35</f>
        <v>-0.423804787121707</v>
      </c>
      <c r="I35" s="8" t="n">
        <v>1.5978</v>
      </c>
      <c r="J35" s="9" t="n">
        <f aca="false">TDIST(ABS(B35/I35),$O$33-1,2)</f>
        <v>0.0300156944918836</v>
      </c>
      <c r="K35" s="8" t="n">
        <v>1.5082</v>
      </c>
      <c r="L35" s="9" t="n">
        <f aca="false">TDIST(ABS(B35/K35),$O$34-1,2)</f>
        <v>0.0224824209749724</v>
      </c>
      <c r="N35" s="6" t="s">
        <v>62</v>
      </c>
      <c r="O35" s="7" t="n">
        <v>0.2393</v>
      </c>
    </row>
    <row r="36" customFormat="false" ht="15" hidden="false" customHeight="false" outlineLevel="0" collapsed="false">
      <c r="A36" s="6" t="s">
        <v>63</v>
      </c>
      <c r="B36" s="8" t="n">
        <v>0.476</v>
      </c>
      <c r="C36" s="8" t="n">
        <v>3.7646</v>
      </c>
      <c r="D36" s="9" t="n">
        <f aca="false">B36/C36</f>
        <v>0.126441056154704</v>
      </c>
      <c r="E36" s="9" t="n">
        <f aca="false">TDIST(ABS(D36),$O$32-1,2)</f>
        <v>0.899636685084029</v>
      </c>
      <c r="F36" s="6" t="str">
        <f aca="false">IF(E36&lt;0.01,"***",IF(E36&lt;0.05,"**",IF(E36&lt;0.1,"*","")))</f>
        <v/>
      </c>
      <c r="G36" s="9" t="n">
        <f aca="false">B36-$O$40*C36</f>
        <v>-6.99285917863378</v>
      </c>
      <c r="H36" s="9" t="n">
        <f aca="false">B36+$O$40*C36</f>
        <v>7.94485917863378</v>
      </c>
      <c r="I36" s="8" t="n">
        <v>2.8614</v>
      </c>
      <c r="J36" s="9" t="n">
        <f aca="false">TDIST(ABS(B36/I36),$O$33-1,2)</f>
        <v>0.86838841524312</v>
      </c>
      <c r="K36" s="8" t="n">
        <v>3.3332</v>
      </c>
      <c r="L36" s="9" t="n">
        <f aca="false">TDIST(ABS(B36/K36),$O$34-1,2)</f>
        <v>0.886975155268984</v>
      </c>
      <c r="N36" s="6" t="s">
        <v>64</v>
      </c>
      <c r="O36" s="7" t="n">
        <v>0.0419</v>
      </c>
    </row>
    <row r="37" customFormat="false" ht="15" hidden="false" customHeight="false" outlineLevel="0" collapsed="false">
      <c r="A37" s="6" t="s">
        <v>65</v>
      </c>
      <c r="B37" s="8" t="n">
        <v>45.6986</v>
      </c>
      <c r="C37" s="8" t="n">
        <v>41.7061</v>
      </c>
      <c r="D37" s="9" t="n">
        <f aca="false">B37/C37</f>
        <v>1.09572940169424</v>
      </c>
      <c r="E37" s="9" t="n">
        <f aca="false">TDIST(ABS(D37),$O$32-1,2)</f>
        <v>0.275829122798527</v>
      </c>
      <c r="F37" s="6" t="str">
        <f aca="false">IF(E37&lt;0.01,"***",IF(E37&lt;0.05,"**",IF(E37&lt;0.1,"*","")))</f>
        <v/>
      </c>
      <c r="G37" s="9" t="n">
        <f aca="false">B37-$O$40*C37</f>
        <v>-37.0451145486953</v>
      </c>
      <c r="H37" s="9" t="n">
        <f aca="false">B37+$O$40*C37</f>
        <v>128.442314548695</v>
      </c>
      <c r="I37" s="8" t="n">
        <v>37.2137</v>
      </c>
      <c r="J37" s="9" t="n">
        <f aca="false">TDIST(ABS(B37/I37),$O$33-1,2)</f>
        <v>0.223806645688258</v>
      </c>
      <c r="K37" s="8" t="n">
        <v>40.5791</v>
      </c>
      <c r="L37" s="9" t="n">
        <f aca="false">TDIST(ABS(B37/K37),$O$34-1,2)</f>
        <v>0.26507741193171</v>
      </c>
      <c r="N37" s="6" t="s">
        <v>18</v>
      </c>
      <c r="O37" s="7" t="n">
        <v>41</v>
      </c>
    </row>
    <row r="38" customFormat="false" ht="15" hidden="false" customHeight="false" outlineLevel="0" collapsed="false">
      <c r="A38" s="6" t="s">
        <v>68</v>
      </c>
      <c r="B38" s="8" t="n">
        <v>0.0108</v>
      </c>
      <c r="C38" s="8" t="n">
        <v>0.029</v>
      </c>
      <c r="D38" s="9" t="n">
        <f aca="false">B38/C38</f>
        <v>0.372413793103448</v>
      </c>
      <c r="E38" s="9" t="n">
        <f aca="false">TDIST(ABS(D38),$O$32-1,2)</f>
        <v>0.710372887057032</v>
      </c>
      <c r="F38" s="6" t="str">
        <f aca="false">IF(E38&lt;0.01,"***",IF(E38&lt;0.05,"**",IF(E38&lt;0.1,"*","")))</f>
        <v/>
      </c>
      <c r="G38" s="9" t="n">
        <f aca="false">B38-$O$40*C38</f>
        <v>-0.0467351740371832</v>
      </c>
      <c r="H38" s="9" t="n">
        <f aca="false">B38+$O$40*C38</f>
        <v>0.0683351740371831</v>
      </c>
      <c r="I38" s="8" t="n">
        <v>0.0236</v>
      </c>
      <c r="J38" s="9" t="n">
        <f aca="false">TDIST(ABS(B38/I38),$O$33-1,2)</f>
        <v>0.648723344615895</v>
      </c>
      <c r="K38" s="8" t="n">
        <v>0.0249</v>
      </c>
      <c r="L38" s="9" t="n">
        <f aca="false">TDIST(ABS(B38/K38),$O$34-1,2)</f>
        <v>0.666208856842751</v>
      </c>
      <c r="N38" s="6" t="s">
        <v>67</v>
      </c>
      <c r="O38" s="7" t="n">
        <v>308</v>
      </c>
    </row>
    <row r="39" customFormat="false" ht="15" hidden="false" customHeight="false" outlineLevel="0" collapsed="false">
      <c r="A39" s="6" t="s">
        <v>70</v>
      </c>
      <c r="B39" s="8" t="n">
        <v>0.0284</v>
      </c>
      <c r="C39" s="8" t="n">
        <v>0.0315</v>
      </c>
      <c r="D39" s="9" t="n">
        <f aca="false">B39/C39</f>
        <v>0.901587301587302</v>
      </c>
      <c r="E39" s="9" t="n">
        <f aca="false">TDIST(ABS(D39),$O$32-1,2)</f>
        <v>0.369442506200913</v>
      </c>
      <c r="F39" s="6" t="str">
        <f aca="false">IF(E39&lt;0.01,"***",IF(E39&lt;0.05,"**",IF(E39&lt;0.1,"*","")))</f>
        <v/>
      </c>
      <c r="G39" s="9" t="n">
        <f aca="false">B39-$O$40*C39</f>
        <v>-0.034095102833492</v>
      </c>
      <c r="H39" s="9" t="n">
        <f aca="false">B39+$O$40*C39</f>
        <v>0.090895102833492</v>
      </c>
      <c r="I39" s="8" t="n">
        <v>0.0326</v>
      </c>
      <c r="J39" s="9" t="n">
        <f aca="false">TDIST(ABS(B39/I39),$O$33-1,2)</f>
        <v>0.386821581016851</v>
      </c>
      <c r="K39" s="8" t="n">
        <v>0.0375</v>
      </c>
      <c r="L39" s="9" t="n">
        <f aca="false">TDIST(ABS(B39/K39),$O$34-1,2)</f>
        <v>0.452142291950675</v>
      </c>
      <c r="N39" s="6" t="s">
        <v>69</v>
      </c>
      <c r="O39" s="7" t="n">
        <v>137</v>
      </c>
    </row>
    <row r="40" customFormat="false" ht="15" hidden="false" customHeight="false" outlineLevel="0" collapsed="false">
      <c r="A40" s="6" t="s">
        <v>72</v>
      </c>
      <c r="B40" s="8" t="n">
        <v>-0.2389</v>
      </c>
      <c r="C40" s="8" t="n">
        <v>0.2719</v>
      </c>
      <c r="D40" s="9" t="n">
        <f aca="false">B40/C40</f>
        <v>-0.878631849944833</v>
      </c>
      <c r="E40" s="9" t="n">
        <f aca="false">TDIST(ABS(D40),$O$32-1,2)</f>
        <v>0.381707236022221</v>
      </c>
      <c r="F40" s="6" t="str">
        <f aca="false">IF(E40&lt;0.01,"***",IF(E40&lt;0.05,"**",IF(E40&lt;0.1,"*","")))</f>
        <v/>
      </c>
      <c r="G40" s="9" t="n">
        <f aca="false">B40-$O$40*C40</f>
        <v>-0.778341855886555</v>
      </c>
      <c r="H40" s="9" t="n">
        <f aca="false">B40+$O$40*C40</f>
        <v>0.300541855886555</v>
      </c>
      <c r="I40" s="8" t="n">
        <v>0.2643</v>
      </c>
      <c r="J40" s="9" t="n">
        <f aca="false">TDIST(ABS(B40/I40),$O$33-1,2)</f>
        <v>0.369337472326685</v>
      </c>
      <c r="K40" s="8" t="n">
        <v>0.2791</v>
      </c>
      <c r="L40" s="9" t="n">
        <f aca="false">TDIST(ABS(B40/K40),$O$34-1,2)</f>
        <v>0.395799143038526</v>
      </c>
      <c r="N40" s="6" t="s">
        <v>71</v>
      </c>
      <c r="O40" s="6" t="n">
        <f aca="false">TINV(0.05,$O$32-1)</f>
        <v>1.98397151852356</v>
      </c>
    </row>
    <row r="41" customFormat="false" ht="15" hidden="false" customHeight="false" outlineLevel="0" collapsed="false">
      <c r="A41" s="6" t="s">
        <v>73</v>
      </c>
      <c r="B41" s="8" t="n">
        <v>0.0978</v>
      </c>
      <c r="C41" s="8" t="n">
        <v>0.3293</v>
      </c>
      <c r="D41" s="9" t="n">
        <f aca="false">B41/C41</f>
        <v>0.296993622836319</v>
      </c>
      <c r="E41" s="9" t="n">
        <f aca="false">TDIST(ABS(D41),$O$32-1,2)</f>
        <v>0.767087400746569</v>
      </c>
      <c r="F41" s="6" t="str">
        <f aca="false">IF(E41&lt;0.01,"***",IF(E41&lt;0.05,"**",IF(E41&lt;0.1,"*","")))</f>
        <v/>
      </c>
      <c r="G41" s="9" t="n">
        <f aca="false">B41-$O$40*C41</f>
        <v>-0.555521821049807</v>
      </c>
      <c r="H41" s="9" t="n">
        <f aca="false">B41+$O$40*C41</f>
        <v>0.751121821049807</v>
      </c>
      <c r="I41" s="8" t="n">
        <v>0.3402</v>
      </c>
      <c r="J41" s="9" t="n">
        <f aca="false">TDIST(ABS(B41/I41),$O$33-1,2)</f>
        <v>0.774647097940175</v>
      </c>
      <c r="K41" s="8" t="n">
        <v>0.3742</v>
      </c>
      <c r="L41" s="9" t="n">
        <f aca="false">TDIST(ABS(B41/K41),$O$34-1,2)</f>
        <v>0.794811048139424</v>
      </c>
    </row>
    <row r="42" customFormat="false" ht="15" hidden="false" customHeight="false" outlineLevel="0" collapsed="false">
      <c r="A42" s="14" t="s">
        <v>74</v>
      </c>
      <c r="B42" s="15" t="n">
        <v>-0.3574</v>
      </c>
      <c r="C42" s="15" t="n">
        <v>0.5171</v>
      </c>
      <c r="D42" s="16" t="n">
        <f aca="false">B42/C42</f>
        <v>-0.691162251015278</v>
      </c>
      <c r="E42" s="16" t="n">
        <f aca="false">TDIST(ABS(D42),$O$32-1,2)</f>
        <v>0.491064965756025</v>
      </c>
      <c r="F42" s="17" t="str">
        <f aca="false">IF(E42&lt;0.01,"***",IF(E42&lt;0.05,"**",IF(E42&lt;0.1,"*","")))</f>
        <v/>
      </c>
      <c r="G42" s="16" t="n">
        <f aca="false">B42-$O$40*C42</f>
        <v>-1.38331167222853</v>
      </c>
      <c r="H42" s="16" t="n">
        <f aca="false">B42+$O$40*C42</f>
        <v>0.668511672228531</v>
      </c>
      <c r="I42" s="15" t="n">
        <v>0.4867</v>
      </c>
      <c r="J42" s="16" t="n">
        <f aca="false">TDIST(ABS(B42/I42),$O$33-1,2)</f>
        <v>0.465346629179879</v>
      </c>
      <c r="K42" s="15" t="n">
        <v>0.6055</v>
      </c>
      <c r="L42" s="16" t="n">
        <f aca="false">TDIST(ABS(B42/K42),$O$34-1,2)</f>
        <v>0.557481190843389</v>
      </c>
    </row>
    <row r="45" customFormat="false" ht="15" hidden="false" customHeight="false" outlineLevel="0" collapsed="false">
      <c r="A45" s="4" t="s">
        <v>33</v>
      </c>
    </row>
    <row r="46" customFormat="false" ht="15" hidden="false" customHeight="false" outlineLevel="0" collapsed="false">
      <c r="A46" s="12" t="s">
        <v>77</v>
      </c>
    </row>
    <row r="47" customFormat="false" ht="23.85" hidden="false" customHeight="false" outlineLevel="0" collapsed="false">
      <c r="A47" s="13" t="s">
        <v>44</v>
      </c>
      <c r="B47" s="13" t="s">
        <v>45</v>
      </c>
      <c r="C47" s="13" t="s">
        <v>46</v>
      </c>
      <c r="D47" s="13" t="s">
        <v>47</v>
      </c>
      <c r="E47" s="13" t="s">
        <v>48</v>
      </c>
      <c r="F47" s="13" t="s">
        <v>28</v>
      </c>
      <c r="G47" s="13" t="s">
        <v>49</v>
      </c>
      <c r="H47" s="13" t="s">
        <v>50</v>
      </c>
      <c r="I47" s="13" t="s">
        <v>51</v>
      </c>
      <c r="J47" s="13" t="s">
        <v>52</v>
      </c>
      <c r="K47" s="13" t="s">
        <v>53</v>
      </c>
      <c r="L47" s="13" t="s">
        <v>54</v>
      </c>
      <c r="N47" s="6" t="s">
        <v>55</v>
      </c>
      <c r="O47" s="7" t="n">
        <v>754</v>
      </c>
    </row>
    <row r="48" customFormat="false" ht="15" hidden="false" customHeight="false" outlineLevel="0" collapsed="false">
      <c r="A48" s="6" t="s">
        <v>57</v>
      </c>
      <c r="B48" s="8" t="n">
        <v>-0.6644</v>
      </c>
      <c r="C48" s="8" t="n">
        <v>0.4685</v>
      </c>
      <c r="D48" s="9" t="n">
        <f aca="false">B48/C48</f>
        <v>-1.41814300960512</v>
      </c>
      <c r="E48" s="9" t="n">
        <f aca="false">TDIST(ABS(D48),$O$48-1,2)</f>
        <v>0.159257818938665</v>
      </c>
      <c r="F48" s="6" t="str">
        <f aca="false">IF(E48&lt;0.01,"***",IF(E48&lt;0.05,"**",IF(E48&lt;0.1,"*","")))</f>
        <v/>
      </c>
      <c r="G48" s="9" t="n">
        <f aca="false">B48-$O$56*C48</f>
        <v>-1.59389065642829</v>
      </c>
      <c r="H48" s="9" t="n">
        <f aca="false">B48+$O$56*C48</f>
        <v>0.265090656428286</v>
      </c>
      <c r="I48" s="8" t="n">
        <v>0.4114</v>
      </c>
      <c r="J48" s="9" t="n">
        <f aca="false">TDIST(ABS(B48/I48),$O$49-1,2)</f>
        <v>0.110690596685204</v>
      </c>
      <c r="K48" s="8" t="n">
        <v>0.4259</v>
      </c>
      <c r="L48" s="9" t="n">
        <f aca="false">TDIST(ABS(B48/K48),$O$50-1,2)</f>
        <v>0.124021614888854</v>
      </c>
      <c r="N48" s="6" t="s">
        <v>19</v>
      </c>
      <c r="O48" s="7" t="n">
        <v>101</v>
      </c>
    </row>
    <row r="49" customFormat="false" ht="15" hidden="false" customHeight="false" outlineLevel="0" collapsed="false">
      <c r="A49" s="6" t="s">
        <v>59</v>
      </c>
      <c r="B49" s="8" t="n">
        <v>-1.1107</v>
      </c>
      <c r="C49" s="8" t="n">
        <v>0.5461</v>
      </c>
      <c r="D49" s="9" t="n">
        <f aca="false">B49/C49</f>
        <v>-2.03387657938107</v>
      </c>
      <c r="E49" s="9" t="n">
        <f aca="false">TDIST(ABS(D49),$O$48-1,2)</f>
        <v>0.0446123037216449</v>
      </c>
      <c r="F49" s="6" t="str">
        <f aca="false">IF(E49&lt;0.01,"***",IF(E49&lt;0.05,"**",IF(E49&lt;0.1,"*","")))</f>
        <v>**</v>
      </c>
      <c r="G49" s="9" t="n">
        <f aca="false">B49-$O$56*C49</f>
        <v>-2.19414684626571</v>
      </c>
      <c r="H49" s="9" t="n">
        <f aca="false">B49+$O$56*C49</f>
        <v>-0.0272531537342857</v>
      </c>
      <c r="I49" s="8" t="n">
        <v>0.4218</v>
      </c>
      <c r="J49" s="9" t="n">
        <f aca="false">TDIST(ABS(B49/I49),$O$49-1,2)</f>
        <v>0.0103444371738111</v>
      </c>
      <c r="K49" s="8" t="n">
        <v>0.433</v>
      </c>
      <c r="L49" s="9" t="n">
        <f aca="false">TDIST(ABS(B49/K49),$O$50-1,2)</f>
        <v>0.0128321120105914</v>
      </c>
      <c r="N49" s="6" t="s">
        <v>58</v>
      </c>
      <c r="O49" s="7" t="n">
        <v>73</v>
      </c>
    </row>
    <row r="50" customFormat="false" ht="15" hidden="false" customHeight="false" outlineLevel="0" collapsed="false">
      <c r="A50" s="6" t="s">
        <v>61</v>
      </c>
      <c r="B50" s="8" t="n">
        <v>-10.1308</v>
      </c>
      <c r="C50" s="8" t="n">
        <v>4.0455</v>
      </c>
      <c r="D50" s="9" t="n">
        <f aca="false">B50/C50</f>
        <v>-2.50421455938697</v>
      </c>
      <c r="E50" s="9" t="n">
        <f aca="false">TDIST(ABS(D50),$O$48-1,2)</f>
        <v>0.0138895387890357</v>
      </c>
      <c r="F50" s="6" t="str">
        <f aca="false">IF(E50&lt;0.01,"***",IF(E50&lt;0.05,"**",IF(E50&lt;0.1,"*","")))</f>
        <v>**</v>
      </c>
      <c r="G50" s="9" t="n">
        <f aca="false">B50-$O$56*C50</f>
        <v>-18.1569567781871</v>
      </c>
      <c r="H50" s="9" t="n">
        <f aca="false">B50+$O$56*C50</f>
        <v>-2.10464322181295</v>
      </c>
      <c r="I50" s="8" t="n">
        <v>3.0833</v>
      </c>
      <c r="J50" s="9" t="n">
        <f aca="false">TDIST(ABS(B50/I50),$O$49-1,2)</f>
        <v>0.00157355637710172</v>
      </c>
      <c r="K50" s="8" t="n">
        <v>3.1116</v>
      </c>
      <c r="L50" s="9" t="n">
        <f aca="false">TDIST(ABS(B50/K50),$O$50-1,2)</f>
        <v>0.00186129971531319</v>
      </c>
      <c r="N50" s="6" t="s">
        <v>60</v>
      </c>
      <c r="O50" s="7" t="n">
        <v>61</v>
      </c>
    </row>
    <row r="51" customFormat="false" ht="15" hidden="false" customHeight="false" outlineLevel="0" collapsed="false">
      <c r="A51" s="6" t="s">
        <v>63</v>
      </c>
      <c r="B51" s="8" t="n">
        <v>7.0227</v>
      </c>
      <c r="C51" s="8" t="n">
        <v>6.0105</v>
      </c>
      <c r="D51" s="9" t="n">
        <f aca="false">B51/C51</f>
        <v>1.1684052907412</v>
      </c>
      <c r="E51" s="9" t="n">
        <f aca="false">TDIST(ABS(D51),$O$48-1,2)</f>
        <v>0.245421271919671</v>
      </c>
      <c r="F51" s="6" t="str">
        <f aca="false">IF(E51&lt;0.01,"***",IF(E51&lt;0.05,"**",IF(E51&lt;0.1,"*","")))</f>
        <v/>
      </c>
      <c r="G51" s="9" t="n">
        <f aca="false">B51-$O$56*C51</f>
        <v>-4.90196081208584</v>
      </c>
      <c r="H51" s="9" t="n">
        <f aca="false">B51+$O$56*C51</f>
        <v>18.9473608120858</v>
      </c>
      <c r="I51" s="8" t="n">
        <v>4.492</v>
      </c>
      <c r="J51" s="9" t="n">
        <f aca="false">TDIST(ABS(B51/I51),$O$49-1,2)</f>
        <v>0.122348345632006</v>
      </c>
      <c r="K51" s="8" t="n">
        <v>4.5651</v>
      </c>
      <c r="L51" s="9" t="n">
        <f aca="false">TDIST(ABS(B51/K51),$O$50-1,2)</f>
        <v>0.129221653566825</v>
      </c>
      <c r="N51" s="6" t="s">
        <v>62</v>
      </c>
      <c r="O51" s="7" t="n">
        <v>0.3748</v>
      </c>
    </row>
    <row r="52" customFormat="false" ht="15" hidden="false" customHeight="false" outlineLevel="0" collapsed="false">
      <c r="A52" s="6" t="s">
        <v>65</v>
      </c>
      <c r="B52" s="8" t="n">
        <v>68.9651</v>
      </c>
      <c r="C52" s="8" t="n">
        <v>55.3125</v>
      </c>
      <c r="D52" s="9" t="n">
        <f aca="false">B52/C52</f>
        <v>1.24682666666667</v>
      </c>
      <c r="E52" s="9" t="n">
        <f aca="false">TDIST(ABS(D52),$O$48-1,2)</f>
        <v>0.21537356805915</v>
      </c>
      <c r="F52" s="6" t="str">
        <f aca="false">IF(E52&lt;0.01,"***",IF(E52&lt;0.05,"**",IF(E52&lt;0.1,"*","")))</f>
        <v/>
      </c>
      <c r="G52" s="9" t="n">
        <f aca="false">B52-$O$56*C52</f>
        <v>-40.7733246183342</v>
      </c>
      <c r="H52" s="9" t="n">
        <f aca="false">B52+$O$56*C52</f>
        <v>178.703524618334</v>
      </c>
      <c r="I52" s="8" t="n">
        <v>46.9075</v>
      </c>
      <c r="J52" s="9" t="n">
        <f aca="false">TDIST(ABS(B52/I52),$O$49-1,2)</f>
        <v>0.145854477346369</v>
      </c>
      <c r="K52" s="8" t="n">
        <v>48.8155</v>
      </c>
      <c r="L52" s="9" t="n">
        <f aca="false">TDIST(ABS(B52/K52),$O$50-1,2)</f>
        <v>0.162889679834627</v>
      </c>
      <c r="N52" s="6" t="s">
        <v>64</v>
      </c>
      <c r="O52" s="7" t="n">
        <v>0.0632</v>
      </c>
    </row>
    <row r="53" customFormat="false" ht="15" hidden="false" customHeight="false" outlineLevel="0" collapsed="false">
      <c r="A53" s="14" t="s">
        <v>74</v>
      </c>
      <c r="B53" s="15" t="n">
        <v>0.4463</v>
      </c>
      <c r="C53" s="15" t="n">
        <v>0.375</v>
      </c>
      <c r="D53" s="16" t="n">
        <f aca="false">B53/C53</f>
        <v>1.19013333333333</v>
      </c>
      <c r="E53" s="16" t="n">
        <f aca="false">TDIST(ABS(D53),$O$48-1,2)</f>
        <v>0.236811760723698</v>
      </c>
      <c r="F53" s="17" t="str">
        <f aca="false">IF(E53&lt;0.01,"***",IF(E53&lt;0.05,"**",IF(E53&lt;0.1,"*","")))</f>
        <v/>
      </c>
      <c r="G53" s="16" t="n">
        <f aca="false">B53-$O$56*C53</f>
        <v>-0.297689319446334</v>
      </c>
      <c r="H53" s="16" t="n">
        <f aca="false">B53+$O$56*C53</f>
        <v>1.19028931944633</v>
      </c>
      <c r="I53" s="15" t="n">
        <v>0.3377</v>
      </c>
      <c r="J53" s="16" t="n">
        <f aca="false">TDIST(ABS(B53/I53),$O$49-1,2)</f>
        <v>0.19048970477353</v>
      </c>
      <c r="K53" s="15" t="n">
        <v>0.3103</v>
      </c>
      <c r="L53" s="16" t="n">
        <f aca="false">TDIST(ABS(B53/K53),$O$50-1,2)</f>
        <v>0.155548897358998</v>
      </c>
      <c r="N53" s="6" t="s">
        <v>18</v>
      </c>
      <c r="O53" s="7" t="n">
        <v>41</v>
      </c>
    </row>
    <row r="54" customFormat="false" ht="15" hidden="false" customHeight="false" outlineLevel="0" collapsed="false">
      <c r="N54" s="6" t="s">
        <v>67</v>
      </c>
      <c r="O54" s="7" t="n">
        <v>308</v>
      </c>
    </row>
    <row r="55" customFormat="false" ht="15" hidden="false" customHeight="false" outlineLevel="0" collapsed="false">
      <c r="N55" s="6" t="s">
        <v>69</v>
      </c>
      <c r="O55" s="7" t="n">
        <v>137</v>
      </c>
    </row>
    <row r="56" customFormat="false" ht="15" hidden="false" customHeight="false" outlineLevel="0" collapsed="false">
      <c r="N56" s="6" t="s">
        <v>71</v>
      </c>
      <c r="O56" s="6" t="n">
        <f aca="false">TINV(0.05,$O$48-1)</f>
        <v>1.98397151852356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2"/>
    <col collapsed="false" customWidth="true" hidden="false" outlineLevel="0" max="3" min="3" style="0" width="10"/>
    <col collapsed="false" customWidth="true" hidden="false" outlineLevel="0" max="5" min="4" style="0" width="9"/>
    <col collapsed="false" customWidth="true" hidden="false" outlineLevel="0" max="6" min="6" style="0" width="6"/>
    <col collapsed="false" customWidth="true" hidden="false" outlineLevel="0" max="8" min="7" style="0" width="12"/>
    <col collapsed="false" customWidth="true" hidden="false" outlineLevel="0" max="9" min="9" style="0" width="10"/>
    <col collapsed="false" customWidth="true" hidden="false" outlineLevel="0" max="10" min="10" style="0" width="9"/>
    <col collapsed="false" customWidth="true" hidden="false" outlineLevel="0" max="11" min="11" style="0" width="11"/>
    <col collapsed="false" customWidth="true" hidden="false" outlineLevel="0" max="12" min="12" style="0" width="10"/>
    <col collapsed="false" customWidth="true" hidden="false" outlineLevel="0" max="13" min="13" style="0" width="3"/>
    <col collapsed="false" customWidth="true" hidden="false" outlineLevel="0" max="14" min="14" style="0" width="30"/>
    <col collapsed="false" customWidth="true" hidden="false" outlineLevel="0" max="15" min="15" style="0" width="12"/>
  </cols>
  <sheetData>
    <row r="1" customFormat="false" ht="15" hidden="false" customHeight="false" outlineLevel="0" collapsed="false">
      <c r="A1" s="4" t="s">
        <v>34</v>
      </c>
    </row>
    <row r="2" customFormat="false" ht="15" hidden="false" customHeight="false" outlineLevel="0" collapsed="false">
      <c r="A2" s="12" t="s">
        <v>78</v>
      </c>
    </row>
    <row r="3" customFormat="false" ht="23.85" hidden="false" customHeight="false" outlineLevel="0" collapsed="false">
      <c r="A3" s="13" t="s">
        <v>44</v>
      </c>
      <c r="B3" s="13" t="s">
        <v>45</v>
      </c>
      <c r="C3" s="13" t="s">
        <v>46</v>
      </c>
      <c r="D3" s="13" t="s">
        <v>47</v>
      </c>
      <c r="E3" s="13" t="s">
        <v>48</v>
      </c>
      <c r="F3" s="13" t="s">
        <v>28</v>
      </c>
      <c r="G3" s="13" t="s">
        <v>49</v>
      </c>
      <c r="H3" s="13" t="s">
        <v>50</v>
      </c>
      <c r="I3" s="13" t="s">
        <v>51</v>
      </c>
      <c r="J3" s="13" t="s">
        <v>52</v>
      </c>
      <c r="K3" s="13" t="s">
        <v>53</v>
      </c>
      <c r="L3" s="13" t="s">
        <v>54</v>
      </c>
      <c r="N3" s="6" t="s">
        <v>55</v>
      </c>
      <c r="O3" s="7" t="n">
        <v>842</v>
      </c>
    </row>
    <row r="4" customFormat="false" ht="15" hidden="false" customHeight="false" outlineLevel="0" collapsed="false">
      <c r="A4" s="6" t="s">
        <v>57</v>
      </c>
      <c r="B4" s="8" t="n">
        <v>0.1654</v>
      </c>
      <c r="C4" s="8" t="n">
        <v>0.4793</v>
      </c>
      <c r="D4" s="9" t="n">
        <f aca="false">B4/C4</f>
        <v>0.345086584602545</v>
      </c>
      <c r="E4" s="9" t="n">
        <f aca="false">TDIST(ABS(D4),$O$4-1,2)</f>
        <v>0.730834469205805</v>
      </c>
      <c r="F4" s="6" t="str">
        <f aca="false">IF(E4&lt;0.01,"***",IF(E4&lt;0.05,"**",IF(E4&lt;0.1,"*","")))</f>
        <v/>
      </c>
      <c r="G4" s="9" t="n">
        <f aca="false">B4-$O$12*C4</f>
        <v>-0.786813107359316</v>
      </c>
      <c r="H4" s="9" t="n">
        <f aca="false">B4+$O$12*C4</f>
        <v>1.11761310735932</v>
      </c>
      <c r="I4" s="8" t="n">
        <v>0.372</v>
      </c>
      <c r="J4" s="9" t="n">
        <f aca="false">TDIST(ABS(B4/I4),$O$5-1,2)</f>
        <v>0.657735255830663</v>
      </c>
      <c r="K4" s="8" t="n">
        <v>0.4594</v>
      </c>
      <c r="L4" s="9" t="n">
        <f aca="false">TDIST(ABS(B4/K4),$O$6-1,2)</f>
        <v>0.719905114263503</v>
      </c>
      <c r="N4" s="6" t="s">
        <v>19</v>
      </c>
      <c r="O4" s="7" t="n">
        <v>91</v>
      </c>
    </row>
    <row r="5" customFormat="false" ht="15" hidden="false" customHeight="false" outlineLevel="0" collapsed="false">
      <c r="A5" s="6" t="s">
        <v>59</v>
      </c>
      <c r="B5" s="8" t="n">
        <v>-0.7792</v>
      </c>
      <c r="C5" s="8" t="n">
        <v>0.3986</v>
      </c>
      <c r="D5" s="9" t="n">
        <f aca="false">B5/C5</f>
        <v>-1.95484194681385</v>
      </c>
      <c r="E5" s="9" t="n">
        <f aca="false">TDIST(ABS(D5),$O$4-1,2)</f>
        <v>0.0537050747800688</v>
      </c>
      <c r="F5" s="6" t="str">
        <f aca="false">IF(E5&lt;0.01,"***",IF(E5&lt;0.05,"**",IF(E5&lt;0.1,"*","")))</f>
        <v>*</v>
      </c>
      <c r="G5" s="9" t="n">
        <f aca="false">B5-$O$12*C5</f>
        <v>-1.57108847192452</v>
      </c>
      <c r="H5" s="9" t="n">
        <f aca="false">B5+$O$12*C5</f>
        <v>0.0126884719245217</v>
      </c>
      <c r="I5" s="8" t="n">
        <v>0.3022</v>
      </c>
      <c r="J5" s="9" t="n">
        <f aca="false">TDIST(ABS(B5/I5),$O$5-1,2)</f>
        <v>0.0116684729004008</v>
      </c>
      <c r="K5" s="8" t="n">
        <v>0.3304</v>
      </c>
      <c r="L5" s="9" t="n">
        <f aca="false">TDIST(ABS(B5/K5),$O$6-1,2)</f>
        <v>0.0211538146783854</v>
      </c>
      <c r="N5" s="6" t="s">
        <v>58</v>
      </c>
      <c r="O5" s="7" t="n">
        <v>85</v>
      </c>
    </row>
    <row r="6" customFormat="false" ht="15" hidden="false" customHeight="false" outlineLevel="0" collapsed="false">
      <c r="A6" s="6" t="s">
        <v>61</v>
      </c>
      <c r="B6" s="8" t="n">
        <v>-7.1292</v>
      </c>
      <c r="C6" s="8" t="n">
        <v>1.9366</v>
      </c>
      <c r="D6" s="9" t="n">
        <f aca="false">B6/C6</f>
        <v>-3.68129711866157</v>
      </c>
      <c r="E6" s="9" t="n">
        <f aca="false">TDIST(ABS(D6),$O$4-1,2)</f>
        <v>0.000395228048443962</v>
      </c>
      <c r="F6" s="6" t="str">
        <f aca="false">IF(E6&lt;0.01,"***",IF(E6&lt;0.05,"**",IF(E6&lt;0.1,"*","")))</f>
        <v>***</v>
      </c>
      <c r="G6" s="9" t="n">
        <f aca="false">B6-$O$12*C6</f>
        <v>-10.9765939155269</v>
      </c>
      <c r="H6" s="9" t="n">
        <f aca="false">B6+$O$12*C6</f>
        <v>-3.28180608447308</v>
      </c>
      <c r="I6" s="8" t="n">
        <v>1.9726</v>
      </c>
      <c r="J6" s="9" t="n">
        <f aca="false">TDIST(ABS(B6/I6),$O$5-1,2)</f>
        <v>0.000512549389164502</v>
      </c>
      <c r="K6" s="8" t="n">
        <v>1.9182</v>
      </c>
      <c r="L6" s="9" t="n">
        <f aca="false">TDIST(ABS(B6/K6),$O$6-1,2)</f>
        <v>0.000402988973962539</v>
      </c>
      <c r="N6" s="6" t="s">
        <v>60</v>
      </c>
      <c r="O6" s="7" t="n">
        <v>71</v>
      </c>
    </row>
    <row r="7" customFormat="false" ht="15" hidden="false" customHeight="false" outlineLevel="0" collapsed="false">
      <c r="A7" s="6" t="s">
        <v>63</v>
      </c>
      <c r="B7" s="8" t="n">
        <v>-2.3289</v>
      </c>
      <c r="C7" s="8" t="n">
        <v>3.7554</v>
      </c>
      <c r="D7" s="9" t="n">
        <f aca="false">B7/C7</f>
        <v>-0.620146988336795</v>
      </c>
      <c r="E7" s="9" t="n">
        <f aca="false">TDIST(ABS(D7),$O$4-1,2)</f>
        <v>0.536728104865179</v>
      </c>
      <c r="F7" s="6" t="str">
        <f aca="false">IF(E7&lt;0.01,"***",IF(E7&lt;0.05,"**",IF(E7&lt;0.1,"*","")))</f>
        <v/>
      </c>
      <c r="G7" s="9" t="n">
        <f aca="false">B7-$O$12*C7</f>
        <v>-9.78965757015893</v>
      </c>
      <c r="H7" s="9" t="n">
        <f aca="false">B7+$O$12*C7</f>
        <v>5.13185757015893</v>
      </c>
      <c r="I7" s="8" t="n">
        <v>3.0397</v>
      </c>
      <c r="J7" s="9" t="n">
        <f aca="false">TDIST(ABS(B7/I7),$O$5-1,2)</f>
        <v>0.445728139292992</v>
      </c>
      <c r="K7" s="8" t="n">
        <v>3.7295</v>
      </c>
      <c r="L7" s="9" t="n">
        <f aca="false">TDIST(ABS(B7/K7),$O$6-1,2)</f>
        <v>0.534359735148073</v>
      </c>
      <c r="N7" s="6" t="s">
        <v>62</v>
      </c>
      <c r="O7" s="7" t="n">
        <v>0.34</v>
      </c>
    </row>
    <row r="8" customFormat="false" ht="15" hidden="false" customHeight="false" outlineLevel="0" collapsed="false">
      <c r="A8" s="6" t="s">
        <v>65</v>
      </c>
      <c r="B8" s="8" t="n">
        <v>79.0849</v>
      </c>
      <c r="C8" s="8" t="n">
        <v>64.0272</v>
      </c>
      <c r="D8" s="9" t="n">
        <f aca="false">B8/C8</f>
        <v>1.23517661243971</v>
      </c>
      <c r="E8" s="9" t="n">
        <f aca="false">TDIST(ABS(D8),$O$4-1,2)</f>
        <v>0.219979551992716</v>
      </c>
      <c r="F8" s="6" t="str">
        <f aca="false">IF(E8&lt;0.01,"***",IF(E8&lt;0.05,"**",IF(E8&lt;0.1,"*","")))</f>
        <v/>
      </c>
      <c r="G8" s="9" t="n">
        <f aca="false">B8-$O$12*C8</f>
        <v>-48.1163081525482</v>
      </c>
      <c r="H8" s="9" t="n">
        <f aca="false">B8+$O$12*C8</f>
        <v>206.286108152548</v>
      </c>
      <c r="I8" s="8" t="n">
        <v>54.2768</v>
      </c>
      <c r="J8" s="9" t="n">
        <f aca="false">TDIST(ABS(B8/I8),$O$5-1,2)</f>
        <v>0.148826268517116</v>
      </c>
      <c r="K8" s="8" t="n">
        <v>62.4322</v>
      </c>
      <c r="L8" s="9" t="n">
        <f aca="false">TDIST(ABS(B8/K8),$O$6-1,2)</f>
        <v>0.209449628330335</v>
      </c>
      <c r="N8" s="6" t="s">
        <v>64</v>
      </c>
      <c r="O8" s="7" t="n">
        <v>0.0603</v>
      </c>
    </row>
    <row r="9" customFormat="false" ht="15" hidden="false" customHeight="false" outlineLevel="0" collapsed="false">
      <c r="A9" s="14" t="s">
        <v>74</v>
      </c>
      <c r="B9" s="15" t="n">
        <v>0.9445</v>
      </c>
      <c r="C9" s="15" t="n">
        <v>0.5047</v>
      </c>
      <c r="D9" s="16" t="n">
        <f aca="false">B9/C9</f>
        <v>1.87140875767783</v>
      </c>
      <c r="E9" s="16" t="n">
        <f aca="false">TDIST(ABS(D9),$O$4-1,2)</f>
        <v>0.064536976829603</v>
      </c>
      <c r="F9" s="17" t="str">
        <f aca="false">IF(E9&lt;0.01,"***",IF(E9&lt;0.05,"**",IF(E9&lt;0.1,"*","")))</f>
        <v>*</v>
      </c>
      <c r="G9" s="16" t="n">
        <f aca="false">B9-$O$12*C9</f>
        <v>-0.0581746406931915</v>
      </c>
      <c r="H9" s="16" t="n">
        <f aca="false">B9+$O$12*C9</f>
        <v>1.94717464069319</v>
      </c>
      <c r="I9" s="15" t="n">
        <v>0.3946</v>
      </c>
      <c r="J9" s="16" t="n">
        <f aca="false">TDIST(ABS(B9/I9),$O$5-1,2)</f>
        <v>0.0189133220353495</v>
      </c>
      <c r="K9" s="15" t="n">
        <v>0.4846</v>
      </c>
      <c r="L9" s="16" t="n">
        <f aca="false">TDIST(ABS(B9/K9),$O$6-1,2)</f>
        <v>0.0552999984376207</v>
      </c>
      <c r="N9" s="6" t="s">
        <v>18</v>
      </c>
      <c r="O9" s="7" t="n">
        <v>25</v>
      </c>
    </row>
    <row r="10" customFormat="false" ht="15" hidden="false" customHeight="false" outlineLevel="0" collapsed="false">
      <c r="N10" s="6" t="s">
        <v>67</v>
      </c>
      <c r="O10" s="7" t="n">
        <v>205</v>
      </c>
    </row>
    <row r="11" customFormat="false" ht="15" hidden="false" customHeight="false" outlineLevel="0" collapsed="false">
      <c r="N11" s="6" t="s">
        <v>69</v>
      </c>
      <c r="O11" s="7" t="n">
        <v>103</v>
      </c>
    </row>
    <row r="12" customFormat="false" ht="15" hidden="false" customHeight="false" outlineLevel="0" collapsed="false">
      <c r="A12" s="4" t="s">
        <v>35</v>
      </c>
      <c r="N12" s="6" t="s">
        <v>71</v>
      </c>
      <c r="O12" s="6" t="n">
        <f aca="false">TINV(0.05,$O$4-1)</f>
        <v>1.98667454070377</v>
      </c>
    </row>
    <row r="13" customFormat="false" ht="15" hidden="false" customHeight="false" outlineLevel="0" collapsed="false">
      <c r="A13" s="12" t="s">
        <v>79</v>
      </c>
    </row>
    <row r="14" customFormat="false" ht="23.85" hidden="false" customHeight="false" outlineLevel="0" collapsed="false">
      <c r="A14" s="13" t="s">
        <v>44</v>
      </c>
      <c r="B14" s="13" t="s">
        <v>45</v>
      </c>
      <c r="C14" s="13" t="s">
        <v>46</v>
      </c>
      <c r="D14" s="13" t="s">
        <v>47</v>
      </c>
      <c r="E14" s="13" t="s">
        <v>48</v>
      </c>
      <c r="F14" s="13" t="s">
        <v>28</v>
      </c>
      <c r="G14" s="13" t="s">
        <v>49</v>
      </c>
      <c r="H14" s="13" t="s">
        <v>50</v>
      </c>
      <c r="I14" s="13" t="s">
        <v>51</v>
      </c>
      <c r="J14" s="13" t="s">
        <v>52</v>
      </c>
      <c r="K14" s="13" t="s">
        <v>53</v>
      </c>
      <c r="L14" s="13" t="s">
        <v>54</v>
      </c>
      <c r="N14" s="6" t="s">
        <v>55</v>
      </c>
      <c r="O14" s="7" t="n">
        <v>1067</v>
      </c>
    </row>
    <row r="15" customFormat="false" ht="15" hidden="false" customHeight="false" outlineLevel="0" collapsed="false">
      <c r="A15" s="6" t="s">
        <v>80</v>
      </c>
      <c r="B15" s="8" t="n">
        <v>0.2976</v>
      </c>
      <c r="C15" s="8" t="n">
        <v>0.4016</v>
      </c>
      <c r="D15" s="9" t="n">
        <f aca="false">B15/C15</f>
        <v>0.741035856573705</v>
      </c>
      <c r="E15" s="9" t="n">
        <f aca="false">TDIST(ABS(D15),$O$15-1,2)</f>
        <v>0.460029015268477</v>
      </c>
      <c r="F15" s="6" t="str">
        <f aca="false">IF(E15&lt;0.01,"***",IF(E15&lt;0.05,"**",IF(E15&lt;0.1,"*","")))</f>
        <v/>
      </c>
      <c r="G15" s="9" t="n">
        <f aca="false">B15-$O$23*C15</f>
        <v>-0.497034213294876</v>
      </c>
      <c r="H15" s="9" t="n">
        <f aca="false">B15+$O$23*C15</f>
        <v>1.09223421329488</v>
      </c>
      <c r="I15" s="8" t="n">
        <v>0.2854</v>
      </c>
      <c r="J15" s="9" t="n">
        <f aca="false">TDIST(ABS(B15/I15),$O$16-1,2)</f>
        <v>0.299827767121501</v>
      </c>
      <c r="K15" s="8" t="n">
        <v>0.3639</v>
      </c>
      <c r="L15" s="9" t="n">
        <f aca="false">TDIST(ABS(B15/K15),$O$17-1,2)</f>
        <v>0.415990839145407</v>
      </c>
      <c r="N15" s="6" t="s">
        <v>19</v>
      </c>
      <c r="O15" s="7" t="n">
        <v>129</v>
      </c>
    </row>
    <row r="16" customFormat="false" ht="15" hidden="false" customHeight="false" outlineLevel="0" collapsed="false">
      <c r="A16" s="6" t="s">
        <v>81</v>
      </c>
      <c r="B16" s="8" t="n">
        <v>-0.2664</v>
      </c>
      <c r="C16" s="8" t="n">
        <v>0.2744</v>
      </c>
      <c r="D16" s="9" t="n">
        <f aca="false">B16/C16</f>
        <v>-0.970845481049563</v>
      </c>
      <c r="E16" s="9" t="n">
        <f aca="false">TDIST(ABS(D16),$O$15-1,2)</f>
        <v>0.333456225309888</v>
      </c>
      <c r="F16" s="6" t="str">
        <f aca="false">IF(E16&lt;0.01,"***",IF(E16&lt;0.05,"**",IF(E16&lt;0.1,"*","")))</f>
        <v/>
      </c>
      <c r="G16" s="9" t="n">
        <f aca="false">B16-$O$23*C16</f>
        <v>-0.809347281195503</v>
      </c>
      <c r="H16" s="9" t="n">
        <f aca="false">B16+$O$23*C16</f>
        <v>0.276547281195503</v>
      </c>
      <c r="I16" s="8" t="n">
        <v>0.1949</v>
      </c>
      <c r="J16" s="9" t="n">
        <f aca="false">TDIST(ABS(B16/I16),$O$16-1,2)</f>
        <v>0.175038197307812</v>
      </c>
      <c r="K16" s="8" t="n">
        <v>0.2035</v>
      </c>
      <c r="L16" s="9" t="n">
        <f aca="false">TDIST(ABS(B16/K16),$O$17-1,2)</f>
        <v>0.19439682524438</v>
      </c>
      <c r="N16" s="6" t="s">
        <v>58</v>
      </c>
      <c r="O16" s="7" t="n">
        <v>92</v>
      </c>
    </row>
    <row r="17" customFormat="false" ht="15" hidden="false" customHeight="false" outlineLevel="0" collapsed="false">
      <c r="A17" s="6" t="s">
        <v>61</v>
      </c>
      <c r="B17" s="8" t="n">
        <v>-6.8053</v>
      </c>
      <c r="C17" s="8" t="n">
        <v>2.1442</v>
      </c>
      <c r="D17" s="9" t="n">
        <f aca="false">B17/C17</f>
        <v>-3.17381774088238</v>
      </c>
      <c r="E17" s="9" t="n">
        <f aca="false">TDIST(ABS(D17),$O$15-1,2)</f>
        <v>0.00188442849856425</v>
      </c>
      <c r="F17" s="6" t="str">
        <f aca="false">IF(E17&lt;0.01,"***",IF(E17&lt;0.05,"**",IF(E17&lt;0.1,"*","")))</f>
        <v>***</v>
      </c>
      <c r="G17" s="9" t="n">
        <f aca="false">B17-$O$23*C17</f>
        <v>-11.0479660362223</v>
      </c>
      <c r="H17" s="9" t="n">
        <f aca="false">B17+$O$23*C17</f>
        <v>-2.56263396377771</v>
      </c>
      <c r="I17" s="8" t="n">
        <v>2.19</v>
      </c>
      <c r="J17" s="9" t="n">
        <f aca="false">TDIST(ABS(B17/I17),$O$16-1,2)</f>
        <v>0.00251781543320424</v>
      </c>
      <c r="K17" s="8" t="n">
        <v>2.1604</v>
      </c>
      <c r="L17" s="9" t="n">
        <f aca="false">TDIST(ABS(B17/K17),$O$17-1,2)</f>
        <v>0.00232481318161854</v>
      </c>
      <c r="N17" s="6" t="s">
        <v>60</v>
      </c>
      <c r="O17" s="7" t="n">
        <v>78</v>
      </c>
    </row>
    <row r="18" customFormat="false" ht="15" hidden="false" customHeight="false" outlineLevel="0" collapsed="false">
      <c r="A18" s="6" t="s">
        <v>63</v>
      </c>
      <c r="B18" s="8" t="n">
        <v>-2.5773</v>
      </c>
      <c r="C18" s="8" t="n">
        <v>3.4255</v>
      </c>
      <c r="D18" s="9" t="n">
        <f aca="false">B18/C18</f>
        <v>-0.752386512917822</v>
      </c>
      <c r="E18" s="9" t="n">
        <f aca="false">TDIST(ABS(D18),$O$15-1,2)</f>
        <v>0.453200057015536</v>
      </c>
      <c r="F18" s="6" t="str">
        <f aca="false">IF(E18&lt;0.01,"***",IF(E18&lt;0.05,"**",IF(E18&lt;0.1,"*","")))</f>
        <v/>
      </c>
      <c r="G18" s="9" t="n">
        <f aca="false">B18-$O$23*C18</f>
        <v>-9.35523699611952</v>
      </c>
      <c r="H18" s="9" t="n">
        <f aca="false">B18+$O$23*C18</f>
        <v>4.20063699611952</v>
      </c>
      <c r="I18" s="8" t="n">
        <v>2.8306</v>
      </c>
      <c r="J18" s="9" t="n">
        <f aca="false">TDIST(ABS(B18/I18),$O$16-1,2)</f>
        <v>0.364957178259891</v>
      </c>
      <c r="K18" s="8" t="n">
        <v>3.4014</v>
      </c>
      <c r="L18" s="9" t="n">
        <f aca="false">TDIST(ABS(B18/K18),$O$17-1,2)</f>
        <v>0.45093289217804</v>
      </c>
      <c r="N18" s="6" t="s">
        <v>62</v>
      </c>
      <c r="O18" s="7" t="n">
        <v>0.3302</v>
      </c>
    </row>
    <row r="19" customFormat="false" ht="15" hidden="false" customHeight="false" outlineLevel="0" collapsed="false">
      <c r="A19" s="6" t="s">
        <v>65</v>
      </c>
      <c r="B19" s="8" t="n">
        <v>88.6789</v>
      </c>
      <c r="C19" s="8" t="n">
        <v>58.8912</v>
      </c>
      <c r="D19" s="9" t="n">
        <f aca="false">B19/C19</f>
        <v>1.50580901730649</v>
      </c>
      <c r="E19" s="9" t="n">
        <f aca="false">TDIST(ABS(D19),$O$15-1,2)</f>
        <v>0.134580021325076</v>
      </c>
      <c r="F19" s="6" t="str">
        <f aca="false">IF(E19&lt;0.01,"***",IF(E19&lt;0.05,"**",IF(E19&lt;0.1,"*","")))</f>
        <v/>
      </c>
      <c r="G19" s="9" t="n">
        <f aca="false">B19-$O$23*C19</f>
        <v>-27.8474007519701</v>
      </c>
      <c r="H19" s="9" t="n">
        <f aca="false">B19+$O$23*C19</f>
        <v>205.20520075197</v>
      </c>
      <c r="I19" s="8" t="n">
        <v>51.9168</v>
      </c>
      <c r="J19" s="9" t="n">
        <f aca="false">TDIST(ABS(B19/I19),$O$16-1,2)</f>
        <v>0.0910277035830444</v>
      </c>
      <c r="K19" s="8" t="n">
        <v>58.3816</v>
      </c>
      <c r="L19" s="9" t="n">
        <f aca="false">TDIST(ABS(B19/K19),$O$17-1,2)</f>
        <v>0.132869902605019</v>
      </c>
      <c r="N19" s="6" t="s">
        <v>64</v>
      </c>
      <c r="O19" s="7" t="n">
        <v>0.0405</v>
      </c>
    </row>
    <row r="20" customFormat="false" ht="15" hidden="false" customHeight="false" outlineLevel="0" collapsed="false">
      <c r="A20" s="14" t="s">
        <v>82</v>
      </c>
      <c r="B20" s="15" t="n">
        <v>0.564</v>
      </c>
      <c r="C20" s="15" t="n">
        <v>0.4562</v>
      </c>
      <c r="D20" s="16" t="n">
        <f aca="false">B20/C20</f>
        <v>1.23629986847874</v>
      </c>
      <c r="E20" s="16" t="n">
        <f aca="false">TDIST(ABS(D20),$O$15-1,2)</f>
        <v>0.218610919601329</v>
      </c>
      <c r="F20" s="17" t="str">
        <f aca="false">IF(E20&lt;0.01,"***",IF(E20&lt;0.05,"**",IF(E20&lt;0.1,"*","")))</f>
        <v/>
      </c>
      <c r="G20" s="16" t="n">
        <f aca="false">B20-$O$23*C20</f>
        <v>-0.338669641696022</v>
      </c>
      <c r="H20" s="16" t="n">
        <f aca="false">B20+$O$23*C20</f>
        <v>1.46666964169602</v>
      </c>
      <c r="I20" s="15" t="n">
        <v>0.3155</v>
      </c>
      <c r="J20" s="16" t="n">
        <f aca="false">TDIST(ABS(B20/I20),$O$16-1,2)</f>
        <v>0.0771632359304711</v>
      </c>
      <c r="K20" s="15" t="n">
        <v>0.3855</v>
      </c>
      <c r="L20" s="16" t="n">
        <f aca="false">TDIST(ABS(B20/K20),$O$17-1,2)</f>
        <v>0.147527903400214</v>
      </c>
      <c r="N20" s="6" t="s">
        <v>18</v>
      </c>
      <c r="O20" s="7" t="n">
        <v>41</v>
      </c>
    </row>
    <row r="21" customFormat="false" ht="15" hidden="false" customHeight="false" outlineLevel="0" collapsed="false">
      <c r="N21" s="6" t="s">
        <v>67</v>
      </c>
      <c r="O21" s="7" t="n">
        <v>308</v>
      </c>
    </row>
    <row r="22" customFormat="false" ht="15" hidden="false" customHeight="false" outlineLevel="0" collapsed="false">
      <c r="N22" s="6" t="s">
        <v>69</v>
      </c>
      <c r="O22" s="7" t="n">
        <v>137</v>
      </c>
    </row>
    <row r="23" customFormat="false" ht="15" hidden="false" customHeight="false" outlineLevel="0" collapsed="false">
      <c r="A23" s="4" t="s">
        <v>36</v>
      </c>
      <c r="N23" s="6" t="s">
        <v>71</v>
      </c>
      <c r="O23" s="6" t="n">
        <f aca="false">TINV(0.05,$O$15-1)</f>
        <v>1.97867084983784</v>
      </c>
    </row>
    <row r="24" customFormat="false" ht="15" hidden="false" customHeight="false" outlineLevel="0" collapsed="false">
      <c r="A24" s="12" t="s">
        <v>79</v>
      </c>
    </row>
    <row r="25" customFormat="false" ht="23.85" hidden="false" customHeight="false" outlineLevel="0" collapsed="false">
      <c r="A25" s="13" t="s">
        <v>44</v>
      </c>
      <c r="B25" s="13" t="s">
        <v>45</v>
      </c>
      <c r="C25" s="13" t="s">
        <v>46</v>
      </c>
      <c r="D25" s="13" t="s">
        <v>47</v>
      </c>
      <c r="E25" s="13" t="s">
        <v>48</v>
      </c>
      <c r="F25" s="13" t="s">
        <v>28</v>
      </c>
      <c r="G25" s="13" t="s">
        <v>49</v>
      </c>
      <c r="H25" s="13" t="s">
        <v>50</v>
      </c>
      <c r="I25" s="13" t="s">
        <v>51</v>
      </c>
      <c r="J25" s="13" t="s">
        <v>52</v>
      </c>
      <c r="K25" s="13" t="s">
        <v>53</v>
      </c>
      <c r="L25" s="13" t="s">
        <v>54</v>
      </c>
      <c r="N25" s="6" t="s">
        <v>55</v>
      </c>
      <c r="O25" s="7" t="n">
        <v>1066</v>
      </c>
    </row>
    <row r="26" customFormat="false" ht="15" hidden="false" customHeight="false" outlineLevel="0" collapsed="false">
      <c r="A26" s="6" t="s">
        <v>83</v>
      </c>
      <c r="B26" s="8" t="n">
        <v>0.1101</v>
      </c>
      <c r="C26" s="8" t="n">
        <v>0.5096</v>
      </c>
      <c r="D26" s="9" t="n">
        <f aca="false">B26/C26</f>
        <v>0.21605180533752</v>
      </c>
      <c r="E26" s="9" t="n">
        <f aca="false">TDIST(ABS(D26),$O$26-1,2)</f>
        <v>0.829291289999989</v>
      </c>
      <c r="F26" s="6" t="str">
        <f aca="false">IF(E26&lt;0.01,"***",IF(E26&lt;0.05,"**",IF(E26&lt;0.1,"*","")))</f>
        <v/>
      </c>
      <c r="G26" s="9" t="n">
        <f aca="false">B26-$O$34*C26</f>
        <v>-0.898230665077363</v>
      </c>
      <c r="H26" s="9" t="n">
        <f aca="false">B26+$O$34*C26</f>
        <v>1.11843066507736</v>
      </c>
      <c r="I26" s="8" t="n">
        <v>0.3969</v>
      </c>
      <c r="J26" s="9" t="n">
        <f aca="false">TDIST(ABS(B26/I26),$O$27-1,2)</f>
        <v>0.782102300357725</v>
      </c>
      <c r="K26" s="8" t="n">
        <v>0.4629</v>
      </c>
      <c r="L26" s="9" t="n">
        <f aca="false">TDIST(ABS(B26/K26),$O$28-1,2)</f>
        <v>0.812630486513731</v>
      </c>
      <c r="N26" s="6" t="s">
        <v>19</v>
      </c>
      <c r="O26" s="7" t="n">
        <v>129</v>
      </c>
    </row>
    <row r="27" customFormat="false" ht="15" hidden="false" customHeight="false" outlineLevel="0" collapsed="false">
      <c r="A27" s="6" t="s">
        <v>84</v>
      </c>
      <c r="B27" s="8" t="n">
        <v>-0.7142</v>
      </c>
      <c r="C27" s="8" t="n">
        <v>0.5064</v>
      </c>
      <c r="D27" s="9" t="n">
        <f aca="false">B27/C27</f>
        <v>-1.41034755134281</v>
      </c>
      <c r="E27" s="9" t="n">
        <f aca="false">TDIST(ABS(D27),$O$26-1,2)</f>
        <v>0.160862586451335</v>
      </c>
      <c r="F27" s="6" t="str">
        <f aca="false">IF(E27&lt;0.01,"***",IF(E27&lt;0.05,"**",IF(E27&lt;0.1,"*","")))</f>
        <v/>
      </c>
      <c r="G27" s="9" t="n">
        <f aca="false">B27-$O$34*C27</f>
        <v>-1.71619891835788</v>
      </c>
      <c r="H27" s="9" t="n">
        <f aca="false">B27+$O$34*C27</f>
        <v>0.287798918357882</v>
      </c>
      <c r="I27" s="8" t="n">
        <v>0.392</v>
      </c>
      <c r="J27" s="9" t="n">
        <f aca="false">TDIST(ABS(B27/I27),$O$27-1,2)</f>
        <v>0.0717493212693908</v>
      </c>
      <c r="K27" s="8" t="n">
        <v>0.4158</v>
      </c>
      <c r="L27" s="9" t="n">
        <f aca="false">TDIST(ABS(B27/K27),$O$28-1,2)</f>
        <v>0.0898793901217798</v>
      </c>
      <c r="N27" s="6" t="s">
        <v>58</v>
      </c>
      <c r="O27" s="7" t="n">
        <v>92</v>
      </c>
    </row>
    <row r="28" customFormat="false" ht="15" hidden="false" customHeight="false" outlineLevel="0" collapsed="false">
      <c r="A28" s="6" t="s">
        <v>61</v>
      </c>
      <c r="B28" s="8" t="n">
        <v>-6.5338</v>
      </c>
      <c r="C28" s="8" t="n">
        <v>2.1205</v>
      </c>
      <c r="D28" s="9" t="n">
        <f aca="false">B28/C28</f>
        <v>-3.08125442112709</v>
      </c>
      <c r="E28" s="9" t="n">
        <f aca="false">TDIST(ABS(D28),$O$26-1,2)</f>
        <v>0.00252411559883138</v>
      </c>
      <c r="F28" s="6" t="str">
        <f aca="false">IF(E28&lt;0.01,"***",IF(E28&lt;0.05,"**",IF(E28&lt;0.1,"*","")))</f>
        <v>***</v>
      </c>
      <c r="G28" s="9" t="n">
        <f aca="false">B28-$O$34*C28</f>
        <v>-10.7295715370811</v>
      </c>
      <c r="H28" s="9" t="n">
        <f aca="false">B28+$O$34*C28</f>
        <v>-2.33802846291886</v>
      </c>
      <c r="I28" s="8" t="n">
        <v>2.1458</v>
      </c>
      <c r="J28" s="9" t="n">
        <f aca="false">TDIST(ABS(B28/I28),$O$27-1,2)</f>
        <v>0.00304371165887557</v>
      </c>
      <c r="K28" s="8" t="n">
        <v>2.1139</v>
      </c>
      <c r="L28" s="9" t="n">
        <f aca="false">TDIST(ABS(B28/K28),$O$28-1,2)</f>
        <v>0.00277773568875093</v>
      </c>
      <c r="N28" s="6" t="s">
        <v>60</v>
      </c>
      <c r="O28" s="7" t="n">
        <v>78</v>
      </c>
    </row>
    <row r="29" customFormat="false" ht="15" hidden="false" customHeight="false" outlineLevel="0" collapsed="false">
      <c r="A29" s="6" t="s">
        <v>63</v>
      </c>
      <c r="B29" s="8" t="n">
        <v>-2.7548</v>
      </c>
      <c r="C29" s="8" t="n">
        <v>3.4287</v>
      </c>
      <c r="D29" s="9" t="n">
        <f aca="false">B29/C29</f>
        <v>-0.803453203838189</v>
      </c>
      <c r="E29" s="9" t="n">
        <f aca="false">TDIST(ABS(D29),$O$26-1,2)</f>
        <v>0.423202341962238</v>
      </c>
      <c r="F29" s="6" t="str">
        <f aca="false">IF(E29&lt;0.01,"***",IF(E29&lt;0.05,"**",IF(E29&lt;0.1,"*","")))</f>
        <v/>
      </c>
      <c r="G29" s="9" t="n">
        <f aca="false">B29-$O$34*C29</f>
        <v>-9.539068742839</v>
      </c>
      <c r="H29" s="9" t="n">
        <f aca="false">B29+$O$34*C29</f>
        <v>4.029468742839</v>
      </c>
      <c r="I29" s="8" t="n">
        <v>2.8337</v>
      </c>
      <c r="J29" s="9" t="n">
        <f aca="false">TDIST(ABS(B29/I29),$O$27-1,2)</f>
        <v>0.333549689448092</v>
      </c>
      <c r="K29" s="8" t="n">
        <v>3.401</v>
      </c>
      <c r="L29" s="9" t="n">
        <f aca="false">TDIST(ABS(B29/K29),$O$28-1,2)</f>
        <v>0.420438085899977</v>
      </c>
      <c r="N29" s="6" t="s">
        <v>62</v>
      </c>
      <c r="O29" s="7" t="n">
        <v>0.3299</v>
      </c>
    </row>
    <row r="30" customFormat="false" ht="15" hidden="false" customHeight="false" outlineLevel="0" collapsed="false">
      <c r="A30" s="6" t="s">
        <v>65</v>
      </c>
      <c r="B30" s="8" t="n">
        <v>94.4762</v>
      </c>
      <c r="C30" s="8" t="n">
        <v>57.8396</v>
      </c>
      <c r="D30" s="9" t="n">
        <f aca="false">B30/C30</f>
        <v>1.6334172435494</v>
      </c>
      <c r="E30" s="9" t="n">
        <f aca="false">TDIST(ABS(D30),$O$26-1,2)</f>
        <v>0.104838685094611</v>
      </c>
      <c r="F30" s="6" t="str">
        <f aca="false">IF(E30&lt;0.01,"***",IF(E30&lt;0.05,"**",IF(E30&lt;0.1,"*","")))</f>
        <v/>
      </c>
      <c r="G30" s="9" t="n">
        <f aca="false">B30-$O$34*C30</f>
        <v>-19.9693304862806</v>
      </c>
      <c r="H30" s="9" t="n">
        <f aca="false">B30+$O$34*C30</f>
        <v>208.921730486281</v>
      </c>
      <c r="I30" s="8" t="n">
        <v>51.0058</v>
      </c>
      <c r="J30" s="9" t="n">
        <f aca="false">TDIST(ABS(B30/I30),$O$27-1,2)</f>
        <v>0.0672298939471488</v>
      </c>
      <c r="K30" s="8" t="n">
        <v>57.4282</v>
      </c>
      <c r="L30" s="9" t="n">
        <f aca="false">TDIST(ABS(B30/K30),$O$28-1,2)</f>
        <v>0.104021895717544</v>
      </c>
      <c r="N30" s="6" t="s">
        <v>64</v>
      </c>
      <c r="O30" s="7" t="n">
        <v>0.04</v>
      </c>
    </row>
    <row r="31" customFormat="false" ht="15" hidden="false" customHeight="false" outlineLevel="0" collapsed="false">
      <c r="A31" s="14" t="s">
        <v>85</v>
      </c>
      <c r="B31" s="15" t="n">
        <v>0.8243</v>
      </c>
      <c r="C31" s="15" t="n">
        <v>0.6017</v>
      </c>
      <c r="D31" s="16" t="n">
        <f aca="false">B31/C31</f>
        <v>1.3699518032242</v>
      </c>
      <c r="E31" s="16" t="n">
        <f aca="false">TDIST(ABS(D31),$O$26-1,2)</f>
        <v>0.173100210380574</v>
      </c>
      <c r="F31" s="17" t="str">
        <f aca="false">IF(E31&lt;0.01,"***",IF(E31&lt;0.05,"**",IF(E31&lt;0.1,"*","")))</f>
        <v/>
      </c>
      <c r="G31" s="16" t="n">
        <f aca="false">B31-$O$34*C31</f>
        <v>-0.366266250347427</v>
      </c>
      <c r="H31" s="16" t="n">
        <f aca="false">B31+$O$34*C31</f>
        <v>2.01486625034743</v>
      </c>
      <c r="I31" s="15" t="n">
        <v>0.4464</v>
      </c>
      <c r="J31" s="16" t="n">
        <f aca="false">TDIST(ABS(B31/I31),$O$27-1,2)</f>
        <v>0.0680627304558688</v>
      </c>
      <c r="K31" s="15" t="n">
        <v>0.544</v>
      </c>
      <c r="L31" s="16" t="n">
        <f aca="false">TDIST(ABS(B31/K31),$O$28-1,2)</f>
        <v>0.133801757719448</v>
      </c>
      <c r="N31" s="6" t="s">
        <v>18</v>
      </c>
      <c r="O31" s="7" t="n">
        <v>41</v>
      </c>
    </row>
    <row r="32" customFormat="false" ht="15" hidden="false" customHeight="false" outlineLevel="0" collapsed="false">
      <c r="N32" s="6" t="s">
        <v>67</v>
      </c>
      <c r="O32" s="7" t="n">
        <v>307</v>
      </c>
    </row>
    <row r="33" customFormat="false" ht="15" hidden="false" customHeight="false" outlineLevel="0" collapsed="false">
      <c r="N33" s="6" t="s">
        <v>69</v>
      </c>
      <c r="O33" s="7" t="n">
        <v>137</v>
      </c>
    </row>
    <row r="34" customFormat="false" ht="15" hidden="false" customHeight="false" outlineLevel="0" collapsed="false">
      <c r="A34" s="4" t="s">
        <v>37</v>
      </c>
      <c r="N34" s="6" t="s">
        <v>71</v>
      </c>
      <c r="O34" s="6" t="n">
        <f aca="false">TINV(0.05,$O$26-1)</f>
        <v>1.97867084983784</v>
      </c>
    </row>
    <row r="35" customFormat="false" ht="15" hidden="false" customHeight="false" outlineLevel="0" collapsed="false">
      <c r="A35" s="12" t="s">
        <v>43</v>
      </c>
    </row>
    <row r="36" customFormat="false" ht="23.85" hidden="false" customHeight="false" outlineLevel="0" collapsed="false">
      <c r="A36" s="13" t="s">
        <v>44</v>
      </c>
      <c r="B36" s="13" t="s">
        <v>45</v>
      </c>
      <c r="C36" s="13" t="s">
        <v>46</v>
      </c>
      <c r="D36" s="13" t="s">
        <v>47</v>
      </c>
      <c r="E36" s="13" t="s">
        <v>48</v>
      </c>
      <c r="F36" s="13" t="s">
        <v>28</v>
      </c>
      <c r="G36" s="13" t="s">
        <v>49</v>
      </c>
      <c r="H36" s="13" t="s">
        <v>50</v>
      </c>
      <c r="I36" s="13" t="s">
        <v>51</v>
      </c>
      <c r="J36" s="13" t="s">
        <v>52</v>
      </c>
      <c r="K36" s="13" t="s">
        <v>53</v>
      </c>
      <c r="L36" s="13" t="s">
        <v>54</v>
      </c>
      <c r="N36" s="6" t="s">
        <v>55</v>
      </c>
      <c r="O36" s="7" t="n">
        <v>949</v>
      </c>
    </row>
    <row r="37" customFormat="false" ht="15" hidden="false" customHeight="false" outlineLevel="0" collapsed="false">
      <c r="A37" s="6" t="s">
        <v>56</v>
      </c>
      <c r="B37" s="8" t="n">
        <v>-0.419</v>
      </c>
      <c r="C37" s="8" t="n">
        <v>0.3792</v>
      </c>
      <c r="D37" s="9" t="n">
        <f aca="false">B37/C37</f>
        <v>-1.10495780590717</v>
      </c>
      <c r="E37" s="9" t="n">
        <f aca="false">TDIST(ABS(D37),$O$37-1,2)</f>
        <v>0.271317264957364</v>
      </c>
      <c r="F37" s="6" t="str">
        <f aca="false">IF(E37&lt;0.01,"***",IF(E37&lt;0.05,"**",IF(E37&lt;0.1,"*","")))</f>
        <v/>
      </c>
      <c r="G37" s="9" t="n">
        <f aca="false">B37-$O$45*C37</f>
        <v>-1.16954302021656</v>
      </c>
      <c r="H37" s="9" t="n">
        <f aca="false">B37+$O$45*C37</f>
        <v>0.33154302021656</v>
      </c>
      <c r="I37" s="8" t="n">
        <v>0.3128</v>
      </c>
      <c r="J37" s="9" t="n">
        <f aca="false">TDIST(ABS(B37/I37),$O$38-1,2)</f>
        <v>0.184104189312779</v>
      </c>
      <c r="K37" s="8" t="n">
        <v>0.3787</v>
      </c>
      <c r="L37" s="9" t="n">
        <f aca="false">TDIST(ABS(B37/K37),$O$39-1,2)</f>
        <v>0.272445079302922</v>
      </c>
      <c r="N37" s="6" t="s">
        <v>19</v>
      </c>
      <c r="O37" s="7" t="n">
        <v>125</v>
      </c>
    </row>
    <row r="38" customFormat="false" ht="15" hidden="false" customHeight="false" outlineLevel="0" collapsed="false">
      <c r="A38" s="6" t="s">
        <v>83</v>
      </c>
      <c r="B38" s="8" t="n">
        <v>0.3166</v>
      </c>
      <c r="C38" s="8" t="n">
        <v>0.541</v>
      </c>
      <c r="D38" s="9" t="n">
        <f aca="false">B38/C38</f>
        <v>0.585212569316081</v>
      </c>
      <c r="E38" s="9" t="n">
        <f aca="false">TDIST(ABS(D38),$O$37-1,2)</f>
        <v>0.559468247910338</v>
      </c>
      <c r="F38" s="6" t="str">
        <f aca="false">IF(E38&lt;0.01,"***",IF(E38&lt;0.05,"**",IF(E38&lt;0.1,"*","")))</f>
        <v/>
      </c>
      <c r="G38" s="9" t="n">
        <f aca="false">B38-$O$45*C38</f>
        <v>-0.754190543083225</v>
      </c>
      <c r="H38" s="9" t="n">
        <f aca="false">B38+$O$45*C38</f>
        <v>1.38739054308323</v>
      </c>
      <c r="I38" s="8" t="n">
        <v>0.4214</v>
      </c>
      <c r="J38" s="9" t="n">
        <f aca="false">TDIST(ABS(B38/I38),$O$38-1,2)</f>
        <v>0.454619862539316</v>
      </c>
      <c r="K38" s="8" t="n">
        <v>0.5498</v>
      </c>
      <c r="L38" s="9" t="n">
        <f aca="false">TDIST(ABS(B38/K38),$O$39-1,2)</f>
        <v>0.566620385013903</v>
      </c>
      <c r="N38" s="6" t="s">
        <v>58</v>
      </c>
      <c r="O38" s="7" t="n">
        <v>83</v>
      </c>
    </row>
    <row r="39" customFormat="false" ht="15" hidden="false" customHeight="false" outlineLevel="0" collapsed="false">
      <c r="A39" s="6" t="s">
        <v>84</v>
      </c>
      <c r="B39" s="8" t="n">
        <v>-0.0205</v>
      </c>
      <c r="C39" s="8" t="n">
        <v>0.3447</v>
      </c>
      <c r="D39" s="9" t="n">
        <f aca="false">B39/C39</f>
        <v>-0.0594720046417174</v>
      </c>
      <c r="E39" s="9" t="n">
        <f aca="false">TDIST(ABS(D39),$O$37-1,2)</f>
        <v>0.952671902926219</v>
      </c>
      <c r="F39" s="6" t="str">
        <f aca="false">IF(E39&lt;0.01,"***",IF(E39&lt;0.05,"**",IF(E39&lt;0.1,"*","")))</f>
        <v/>
      </c>
      <c r="G39" s="9" t="n">
        <f aca="false">B39-$O$45*C39</f>
        <v>-0.702757856193693</v>
      </c>
      <c r="H39" s="9" t="n">
        <f aca="false">B39+$O$45*C39</f>
        <v>0.661757856193693</v>
      </c>
      <c r="I39" s="8" t="n">
        <v>0.2459</v>
      </c>
      <c r="J39" s="9" t="n">
        <f aca="false">TDIST(ABS(B39/I39),$O$38-1,2)</f>
        <v>0.933762732170884</v>
      </c>
      <c r="K39" s="8" t="n">
        <v>0.3036</v>
      </c>
      <c r="L39" s="9" t="n">
        <f aca="false">TDIST(ABS(B39/K39),$O$39-1,2)</f>
        <v>0.946363456721333</v>
      </c>
      <c r="N39" s="6" t="s">
        <v>60</v>
      </c>
      <c r="O39" s="7" t="n">
        <v>69</v>
      </c>
    </row>
    <row r="40" customFormat="false" ht="15" hidden="false" customHeight="false" outlineLevel="0" collapsed="false">
      <c r="A40" s="6" t="s">
        <v>61</v>
      </c>
      <c r="B40" s="8" t="n">
        <v>-1.0413</v>
      </c>
      <c r="C40" s="8" t="n">
        <v>0.857</v>
      </c>
      <c r="D40" s="9" t="n">
        <f aca="false">B40/C40</f>
        <v>-1.21505250875146</v>
      </c>
      <c r="E40" s="9" t="n">
        <f aca="false">TDIST(ABS(D40),$O$37-1,2)</f>
        <v>0.226654598694118</v>
      </c>
      <c r="F40" s="6" t="str">
        <f aca="false">IF(E40&lt;0.01,"***",IF(E40&lt;0.05,"**",IF(E40&lt;0.1,"*","")))</f>
        <v/>
      </c>
      <c r="G40" s="9" t="n">
        <f aca="false">B40-$O$45*C40</f>
        <v>-2.73754305993036</v>
      </c>
      <c r="H40" s="9" t="n">
        <f aca="false">B40+$O$45*C40</f>
        <v>0.654943059930359</v>
      </c>
      <c r="I40" s="8" t="n">
        <v>1.0098</v>
      </c>
      <c r="J40" s="9" t="n">
        <f aca="false">TDIST(ABS(B40/I40),$O$38-1,2)</f>
        <v>0.305481659990414</v>
      </c>
      <c r="K40" s="8" t="n">
        <v>0.8961</v>
      </c>
      <c r="L40" s="9" t="n">
        <f aca="false">TDIST(ABS(B40/K40),$O$39-1,2)</f>
        <v>0.249283428744791</v>
      </c>
      <c r="N40" s="6" t="s">
        <v>62</v>
      </c>
      <c r="O40" s="7" t="n">
        <v>0.2626</v>
      </c>
    </row>
    <row r="41" customFormat="false" ht="15" hidden="false" customHeight="false" outlineLevel="0" collapsed="false">
      <c r="A41" s="6" t="s">
        <v>63</v>
      </c>
      <c r="B41" s="8" t="n">
        <v>-1.4617</v>
      </c>
      <c r="C41" s="8" t="n">
        <v>2.6032</v>
      </c>
      <c r="D41" s="9" t="n">
        <f aca="false">B41/C41</f>
        <v>-0.5615012292563</v>
      </c>
      <c r="E41" s="9" t="n">
        <f aca="false">TDIST(ABS(D41),$O$37-1,2)</f>
        <v>0.575469307431511</v>
      </c>
      <c r="F41" s="6" t="str">
        <f aca="false">IF(E41&lt;0.01,"***",IF(E41&lt;0.05,"**",IF(E41&lt;0.1,"*","")))</f>
        <v/>
      </c>
      <c r="G41" s="9" t="n">
        <f aca="false">B41-$O$45*C41</f>
        <v>-6.61416199954575</v>
      </c>
      <c r="H41" s="9" t="n">
        <f aca="false">B41+$O$45*C41</f>
        <v>3.69076199954575</v>
      </c>
      <c r="I41" s="8" t="n">
        <v>2.156</v>
      </c>
      <c r="J41" s="9" t="n">
        <f aca="false">TDIST(ABS(B41/I41),$O$38-1,2)</f>
        <v>0.499700330182334</v>
      </c>
      <c r="K41" s="8" t="n">
        <v>2.7791</v>
      </c>
      <c r="L41" s="9" t="n">
        <f aca="false">TDIST(ABS(B41/K41),$O$39-1,2)</f>
        <v>0.600626042170702</v>
      </c>
      <c r="N41" s="6" t="s">
        <v>64</v>
      </c>
      <c r="O41" s="7" t="n">
        <v>0.0141</v>
      </c>
    </row>
    <row r="42" customFormat="false" ht="15" hidden="false" customHeight="false" outlineLevel="0" collapsed="false">
      <c r="A42" s="6" t="s">
        <v>65</v>
      </c>
      <c r="B42" s="8" t="n">
        <v>37.6153</v>
      </c>
      <c r="C42" s="8" t="n">
        <v>36.9105</v>
      </c>
      <c r="D42" s="9" t="n">
        <f aca="false">B42/C42</f>
        <v>1.01909483751236</v>
      </c>
      <c r="E42" s="9" t="n">
        <f aca="false">TDIST(ABS(D42),$O$37-1,2)</f>
        <v>0.310142154959854</v>
      </c>
      <c r="F42" s="6" t="str">
        <f aca="false">IF(E42&lt;0.01,"***",IF(E42&lt;0.05,"**",IF(E42&lt;0.1,"*","")))</f>
        <v/>
      </c>
      <c r="G42" s="9" t="n">
        <f aca="false">B42-$O$45*C42</f>
        <v>-35.4409187439434</v>
      </c>
      <c r="H42" s="9" t="n">
        <f aca="false">B42+$O$45*C42</f>
        <v>110.671518743943</v>
      </c>
      <c r="I42" s="8" t="n">
        <v>31.4803</v>
      </c>
      <c r="J42" s="9" t="n">
        <f aca="false">TDIST(ABS(B42/I42),$O$38-1,2)</f>
        <v>0.235577008786456</v>
      </c>
      <c r="K42" s="8" t="n">
        <v>36.743</v>
      </c>
      <c r="L42" s="9" t="n">
        <f aca="false">TDIST(ABS(B42/K42),$O$39-1,2)</f>
        <v>0.309586038541632</v>
      </c>
      <c r="N42" s="6" t="s">
        <v>18</v>
      </c>
      <c r="O42" s="7" t="n">
        <v>41</v>
      </c>
    </row>
    <row r="43" customFormat="false" ht="15" hidden="false" customHeight="false" outlineLevel="0" collapsed="false">
      <c r="A43" s="6" t="s">
        <v>66</v>
      </c>
      <c r="B43" s="8" t="n">
        <v>-0.1223</v>
      </c>
      <c r="C43" s="8" t="n">
        <v>0.2798</v>
      </c>
      <c r="D43" s="9" t="n">
        <f aca="false">B43/C43</f>
        <v>-0.437097927090779</v>
      </c>
      <c r="E43" s="9" t="n">
        <f aca="false">TDIST(ABS(D43),$O$37-1,2)</f>
        <v>0.662800594508245</v>
      </c>
      <c r="F43" s="6" t="str">
        <f aca="false">IF(E43&lt;0.01,"***",IF(E43&lt;0.05,"**",IF(E43&lt;0.1,"*","")))</f>
        <v/>
      </c>
      <c r="G43" s="9" t="n">
        <f aca="false">B43-$O$45*C43</f>
        <v>-0.676102576626038</v>
      </c>
      <c r="H43" s="9" t="n">
        <f aca="false">B43+$O$45*C43</f>
        <v>0.431502576626038</v>
      </c>
      <c r="I43" s="8" t="n">
        <v>0.2566</v>
      </c>
      <c r="J43" s="9" t="n">
        <f aca="false">TDIST(ABS(B43/I43),$O$38-1,2)</f>
        <v>0.634902309138195</v>
      </c>
      <c r="K43" s="8" t="n">
        <v>0.254</v>
      </c>
      <c r="L43" s="9" t="n">
        <f aca="false">TDIST(ABS(B43/K43),$O$39-1,2)</f>
        <v>0.631709906794063</v>
      </c>
      <c r="N43" s="6" t="s">
        <v>67</v>
      </c>
      <c r="O43" s="7" t="n">
        <v>307</v>
      </c>
    </row>
    <row r="44" customFormat="false" ht="15" hidden="false" customHeight="false" outlineLevel="0" collapsed="false">
      <c r="A44" s="6" t="s">
        <v>68</v>
      </c>
      <c r="B44" s="8" t="n">
        <v>0.0373</v>
      </c>
      <c r="C44" s="8" t="n">
        <v>0.0162</v>
      </c>
      <c r="D44" s="9" t="n">
        <f aca="false">B44/C44</f>
        <v>2.30246913580247</v>
      </c>
      <c r="E44" s="9" t="n">
        <f aca="false">TDIST(ABS(D44),$O$37-1,2)</f>
        <v>0.0229755499210315</v>
      </c>
      <c r="F44" s="6" t="str">
        <f aca="false">IF(E44&lt;0.01,"***",IF(E44&lt;0.05,"**",IF(E44&lt;0.1,"*","")))</f>
        <v>**</v>
      </c>
      <c r="G44" s="9" t="n">
        <f aca="false">B44-$O$45*C44</f>
        <v>0.00523566211100139</v>
      </c>
      <c r="H44" s="9" t="n">
        <f aca="false">B44+$O$45*C44</f>
        <v>0.0693643378889986</v>
      </c>
      <c r="I44" s="8" t="n">
        <v>0.0172</v>
      </c>
      <c r="J44" s="9" t="n">
        <f aca="false">TDIST(ABS(B44/I44),$O$38-1,2)</f>
        <v>0.033009943856644</v>
      </c>
      <c r="K44" s="8" t="n">
        <v>0.0186</v>
      </c>
      <c r="L44" s="9" t="n">
        <f aca="false">TDIST(ABS(B44/K44),$O$39-1,2)</f>
        <v>0.0489046743935705</v>
      </c>
      <c r="N44" s="6" t="s">
        <v>69</v>
      </c>
      <c r="O44" s="7" t="n">
        <v>137</v>
      </c>
    </row>
    <row r="45" customFormat="false" ht="15" hidden="false" customHeight="false" outlineLevel="0" collapsed="false">
      <c r="A45" s="6" t="s">
        <v>70</v>
      </c>
      <c r="B45" s="8" t="n">
        <v>-0.0089</v>
      </c>
      <c r="C45" s="8" t="n">
        <v>0.0162</v>
      </c>
      <c r="D45" s="9" t="n">
        <f aca="false">B45/C45</f>
        <v>-0.549382716049383</v>
      </c>
      <c r="E45" s="9" t="n">
        <f aca="false">TDIST(ABS(D45),$O$37-1,2)</f>
        <v>0.583730870851307</v>
      </c>
      <c r="F45" s="6" t="str">
        <f aca="false">IF(E45&lt;0.01,"***",IF(E45&lt;0.05,"**",IF(E45&lt;0.1,"*","")))</f>
        <v/>
      </c>
      <c r="G45" s="9" t="n">
        <f aca="false">B45-$O$45*C45</f>
        <v>-0.0409643378889986</v>
      </c>
      <c r="H45" s="9" t="n">
        <f aca="false">B45+$O$45*C45</f>
        <v>0.0231643378889986</v>
      </c>
      <c r="I45" s="8" t="n">
        <v>0.0157</v>
      </c>
      <c r="J45" s="9" t="n">
        <f aca="false">TDIST(ABS(B45/I45),$O$38-1,2)</f>
        <v>0.572344909851127</v>
      </c>
      <c r="K45" s="8" t="n">
        <v>0.0172</v>
      </c>
      <c r="L45" s="9" t="n">
        <f aca="false">TDIST(ABS(B45/K45),$O$39-1,2)</f>
        <v>0.606526965492526</v>
      </c>
      <c r="N45" s="6" t="s">
        <v>71</v>
      </c>
      <c r="O45" s="6" t="n">
        <f aca="false">TINV(0.05,$O$37-1)</f>
        <v>1.97928011660485</v>
      </c>
    </row>
    <row r="46" customFormat="false" ht="15" hidden="false" customHeight="false" outlineLevel="0" collapsed="false">
      <c r="A46" s="6" t="s">
        <v>72</v>
      </c>
      <c r="B46" s="8" t="n">
        <v>0.1186</v>
      </c>
      <c r="C46" s="8" t="n">
        <v>0.1739</v>
      </c>
      <c r="D46" s="9" t="n">
        <f aca="false">B46/C46</f>
        <v>0.682001150086257</v>
      </c>
      <c r="E46" s="9" t="n">
        <f aca="false">TDIST(ABS(D46),$O$37-1,2)</f>
        <v>0.496510153159015</v>
      </c>
      <c r="F46" s="6" t="str">
        <f aca="false">IF(E46&lt;0.01,"***",IF(E46&lt;0.05,"**",IF(E46&lt;0.1,"*","")))</f>
        <v/>
      </c>
      <c r="G46" s="9" t="n">
        <f aca="false">B46-$O$45*C46</f>
        <v>-0.225596812277584</v>
      </c>
      <c r="H46" s="9" t="n">
        <f aca="false">B46+$O$45*C46</f>
        <v>0.462796812277584</v>
      </c>
      <c r="I46" s="8" t="n">
        <v>0.1692</v>
      </c>
      <c r="J46" s="9" t="n">
        <f aca="false">TDIST(ABS(B46/I46),$O$38-1,2)</f>
        <v>0.485321309702242</v>
      </c>
      <c r="K46" s="8" t="n">
        <v>0.1874</v>
      </c>
      <c r="L46" s="9" t="n">
        <f aca="false">TDIST(ABS(B46/K46),$O$39-1,2)</f>
        <v>0.528940561747036</v>
      </c>
    </row>
    <row r="47" customFormat="false" ht="15" hidden="false" customHeight="false" outlineLevel="0" collapsed="false">
      <c r="A47" s="6" t="s">
        <v>73</v>
      </c>
      <c r="B47" s="8" t="n">
        <v>0.0026</v>
      </c>
      <c r="C47" s="8" t="n">
        <v>0.1846</v>
      </c>
      <c r="D47" s="9" t="n">
        <f aca="false">B47/C47</f>
        <v>0.0140845070422535</v>
      </c>
      <c r="E47" s="9" t="n">
        <f aca="false">TDIST(ABS(D47),$O$37-1,2)</f>
        <v>0.988785196869399</v>
      </c>
      <c r="F47" s="6" t="str">
        <f aca="false">IF(E47&lt;0.01,"***",IF(E47&lt;0.05,"**",IF(E47&lt;0.1,"*","")))</f>
        <v/>
      </c>
      <c r="G47" s="9" t="n">
        <f aca="false">B47-$O$45*C47</f>
        <v>-0.362775109525256</v>
      </c>
      <c r="H47" s="9" t="n">
        <f aca="false">B47+$O$45*C47</f>
        <v>0.367975109525256</v>
      </c>
      <c r="I47" s="8" t="n">
        <v>0.1941</v>
      </c>
      <c r="J47" s="9" t="n">
        <f aca="false">TDIST(ABS(B47/I47),$O$38-1,2)</f>
        <v>0.989345067751168</v>
      </c>
      <c r="K47" s="8" t="n">
        <v>0.2202</v>
      </c>
      <c r="L47" s="9" t="n">
        <f aca="false">TDIST(ABS(B47/K47),$O$39-1,2)</f>
        <v>0.99061381214514</v>
      </c>
    </row>
    <row r="48" customFormat="false" ht="15" hidden="false" customHeight="false" outlineLevel="0" collapsed="false">
      <c r="A48" s="14" t="s">
        <v>85</v>
      </c>
      <c r="B48" s="15" t="n">
        <v>0.3372</v>
      </c>
      <c r="C48" s="15" t="n">
        <v>0.6216</v>
      </c>
      <c r="D48" s="16" t="n">
        <f aca="false">B48/C48</f>
        <v>0.542471042471042</v>
      </c>
      <c r="E48" s="16" t="n">
        <f aca="false">TDIST(ABS(D48),$O$37-1,2)</f>
        <v>0.588467678205724</v>
      </c>
      <c r="F48" s="17" t="str">
        <f aca="false">IF(E48&lt;0.01,"***",IF(E48&lt;0.05,"**",IF(E48&lt;0.1,"*","")))</f>
        <v/>
      </c>
      <c r="G48" s="16" t="n">
        <f aca="false">B48-$O$45*C48</f>
        <v>-0.893120520481576</v>
      </c>
      <c r="H48" s="16" t="n">
        <f aca="false">B48+$O$45*C48</f>
        <v>1.56752052048158</v>
      </c>
      <c r="I48" s="15" t="n">
        <v>0.4403</v>
      </c>
      <c r="J48" s="16" t="n">
        <f aca="false">TDIST(ABS(B48/I48),$O$38-1,2)</f>
        <v>0.445969538374462</v>
      </c>
      <c r="K48" s="15" t="n">
        <v>0.5618</v>
      </c>
      <c r="L48" s="16" t="n">
        <f aca="false">TDIST(ABS(B48/K48),$O$39-1,2)</f>
        <v>0.550359004613612</v>
      </c>
    </row>
    <row r="51" customFormat="false" ht="15" hidden="false" customHeight="false" outlineLevel="0" collapsed="false">
      <c r="A51" s="4" t="s">
        <v>38</v>
      </c>
    </row>
    <row r="52" customFormat="false" ht="15" hidden="false" customHeight="false" outlineLevel="0" collapsed="false">
      <c r="A52" s="12" t="s">
        <v>86</v>
      </c>
    </row>
    <row r="53" customFormat="false" ht="23.85" hidden="false" customHeight="false" outlineLevel="0" collapsed="false">
      <c r="A53" s="13" t="s">
        <v>44</v>
      </c>
      <c r="B53" s="13" t="s">
        <v>45</v>
      </c>
      <c r="C53" s="13" t="s">
        <v>46</v>
      </c>
      <c r="D53" s="13" t="s">
        <v>47</v>
      </c>
      <c r="E53" s="13" t="s">
        <v>48</v>
      </c>
      <c r="F53" s="13" t="s">
        <v>28</v>
      </c>
      <c r="G53" s="13" t="s">
        <v>49</v>
      </c>
      <c r="H53" s="13" t="s">
        <v>50</v>
      </c>
      <c r="I53" s="13" t="s">
        <v>51</v>
      </c>
      <c r="J53" s="13" t="s">
        <v>52</v>
      </c>
      <c r="K53" s="13" t="s">
        <v>53</v>
      </c>
      <c r="L53" s="13" t="s">
        <v>54</v>
      </c>
      <c r="N53" s="6" t="s">
        <v>55</v>
      </c>
      <c r="O53" s="7" t="n">
        <v>583</v>
      </c>
    </row>
    <row r="54" customFormat="false" ht="15" hidden="false" customHeight="false" outlineLevel="0" collapsed="false">
      <c r="A54" s="6" t="s">
        <v>57</v>
      </c>
      <c r="B54" s="8" t="n">
        <v>-1.4833</v>
      </c>
      <c r="C54" s="8" t="n">
        <v>0.8705</v>
      </c>
      <c r="D54" s="9" t="n">
        <f aca="false">B54/C54</f>
        <v>-1.70396323951752</v>
      </c>
      <c r="E54" s="9" t="n">
        <f aca="false">TDIST(ABS(D54),$O$54-1,2)</f>
        <v>0.0930220769241029</v>
      </c>
      <c r="F54" s="6" t="str">
        <f aca="false">IF(E54&lt;0.01,"***",IF(E54&lt;0.05,"**",IF(E54&lt;0.1,"*","")))</f>
        <v>*</v>
      </c>
      <c r="G54" s="9" t="n">
        <f aca="false">B54-$O$62*C54</f>
        <v>-3.22082527217902</v>
      </c>
      <c r="H54" s="9" t="n">
        <f aca="false">B54+$O$62*C54</f>
        <v>0.254225272179023</v>
      </c>
      <c r="I54" s="8" t="n">
        <v>0.758</v>
      </c>
      <c r="J54" s="9" t="n">
        <f aca="false">TDIST(ABS(B54/I54),$O$55-1,2)</f>
        <v>0.0546617453118549</v>
      </c>
      <c r="K54" s="8" t="n">
        <v>0.7543</v>
      </c>
      <c r="L54" s="9" t="n">
        <f aca="false">TDIST(ABS(B54/K54),$O$56-1,2)</f>
        <v>0.0543942967230578</v>
      </c>
      <c r="N54" s="6" t="s">
        <v>19</v>
      </c>
      <c r="O54" s="7" t="n">
        <v>68</v>
      </c>
    </row>
    <row r="55" customFormat="false" ht="15" hidden="false" customHeight="false" outlineLevel="0" collapsed="false">
      <c r="A55" s="6" t="s">
        <v>59</v>
      </c>
      <c r="B55" s="8" t="n">
        <v>-1.4399</v>
      </c>
      <c r="C55" s="8" t="n">
        <v>0.736</v>
      </c>
      <c r="D55" s="9" t="n">
        <f aca="false">B55/C55</f>
        <v>-1.95638586956522</v>
      </c>
      <c r="E55" s="9" t="n">
        <f aca="false">TDIST(ABS(D55),$O$54-1,2)</f>
        <v>0.0545898150281671</v>
      </c>
      <c r="F55" s="6" t="str">
        <f aca="false">IF(E55&lt;0.01,"***",IF(E55&lt;0.05,"**",IF(E55&lt;0.1,"*","")))</f>
        <v>*</v>
      </c>
      <c r="G55" s="9" t="n">
        <f aca="false">B55-$O$62*C55</f>
        <v>-2.90896214856262</v>
      </c>
      <c r="H55" s="9" t="n">
        <f aca="false">B55+$O$62*C55</f>
        <v>0.0291621485626199</v>
      </c>
      <c r="I55" s="8" t="n">
        <v>0.5581</v>
      </c>
      <c r="J55" s="9" t="n">
        <f aca="false">TDIST(ABS(B55/I55),$O$55-1,2)</f>
        <v>0.012148668897945</v>
      </c>
      <c r="K55" s="8" t="n">
        <v>0.5664</v>
      </c>
      <c r="L55" s="9" t="n">
        <f aca="false">TDIST(ABS(B55/K55),$O$56-1,2)</f>
        <v>0.013917087851581</v>
      </c>
      <c r="N55" s="6" t="s">
        <v>58</v>
      </c>
      <c r="O55" s="7" t="n">
        <v>66</v>
      </c>
    </row>
    <row r="56" customFormat="false" ht="15" hidden="false" customHeight="false" outlineLevel="0" collapsed="false">
      <c r="A56" s="6" t="s">
        <v>61</v>
      </c>
      <c r="B56" s="8" t="n">
        <v>-12.351</v>
      </c>
      <c r="C56" s="8" t="n">
        <v>4.616</v>
      </c>
      <c r="D56" s="9" t="n">
        <f aca="false">B56/C56</f>
        <v>-2.67569324090121</v>
      </c>
      <c r="E56" s="9" t="n">
        <f aca="false">TDIST(ABS(D56),$O$54-1,2)</f>
        <v>0.00936467895957654</v>
      </c>
      <c r="F56" s="6" t="str">
        <f aca="false">IF(E56&lt;0.01,"***",IF(E56&lt;0.05,"**",IF(E56&lt;0.1,"*","")))</f>
        <v>***</v>
      </c>
      <c r="G56" s="9" t="n">
        <f aca="false">B56-$O$62*C56</f>
        <v>-21.5645745621808</v>
      </c>
      <c r="H56" s="9" t="n">
        <f aca="false">B56+$O$62*C56</f>
        <v>-3.13742543781922</v>
      </c>
      <c r="I56" s="8" t="n">
        <v>3.5292</v>
      </c>
      <c r="J56" s="9" t="n">
        <f aca="false">TDIST(ABS(B56/I56),$O$55-1,2)</f>
        <v>0.000846620884982754</v>
      </c>
      <c r="K56" s="8" t="n">
        <v>3.5051</v>
      </c>
      <c r="L56" s="9" t="n">
        <f aca="false">TDIST(ABS(B56/K56),$O$56-1,2)</f>
        <v>0.000875087164162374</v>
      </c>
      <c r="N56" s="6" t="s">
        <v>60</v>
      </c>
      <c r="O56" s="7" t="n">
        <v>55</v>
      </c>
    </row>
    <row r="57" customFormat="false" ht="15" hidden="false" customHeight="false" outlineLevel="0" collapsed="false">
      <c r="A57" s="6" t="s">
        <v>63</v>
      </c>
      <c r="B57" s="8" t="n">
        <v>8.0668</v>
      </c>
      <c r="C57" s="8" t="n">
        <v>7.008</v>
      </c>
      <c r="D57" s="9" t="n">
        <f aca="false">B57/C57</f>
        <v>1.15108447488584</v>
      </c>
      <c r="E57" s="9" t="n">
        <f aca="false">TDIST(ABS(D57),$O$54-1,2)</f>
        <v>0.253788908518678</v>
      </c>
      <c r="F57" s="6" t="str">
        <f aca="false">IF(E57&lt;0.01,"***",IF(E57&lt;0.05,"**",IF(E57&lt;0.1,"*","")))</f>
        <v/>
      </c>
      <c r="G57" s="9" t="n">
        <f aca="false">B57-$O$62*C57</f>
        <v>-5.92122654500929</v>
      </c>
      <c r="H57" s="9" t="n">
        <f aca="false">B57+$O$62*C57</f>
        <v>22.0548265450093</v>
      </c>
      <c r="I57" s="8" t="n">
        <v>5.2014</v>
      </c>
      <c r="J57" s="9" t="n">
        <f aca="false">TDIST(ABS(B57/I57),$O$55-1,2)</f>
        <v>0.125783690109521</v>
      </c>
      <c r="K57" s="8" t="n">
        <v>5.3243</v>
      </c>
      <c r="L57" s="9" t="n">
        <f aca="false">TDIST(ABS(B57/K57),$O$56-1,2)</f>
        <v>0.135581351775886</v>
      </c>
      <c r="N57" s="6" t="s">
        <v>62</v>
      </c>
      <c r="O57" s="7" t="n">
        <v>0.3651</v>
      </c>
    </row>
    <row r="58" customFormat="false" ht="15" hidden="false" customHeight="false" outlineLevel="0" collapsed="false">
      <c r="A58" s="6" t="s">
        <v>65</v>
      </c>
      <c r="B58" s="8" t="n">
        <v>-1.8501</v>
      </c>
      <c r="C58" s="8" t="n">
        <v>65.7102</v>
      </c>
      <c r="D58" s="9" t="n">
        <f aca="false">B58/C58</f>
        <v>-0.0281554461864368</v>
      </c>
      <c r="E58" s="9" t="n">
        <f aca="false">TDIST(ABS(D58),$O$54-1,2)</f>
        <v>0.977621869548081</v>
      </c>
      <c r="F58" s="6" t="str">
        <f aca="false">IF(E58&lt;0.01,"***",IF(E58&lt;0.05,"**",IF(E58&lt;0.1,"*","")))</f>
        <v/>
      </c>
      <c r="G58" s="9" t="n">
        <f aca="false">B58-$O$62*C58</f>
        <v>-133.008208144673</v>
      </c>
      <c r="H58" s="9" t="n">
        <f aca="false">B58+$O$62*C58</f>
        <v>129.308008144673</v>
      </c>
      <c r="I58" s="8" t="n">
        <v>55.2361</v>
      </c>
      <c r="J58" s="9" t="n">
        <f aca="false">TDIST(ABS(B58/I58),$O$55-1,2)</f>
        <v>0.973382974951102</v>
      </c>
      <c r="K58" s="8" t="n">
        <v>58.5922</v>
      </c>
      <c r="L58" s="9" t="n">
        <f aca="false">TDIST(ABS(B58/K58),$O$56-1,2)</f>
        <v>0.974926702544814</v>
      </c>
      <c r="N58" s="6" t="s">
        <v>64</v>
      </c>
      <c r="O58" s="7" t="n">
        <v>0.0822</v>
      </c>
    </row>
    <row r="59" customFormat="false" ht="15" hidden="false" customHeight="false" outlineLevel="0" collapsed="false">
      <c r="A59" s="14" t="s">
        <v>74</v>
      </c>
      <c r="B59" s="15" t="n">
        <v>-0.0433</v>
      </c>
      <c r="C59" s="15" t="n">
        <v>0.4869</v>
      </c>
      <c r="D59" s="16" t="n">
        <f aca="false">B59/C59</f>
        <v>-0.0889299650852331</v>
      </c>
      <c r="E59" s="16" t="n">
        <f aca="false">TDIST(ABS(D59),$O$54-1,2)</f>
        <v>0.929402862837714</v>
      </c>
      <c r="F59" s="17" t="str">
        <f aca="false">IF(E59&lt;0.01,"***",IF(E59&lt;0.05,"**",IF(E59&lt;0.1,"*","")))</f>
        <v/>
      </c>
      <c r="G59" s="16" t="n">
        <f aca="false">B59-$O$62*C59</f>
        <v>-1.01515646757492</v>
      </c>
      <c r="H59" s="16" t="n">
        <f aca="false">B59+$O$62*C59</f>
        <v>0.928556467574918</v>
      </c>
      <c r="I59" s="15" t="n">
        <v>0.4993</v>
      </c>
      <c r="J59" s="16" t="n">
        <f aca="false">TDIST(ABS(B59/I59),$O$55-1,2)</f>
        <v>0.931159556339645</v>
      </c>
      <c r="K59" s="15" t="n">
        <v>0.4596</v>
      </c>
      <c r="L59" s="16" t="n">
        <f aca="false">TDIST(ABS(B59/K59),$O$56-1,2)</f>
        <v>0.925289181383416</v>
      </c>
      <c r="N59" s="6" t="s">
        <v>18</v>
      </c>
      <c r="O59" s="7" t="n">
        <v>25</v>
      </c>
    </row>
    <row r="60" customFormat="false" ht="15" hidden="false" customHeight="false" outlineLevel="0" collapsed="false">
      <c r="N60" s="6" t="s">
        <v>67</v>
      </c>
      <c r="O60" s="7" t="n">
        <v>205</v>
      </c>
    </row>
    <row r="61" customFormat="false" ht="15" hidden="false" customHeight="false" outlineLevel="0" collapsed="false">
      <c r="N61" s="6" t="s">
        <v>69</v>
      </c>
      <c r="O61" s="7" t="n">
        <v>103</v>
      </c>
    </row>
    <row r="62" customFormat="false" ht="15" hidden="false" customHeight="false" outlineLevel="0" collapsed="false">
      <c r="A62" s="4" t="s">
        <v>39</v>
      </c>
      <c r="N62" s="6" t="s">
        <v>71</v>
      </c>
      <c r="O62" s="6" t="n">
        <f aca="false">TINV(0.05,$O$54-1)</f>
        <v>1.9960083540253</v>
      </c>
    </row>
    <row r="63" customFormat="false" ht="15" hidden="false" customHeight="false" outlineLevel="0" collapsed="false">
      <c r="A63" s="12" t="s">
        <v>87</v>
      </c>
    </row>
    <row r="64" customFormat="false" ht="23.85" hidden="false" customHeight="false" outlineLevel="0" collapsed="false">
      <c r="A64" s="13" t="s">
        <v>44</v>
      </c>
      <c r="B64" s="13" t="s">
        <v>45</v>
      </c>
      <c r="C64" s="13" t="s">
        <v>46</v>
      </c>
      <c r="D64" s="13" t="s">
        <v>47</v>
      </c>
      <c r="E64" s="13" t="s">
        <v>48</v>
      </c>
      <c r="F64" s="13" t="s">
        <v>28</v>
      </c>
      <c r="G64" s="13" t="s">
        <v>49</v>
      </c>
      <c r="H64" s="13" t="s">
        <v>50</v>
      </c>
      <c r="I64" s="13" t="s">
        <v>51</v>
      </c>
      <c r="J64" s="13" t="s">
        <v>52</v>
      </c>
      <c r="K64" s="13" t="s">
        <v>53</v>
      </c>
      <c r="L64" s="13" t="s">
        <v>54</v>
      </c>
      <c r="N64" s="6" t="s">
        <v>55</v>
      </c>
      <c r="O64" s="7" t="n">
        <v>754</v>
      </c>
    </row>
    <row r="65" customFormat="false" ht="15" hidden="false" customHeight="false" outlineLevel="0" collapsed="false">
      <c r="A65" s="6" t="s">
        <v>80</v>
      </c>
      <c r="B65" s="8" t="n">
        <v>0.2184</v>
      </c>
      <c r="C65" s="8" t="n">
        <v>0.5859</v>
      </c>
      <c r="D65" s="9" t="n">
        <f aca="false">B65/C65</f>
        <v>0.372759856630824</v>
      </c>
      <c r="E65" s="9" t="n">
        <f aca="false">TDIST(ABS(D65),$O$65-1,2)</f>
        <v>0.710116092830998</v>
      </c>
      <c r="F65" s="6" t="str">
        <f aca="false">IF(E65&lt;0.01,"***",IF(E65&lt;0.05,"**",IF(E65&lt;0.1,"*","")))</f>
        <v/>
      </c>
      <c r="G65" s="9" t="n">
        <f aca="false">B65-$O$73*C65</f>
        <v>-0.944008912702952</v>
      </c>
      <c r="H65" s="9" t="n">
        <f aca="false">B65+$O$73*C65</f>
        <v>1.38080891270295</v>
      </c>
      <c r="I65" s="8" t="n">
        <v>0.4781</v>
      </c>
      <c r="J65" s="9" t="n">
        <f aca="false">TDIST(ABS(B65/I65),$O$66-1,2)</f>
        <v>0.64918411629147</v>
      </c>
      <c r="K65" s="8" t="n">
        <v>0.5982</v>
      </c>
      <c r="L65" s="9" t="n">
        <f aca="false">TDIST(ABS(B65/K65),$O$67-1,2)</f>
        <v>0.716324112117865</v>
      </c>
      <c r="N65" s="6" t="s">
        <v>19</v>
      </c>
      <c r="O65" s="7" t="n">
        <v>101</v>
      </c>
    </row>
    <row r="66" customFormat="false" ht="15" hidden="false" customHeight="false" outlineLevel="0" collapsed="false">
      <c r="A66" s="6" t="s">
        <v>81</v>
      </c>
      <c r="B66" s="8" t="n">
        <v>-0.0849</v>
      </c>
      <c r="C66" s="8" t="n">
        <v>0.2824</v>
      </c>
      <c r="D66" s="9" t="n">
        <f aca="false">B66/C66</f>
        <v>-0.300637393767705</v>
      </c>
      <c r="E66" s="9" t="n">
        <f aca="false">TDIST(ABS(D66),$O$65-1,2)</f>
        <v>0.764315160880081</v>
      </c>
      <c r="F66" s="6" t="str">
        <f aca="false">IF(E66&lt;0.01,"***",IF(E66&lt;0.05,"**",IF(E66&lt;0.1,"*","")))</f>
        <v/>
      </c>
      <c r="G66" s="9" t="n">
        <f aca="false">B66-$O$73*C66</f>
        <v>-0.645173556831052</v>
      </c>
      <c r="H66" s="9" t="n">
        <f aca="false">B66+$O$73*C66</f>
        <v>0.475373556831052</v>
      </c>
      <c r="I66" s="8" t="n">
        <v>0.2632</v>
      </c>
      <c r="J66" s="9" t="n">
        <f aca="false">TDIST(ABS(B66/I66),$O$66-1,2)</f>
        <v>0.747956968482867</v>
      </c>
      <c r="K66" s="8" t="n">
        <v>0.2842</v>
      </c>
      <c r="L66" s="9" t="n">
        <f aca="false">TDIST(ABS(B66/K66),$O$67-1,2)</f>
        <v>0.76617577291962</v>
      </c>
      <c r="N66" s="6" t="s">
        <v>58</v>
      </c>
      <c r="O66" s="7" t="n">
        <v>73</v>
      </c>
    </row>
    <row r="67" customFormat="false" ht="15" hidden="false" customHeight="false" outlineLevel="0" collapsed="false">
      <c r="A67" s="6" t="s">
        <v>61</v>
      </c>
      <c r="B67" s="8" t="n">
        <v>-9.5528</v>
      </c>
      <c r="C67" s="8" t="n">
        <v>3.8251</v>
      </c>
      <c r="D67" s="9" t="n">
        <f aca="false">B67/C67</f>
        <v>-2.49739876081671</v>
      </c>
      <c r="E67" s="9" t="n">
        <f aca="false">TDIST(ABS(D67),$O$65-1,2)</f>
        <v>0.0141430114169516</v>
      </c>
      <c r="F67" s="6" t="str">
        <f aca="false">IF(E67&lt;0.01,"***",IF(E67&lt;0.05,"**",IF(E67&lt;0.1,"*","")))</f>
        <v>**</v>
      </c>
      <c r="G67" s="9" t="n">
        <f aca="false">B67-$O$73*C67</f>
        <v>-17.1416894555045</v>
      </c>
      <c r="H67" s="9" t="n">
        <f aca="false">B67+$O$73*C67</f>
        <v>-1.96391054449554</v>
      </c>
      <c r="I67" s="8" t="n">
        <v>2.9478</v>
      </c>
      <c r="J67" s="9" t="n">
        <f aca="false">TDIST(ABS(B67/I67),$O$66-1,2)</f>
        <v>0.00180688364962341</v>
      </c>
      <c r="K67" s="8" t="n">
        <v>2.9634</v>
      </c>
      <c r="L67" s="9" t="n">
        <f aca="false">TDIST(ABS(B67/K67),$O$67-1,2)</f>
        <v>0.00204883339704789</v>
      </c>
      <c r="N67" s="6" t="s">
        <v>60</v>
      </c>
      <c r="O67" s="7" t="n">
        <v>61</v>
      </c>
    </row>
    <row r="68" customFormat="false" ht="15" hidden="false" customHeight="false" outlineLevel="0" collapsed="false">
      <c r="A68" s="6" t="s">
        <v>63</v>
      </c>
      <c r="B68" s="8" t="n">
        <v>7.0089</v>
      </c>
      <c r="C68" s="8" t="n">
        <v>6.2228</v>
      </c>
      <c r="D68" s="9" t="n">
        <f aca="false">B68/C68</f>
        <v>1.12632576974995</v>
      </c>
      <c r="E68" s="9" t="n">
        <f aca="false">TDIST(ABS(D68),$O$65-1,2)</f>
        <v>0.262723349157711</v>
      </c>
      <c r="F68" s="6" t="str">
        <f aca="false">IF(E68&lt;0.01,"***",IF(E68&lt;0.05,"**",IF(E68&lt;0.1,"*","")))</f>
        <v/>
      </c>
      <c r="G68" s="9" t="n">
        <f aca="false">B68-$O$73*C68</f>
        <v>-5.33695796546839</v>
      </c>
      <c r="H68" s="9" t="n">
        <f aca="false">B68+$O$73*C68</f>
        <v>19.3547579654684</v>
      </c>
      <c r="I68" s="8" t="n">
        <v>4.5849</v>
      </c>
      <c r="J68" s="9" t="n">
        <f aca="false">TDIST(ABS(B68/I68),$O$66-1,2)</f>
        <v>0.130722474514736</v>
      </c>
      <c r="K68" s="8" t="n">
        <v>4.6999</v>
      </c>
      <c r="L68" s="9" t="n">
        <f aca="false">TDIST(ABS(B68/K68),$O$67-1,2)</f>
        <v>0.141125281743325</v>
      </c>
      <c r="N68" s="6" t="s">
        <v>62</v>
      </c>
      <c r="O68" s="7" t="n">
        <v>0.3631</v>
      </c>
    </row>
    <row r="69" customFormat="false" ht="15" hidden="false" customHeight="false" outlineLevel="0" collapsed="false">
      <c r="A69" s="6" t="s">
        <v>65</v>
      </c>
      <c r="B69" s="8" t="n">
        <v>80.4921</v>
      </c>
      <c r="C69" s="8" t="n">
        <v>54.1152</v>
      </c>
      <c r="D69" s="9" t="n">
        <f aca="false">B69/C69</f>
        <v>1.48742127904914</v>
      </c>
      <c r="E69" s="9" t="n">
        <f aca="false">TDIST(ABS(D69),$O$65-1,2)</f>
        <v>0.140050061465841</v>
      </c>
      <c r="F69" s="6" t="str">
        <f aca="false">IF(E69&lt;0.01,"***",IF(E69&lt;0.05,"**",IF(E69&lt;0.1,"*","")))</f>
        <v/>
      </c>
      <c r="G69" s="9" t="n">
        <f aca="false">B69-$O$73*C69</f>
        <v>-26.870915519206</v>
      </c>
      <c r="H69" s="9" t="n">
        <f aca="false">B69+$O$73*C69</f>
        <v>187.855115519206</v>
      </c>
      <c r="I69" s="8" t="n">
        <v>45.8242</v>
      </c>
      <c r="J69" s="9" t="n">
        <f aca="false">TDIST(ABS(B69/I69),$O$66-1,2)</f>
        <v>0.083247906717019</v>
      </c>
      <c r="K69" s="8" t="n">
        <v>47.9745</v>
      </c>
      <c r="L69" s="9" t="n">
        <f aca="false">TDIST(ABS(B69/K69),$O$67-1,2)</f>
        <v>0.0985864172595952</v>
      </c>
      <c r="N69" s="6" t="s">
        <v>64</v>
      </c>
      <c r="O69" s="7" t="n">
        <v>0.0457</v>
      </c>
    </row>
    <row r="70" customFormat="false" ht="15" hidden="false" customHeight="false" outlineLevel="0" collapsed="false">
      <c r="A70" s="14" t="s">
        <v>82</v>
      </c>
      <c r="B70" s="15" t="n">
        <v>0.3033</v>
      </c>
      <c r="C70" s="15" t="n">
        <v>0.6334</v>
      </c>
      <c r="D70" s="16" t="n">
        <f aca="false">B70/C70</f>
        <v>0.478844332175561</v>
      </c>
      <c r="E70" s="16" t="n">
        <f aca="false">TDIST(ABS(D70),$O$65-1,2)</f>
        <v>0.633094755409383</v>
      </c>
      <c r="F70" s="17" t="str">
        <f aca="false">IF(E70&lt;0.01,"***",IF(E70&lt;0.05,"**",IF(E70&lt;0.1,"*","")))</f>
        <v/>
      </c>
      <c r="G70" s="16" t="n">
        <f aca="false">B70-$O$73*C70</f>
        <v>-0.953347559832821</v>
      </c>
      <c r="H70" s="16" t="n">
        <f aca="false">B70+$O$73*C70</f>
        <v>1.55994755983282</v>
      </c>
      <c r="I70" s="15" t="n">
        <v>0.5307</v>
      </c>
      <c r="J70" s="16" t="n">
        <f aca="false">TDIST(ABS(B70/I70),$O$66-1,2)</f>
        <v>0.569434286803955</v>
      </c>
      <c r="K70" s="15" t="n">
        <v>0.6332</v>
      </c>
      <c r="L70" s="16" t="n">
        <f aca="false">TDIST(ABS(B70/K70),$O$67-1,2)</f>
        <v>0.633682896433125</v>
      </c>
      <c r="N70" s="6" t="s">
        <v>18</v>
      </c>
      <c r="O70" s="7" t="n">
        <v>41</v>
      </c>
    </row>
    <row r="71" customFormat="false" ht="15" hidden="false" customHeight="false" outlineLevel="0" collapsed="false">
      <c r="N71" s="6" t="s">
        <v>67</v>
      </c>
      <c r="O71" s="7" t="n">
        <v>308</v>
      </c>
    </row>
    <row r="72" customFormat="false" ht="15" hidden="false" customHeight="false" outlineLevel="0" collapsed="false">
      <c r="N72" s="6" t="s">
        <v>69</v>
      </c>
      <c r="O72" s="7" t="n">
        <v>137</v>
      </c>
    </row>
    <row r="73" customFormat="false" ht="15" hidden="false" customHeight="false" outlineLevel="0" collapsed="false">
      <c r="A73" s="4" t="s">
        <v>40</v>
      </c>
      <c r="N73" s="6" t="s">
        <v>71</v>
      </c>
      <c r="O73" s="6" t="n">
        <f aca="false">TINV(0.05,$O$65-1)</f>
        <v>1.98397151852356</v>
      </c>
    </row>
    <row r="74" customFormat="false" ht="15" hidden="false" customHeight="false" outlineLevel="0" collapsed="false">
      <c r="A74" s="12" t="s">
        <v>87</v>
      </c>
    </row>
    <row r="75" customFormat="false" ht="23.85" hidden="false" customHeight="false" outlineLevel="0" collapsed="false">
      <c r="A75" s="13" t="s">
        <v>44</v>
      </c>
      <c r="B75" s="13" t="s">
        <v>45</v>
      </c>
      <c r="C75" s="13" t="s">
        <v>46</v>
      </c>
      <c r="D75" s="13" t="s">
        <v>47</v>
      </c>
      <c r="E75" s="13" t="s">
        <v>48</v>
      </c>
      <c r="F75" s="13" t="s">
        <v>28</v>
      </c>
      <c r="G75" s="13" t="s">
        <v>49</v>
      </c>
      <c r="H75" s="13" t="s">
        <v>50</v>
      </c>
      <c r="I75" s="13" t="s">
        <v>51</v>
      </c>
      <c r="J75" s="13" t="s">
        <v>52</v>
      </c>
      <c r="K75" s="13" t="s">
        <v>53</v>
      </c>
      <c r="L75" s="13" t="s">
        <v>54</v>
      </c>
      <c r="N75" s="6" t="s">
        <v>55</v>
      </c>
      <c r="O75" s="7" t="n">
        <v>753</v>
      </c>
    </row>
    <row r="76" customFormat="false" ht="15" hidden="false" customHeight="false" outlineLevel="0" collapsed="false">
      <c r="A76" s="6" t="s">
        <v>83</v>
      </c>
      <c r="B76" s="8" t="n">
        <v>-0.1143</v>
      </c>
      <c r="C76" s="8" t="n">
        <v>0.6374</v>
      </c>
      <c r="D76" s="9" t="n">
        <f aca="false">B76/C76</f>
        <v>-0.179322246626922</v>
      </c>
      <c r="E76" s="9" t="n">
        <f aca="false">TDIST(ABS(D76),$O$76-1,2)</f>
        <v>0.858047519336408</v>
      </c>
      <c r="F76" s="6" t="str">
        <f aca="false">IF(E76&lt;0.01,"***",IF(E76&lt;0.05,"**",IF(E76&lt;0.1,"*","")))</f>
        <v/>
      </c>
      <c r="G76" s="9" t="n">
        <f aca="false">B76-$O$84*C76</f>
        <v>-1.37888344590692</v>
      </c>
      <c r="H76" s="9" t="n">
        <f aca="false">B76+$O$84*C76</f>
        <v>1.15028344590692</v>
      </c>
      <c r="I76" s="8" t="n">
        <v>0.6133</v>
      </c>
      <c r="J76" s="9" t="n">
        <f aca="false">TDIST(ABS(B76/I76),$O$77-1,2)</f>
        <v>0.852679646605183</v>
      </c>
      <c r="K76" s="8" t="n">
        <v>0.6537</v>
      </c>
      <c r="L76" s="9" t="n">
        <f aca="false">TDIST(ABS(B76/K76),$O$78-1,2)</f>
        <v>0.861785529982936</v>
      </c>
      <c r="N76" s="6" t="s">
        <v>19</v>
      </c>
      <c r="O76" s="7" t="n">
        <v>101</v>
      </c>
    </row>
    <row r="77" customFormat="false" ht="15" hidden="false" customHeight="false" outlineLevel="0" collapsed="false">
      <c r="A77" s="6" t="s">
        <v>84</v>
      </c>
      <c r="B77" s="8" t="n">
        <v>-0.2522</v>
      </c>
      <c r="C77" s="8" t="n">
        <v>0.5857</v>
      </c>
      <c r="D77" s="9" t="n">
        <f aca="false">B77/C77</f>
        <v>-0.430595868191907</v>
      </c>
      <c r="E77" s="9" t="n">
        <f aca="false">TDIST(ABS(D77),$O$76-1,2)</f>
        <v>0.667688901046931</v>
      </c>
      <c r="F77" s="6" t="str">
        <f aca="false">IF(E77&lt;0.01,"***",IF(E77&lt;0.05,"**",IF(E77&lt;0.1,"*","")))</f>
        <v/>
      </c>
      <c r="G77" s="9" t="n">
        <f aca="false">B77-$O$84*C77</f>
        <v>-1.41421211839925</v>
      </c>
      <c r="H77" s="9" t="n">
        <f aca="false">B77+$O$84*C77</f>
        <v>0.909812118399247</v>
      </c>
      <c r="I77" s="8" t="n">
        <v>0.4798</v>
      </c>
      <c r="J77" s="9" t="n">
        <f aca="false">TDIST(ABS(B77/I77),$O$77-1,2)</f>
        <v>0.600756535147539</v>
      </c>
      <c r="K77" s="8" t="n">
        <v>0.5306</v>
      </c>
      <c r="L77" s="9" t="n">
        <f aca="false">TDIST(ABS(B77/K77),$O$78-1,2)</f>
        <v>0.636291174725247</v>
      </c>
      <c r="N77" s="6" t="s">
        <v>58</v>
      </c>
      <c r="O77" s="7" t="n">
        <v>73</v>
      </c>
    </row>
    <row r="78" customFormat="false" ht="15" hidden="false" customHeight="false" outlineLevel="0" collapsed="false">
      <c r="A78" s="6" t="s">
        <v>61</v>
      </c>
      <c r="B78" s="8" t="n">
        <v>-9.6427</v>
      </c>
      <c r="C78" s="8" t="n">
        <v>3.939</v>
      </c>
      <c r="D78" s="9" t="n">
        <f aca="false">B78/C78</f>
        <v>-2.44800710840315</v>
      </c>
      <c r="E78" s="9" t="n">
        <f aca="false">TDIST(ABS(D78),$O$76-1,2)</f>
        <v>0.0161070086766508</v>
      </c>
      <c r="F78" s="6" t="str">
        <f aca="false">IF(E78&lt;0.01,"***",IF(E78&lt;0.05,"**",IF(E78&lt;0.1,"*","")))</f>
        <v>**</v>
      </c>
      <c r="G78" s="9" t="n">
        <f aca="false">B78-$O$84*C78</f>
        <v>-17.4575638114643</v>
      </c>
      <c r="H78" s="9" t="n">
        <f aca="false">B78+$O$84*C78</f>
        <v>-1.82783618853571</v>
      </c>
      <c r="I78" s="8" t="n">
        <v>3.0111</v>
      </c>
      <c r="J78" s="9" t="n">
        <f aca="false">TDIST(ABS(B78/I78),$O$77-1,2)</f>
        <v>0.00203022728064064</v>
      </c>
      <c r="K78" s="8" t="n">
        <v>3.0405</v>
      </c>
      <c r="L78" s="9" t="n">
        <f aca="false">TDIST(ABS(B78/K78),$O$78-1,2)</f>
        <v>0.00239060780117726</v>
      </c>
      <c r="N78" s="6" t="s">
        <v>60</v>
      </c>
      <c r="O78" s="7" t="n">
        <v>61</v>
      </c>
    </row>
    <row r="79" customFormat="false" ht="15" hidden="false" customHeight="false" outlineLevel="0" collapsed="false">
      <c r="A79" s="6" t="s">
        <v>63</v>
      </c>
      <c r="B79" s="8" t="n">
        <v>7.066</v>
      </c>
      <c r="C79" s="8" t="n">
        <v>6.1414</v>
      </c>
      <c r="D79" s="9" t="n">
        <f aca="false">B79/C79</f>
        <v>1.15055199140261</v>
      </c>
      <c r="E79" s="9" t="n">
        <f aca="false">TDIST(ABS(D79),$O$76-1,2)</f>
        <v>0.25266045024638</v>
      </c>
      <c r="F79" s="6" t="str">
        <f aca="false">IF(E79&lt;0.01,"***",IF(E79&lt;0.05,"**",IF(E79&lt;0.1,"*","")))</f>
        <v/>
      </c>
      <c r="G79" s="9" t="n">
        <f aca="false">B79-$O$84*C79</f>
        <v>-5.11836268386057</v>
      </c>
      <c r="H79" s="9" t="n">
        <f aca="false">B79+$O$84*C79</f>
        <v>19.2503626838606</v>
      </c>
      <c r="I79" s="8" t="n">
        <v>4.5328</v>
      </c>
      <c r="J79" s="9" t="n">
        <f aca="false">TDIST(ABS(B79/I79),$O$77-1,2)</f>
        <v>0.123414556831558</v>
      </c>
      <c r="K79" s="8" t="n">
        <v>4.6374</v>
      </c>
      <c r="L79" s="9" t="n">
        <f aca="false">TDIST(ABS(B79/K79),$O$78-1,2)</f>
        <v>0.132837782681769</v>
      </c>
      <c r="N79" s="6" t="s">
        <v>62</v>
      </c>
      <c r="O79" s="7" t="n">
        <v>0.3629</v>
      </c>
    </row>
    <row r="80" customFormat="false" ht="15" hidden="false" customHeight="false" outlineLevel="0" collapsed="false">
      <c r="A80" s="6" t="s">
        <v>65</v>
      </c>
      <c r="B80" s="8" t="n">
        <v>79.0155</v>
      </c>
      <c r="C80" s="8" t="n">
        <v>54.0545</v>
      </c>
      <c r="D80" s="9" t="n">
        <f aca="false">B80/C80</f>
        <v>1.4617746903588</v>
      </c>
      <c r="E80" s="9" t="n">
        <f aca="false">TDIST(ABS(D80),$O$76-1,2)</f>
        <v>0.146938387651177</v>
      </c>
      <c r="F80" s="6" t="str">
        <f aca="false">IF(E80&lt;0.01,"***",IF(E80&lt;0.05,"**",IF(E80&lt;0.1,"*","")))</f>
        <v/>
      </c>
      <c r="G80" s="9" t="n">
        <f aca="false">B80-$O$84*C80</f>
        <v>-28.2270884480316</v>
      </c>
      <c r="H80" s="9" t="n">
        <f aca="false">B80+$O$84*C80</f>
        <v>186.258088448032</v>
      </c>
      <c r="I80" s="8" t="n">
        <v>45.4997</v>
      </c>
      <c r="J80" s="9" t="n">
        <f aca="false">TDIST(ABS(B80/I80),$O$77-1,2)</f>
        <v>0.086731898284528</v>
      </c>
      <c r="K80" s="8" t="n">
        <v>47.7888</v>
      </c>
      <c r="L80" s="9" t="n">
        <f aca="false">TDIST(ABS(B80/K80),$O$78-1,2)</f>
        <v>0.103466508169719</v>
      </c>
      <c r="N80" s="6" t="s">
        <v>64</v>
      </c>
      <c r="O80" s="7" t="n">
        <v>0.0455</v>
      </c>
    </row>
    <row r="81" customFormat="false" ht="15" hidden="false" customHeight="false" outlineLevel="0" collapsed="false">
      <c r="A81" s="14" t="s">
        <v>85</v>
      </c>
      <c r="B81" s="15" t="n">
        <v>0.138</v>
      </c>
      <c r="C81" s="15" t="n">
        <v>0.627</v>
      </c>
      <c r="D81" s="16" t="n">
        <f aca="false">B81/C81</f>
        <v>0.220095693779904</v>
      </c>
      <c r="E81" s="16" t="n">
        <f aca="false">TDIST(ABS(D81),$O$76-1,2)</f>
        <v>0.826245319860821</v>
      </c>
      <c r="F81" s="17" t="str">
        <f aca="false">IF(E81&lt;0.01,"***",IF(E81&lt;0.05,"**",IF(E81&lt;0.1,"*","")))</f>
        <v/>
      </c>
      <c r="G81" s="16" t="n">
        <f aca="false">B81-$O$84*C81</f>
        <v>-1.10595014211427</v>
      </c>
      <c r="H81" s="16" t="n">
        <f aca="false">B81+$O$84*C81</f>
        <v>1.38195014211427</v>
      </c>
      <c r="I81" s="15" t="n">
        <v>0.5643</v>
      </c>
      <c r="J81" s="16" t="n">
        <f aca="false">TDIST(ABS(B81/I81),$O$77-1,2)</f>
        <v>0.807499878186741</v>
      </c>
      <c r="K81" s="15" t="n">
        <v>0.568</v>
      </c>
      <c r="L81" s="16" t="n">
        <f aca="false">TDIST(ABS(B81/K81),$O$78-1,2)</f>
        <v>0.808866807072676</v>
      </c>
      <c r="N81" s="6" t="s">
        <v>18</v>
      </c>
      <c r="O81" s="7" t="n">
        <v>41</v>
      </c>
    </row>
    <row r="82" customFormat="false" ht="15" hidden="false" customHeight="false" outlineLevel="0" collapsed="false">
      <c r="N82" s="6" t="s">
        <v>67</v>
      </c>
      <c r="O82" s="7" t="n">
        <v>307</v>
      </c>
    </row>
    <row r="83" customFormat="false" ht="15" hidden="false" customHeight="false" outlineLevel="0" collapsed="false">
      <c r="N83" s="6" t="s">
        <v>69</v>
      </c>
      <c r="O83" s="7" t="n">
        <v>137</v>
      </c>
    </row>
    <row r="84" customFormat="false" ht="15" hidden="false" customHeight="false" outlineLevel="0" collapsed="false">
      <c r="A84" s="4" t="s">
        <v>41</v>
      </c>
      <c r="N84" s="6" t="s">
        <v>71</v>
      </c>
      <c r="O84" s="6" t="n">
        <f aca="false">TINV(0.05,$O$76-1)</f>
        <v>1.98397151852356</v>
      </c>
    </row>
    <row r="85" customFormat="false" ht="15" hidden="false" customHeight="false" outlineLevel="0" collapsed="false">
      <c r="A85" s="12" t="s">
        <v>76</v>
      </c>
    </row>
    <row r="86" customFormat="false" ht="23.85" hidden="false" customHeight="false" outlineLevel="0" collapsed="false">
      <c r="A86" s="13" t="s">
        <v>44</v>
      </c>
      <c r="B86" s="13" t="s">
        <v>45</v>
      </c>
      <c r="C86" s="13" t="s">
        <v>46</v>
      </c>
      <c r="D86" s="13" t="s">
        <v>47</v>
      </c>
      <c r="E86" s="13" t="s">
        <v>48</v>
      </c>
      <c r="F86" s="13" t="s">
        <v>28</v>
      </c>
      <c r="G86" s="13" t="s">
        <v>49</v>
      </c>
      <c r="H86" s="13" t="s">
        <v>50</v>
      </c>
      <c r="I86" s="13" t="s">
        <v>51</v>
      </c>
      <c r="J86" s="13" t="s">
        <v>52</v>
      </c>
      <c r="K86" s="13" t="s">
        <v>53</v>
      </c>
      <c r="L86" s="13" t="s">
        <v>54</v>
      </c>
      <c r="N86" s="6" t="s">
        <v>55</v>
      </c>
      <c r="O86" s="7" t="n">
        <v>679</v>
      </c>
    </row>
    <row r="87" customFormat="false" ht="15" hidden="false" customHeight="false" outlineLevel="0" collapsed="false">
      <c r="A87" s="6" t="s">
        <v>56</v>
      </c>
      <c r="B87" s="8" t="n">
        <v>-0.877</v>
      </c>
      <c r="C87" s="8" t="n">
        <v>0.5847</v>
      </c>
      <c r="D87" s="9" t="n">
        <f aca="false">B87/C87</f>
        <v>-1.49991448606123</v>
      </c>
      <c r="E87" s="9" t="n">
        <f aca="false">TDIST(ABS(D87),$O$87-1,2)</f>
        <v>0.136787185060425</v>
      </c>
      <c r="F87" s="6" t="str">
        <f aca="false">IF(E87&lt;0.01,"***",IF(E87&lt;0.05,"**",IF(E87&lt;0.1,"*","")))</f>
        <v/>
      </c>
      <c r="G87" s="9" t="n">
        <f aca="false">B87-$O$95*C87</f>
        <v>-2.03702814688072</v>
      </c>
      <c r="H87" s="9" t="n">
        <f aca="false">B87+$O$95*C87</f>
        <v>0.283028146880724</v>
      </c>
      <c r="I87" s="8" t="n">
        <v>0.5753</v>
      </c>
      <c r="J87" s="9" t="n">
        <f aca="false">TDIST(ABS(B87/I87),$O$88-1,2)</f>
        <v>0.132181066554549</v>
      </c>
      <c r="K87" s="8" t="n">
        <v>0.6766</v>
      </c>
      <c r="L87" s="9" t="n">
        <f aca="false">TDIST(ABS(B87/K87),$O$89-1,2)</f>
        <v>0.200423613416366</v>
      </c>
      <c r="N87" s="6" t="s">
        <v>19</v>
      </c>
      <c r="O87" s="7" t="n">
        <v>101</v>
      </c>
    </row>
    <row r="88" customFormat="false" ht="15" hidden="false" customHeight="false" outlineLevel="0" collapsed="false">
      <c r="A88" s="6" t="s">
        <v>83</v>
      </c>
      <c r="B88" s="8" t="n">
        <v>-0.1997</v>
      </c>
      <c r="C88" s="8" t="n">
        <v>0.6127</v>
      </c>
      <c r="D88" s="9" t="n">
        <f aca="false">B88/C88</f>
        <v>-0.325934388771014</v>
      </c>
      <c r="E88" s="9" t="n">
        <f aca="false">TDIST(ABS(D88),$O$87-1,2)</f>
        <v>0.745155067262198</v>
      </c>
      <c r="F88" s="6" t="str">
        <f aca="false">IF(E88&lt;0.01,"***",IF(E88&lt;0.05,"**",IF(E88&lt;0.1,"*","")))</f>
        <v/>
      </c>
      <c r="G88" s="9" t="n">
        <f aca="false">B88-$O$95*C88</f>
        <v>-1.41527934939938</v>
      </c>
      <c r="H88" s="9" t="n">
        <f aca="false">B88+$O$95*C88</f>
        <v>1.01587934939938</v>
      </c>
      <c r="I88" s="8" t="n">
        <v>0.5489</v>
      </c>
      <c r="J88" s="9" t="n">
        <f aca="false">TDIST(ABS(B88/I88),$O$88-1,2)</f>
        <v>0.717156392712638</v>
      </c>
      <c r="K88" s="8" t="n">
        <v>0.6707</v>
      </c>
      <c r="L88" s="9" t="n">
        <f aca="false">TDIST(ABS(B88/K88),$O$89-1,2)</f>
        <v>0.76703758317747</v>
      </c>
      <c r="N88" s="6" t="s">
        <v>58</v>
      </c>
      <c r="O88" s="7" t="n">
        <v>67</v>
      </c>
    </row>
    <row r="89" customFormat="false" ht="15" hidden="false" customHeight="false" outlineLevel="0" collapsed="false">
      <c r="A89" s="6" t="s">
        <v>84</v>
      </c>
      <c r="B89" s="8" t="n">
        <v>0.4047</v>
      </c>
      <c r="C89" s="8" t="n">
        <v>0.5641</v>
      </c>
      <c r="D89" s="9" t="n">
        <f aca="false">B89/C89</f>
        <v>0.717425988299947</v>
      </c>
      <c r="E89" s="9" t="n">
        <f aca="false">TDIST(ABS(D89),$O$87-1,2)</f>
        <v>0.474783821718042</v>
      </c>
      <c r="F89" s="6" t="str">
        <f aca="false">IF(E89&lt;0.01,"***",IF(E89&lt;0.05,"**",IF(E89&lt;0.1,"*","")))</f>
        <v/>
      </c>
      <c r="G89" s="9" t="n">
        <f aca="false">B89-$O$95*C89</f>
        <v>-0.714458333599138</v>
      </c>
      <c r="H89" s="9" t="n">
        <f aca="false">B89+$O$95*C89</f>
        <v>1.52385833359914</v>
      </c>
      <c r="I89" s="8" t="n">
        <v>0.4616</v>
      </c>
      <c r="J89" s="9" t="n">
        <f aca="false">TDIST(ABS(B89/I89),$O$88-1,2)</f>
        <v>0.383811685782914</v>
      </c>
      <c r="K89" s="8" t="n">
        <v>0.5244</v>
      </c>
      <c r="L89" s="9" t="n">
        <f aca="false">TDIST(ABS(B89/K89),$O$89-1,2)</f>
        <v>0.443633192667134</v>
      </c>
      <c r="N89" s="6" t="s">
        <v>60</v>
      </c>
      <c r="O89" s="7" t="n">
        <v>55</v>
      </c>
    </row>
    <row r="90" customFormat="false" ht="15" hidden="false" customHeight="false" outlineLevel="0" collapsed="false">
      <c r="A90" s="6" t="s">
        <v>61</v>
      </c>
      <c r="B90" s="8" t="n">
        <v>-3.3973</v>
      </c>
      <c r="C90" s="8" t="n">
        <v>1.5566</v>
      </c>
      <c r="D90" s="9" t="n">
        <f aca="false">B90/C90</f>
        <v>-2.1825131697289</v>
      </c>
      <c r="E90" s="9" t="n">
        <f aca="false">TDIST(ABS(D90),$O$87-1,2)</f>
        <v>0.0314125116474819</v>
      </c>
      <c r="F90" s="6" t="str">
        <f aca="false">IF(E90&lt;0.01,"***",IF(E90&lt;0.05,"**",IF(E90&lt;0.1,"*","")))</f>
        <v>**</v>
      </c>
      <c r="G90" s="9" t="n">
        <f aca="false">B90-$O$95*C90</f>
        <v>-6.48555006573377</v>
      </c>
      <c r="H90" s="9" t="n">
        <f aca="false">B90+$O$95*C90</f>
        <v>-0.309049934266232</v>
      </c>
      <c r="I90" s="8" t="n">
        <v>1.5877</v>
      </c>
      <c r="J90" s="9" t="n">
        <f aca="false">TDIST(ABS(B90/I90),$O$88-1,2)</f>
        <v>0.0360755560210968</v>
      </c>
      <c r="K90" s="8" t="n">
        <v>1.505</v>
      </c>
      <c r="L90" s="9" t="n">
        <f aca="false">TDIST(ABS(B90/K90),$O$89-1,2)</f>
        <v>0.0280536334385983</v>
      </c>
      <c r="N90" s="6" t="s">
        <v>62</v>
      </c>
      <c r="O90" s="7" t="n">
        <v>0.2371</v>
      </c>
    </row>
    <row r="91" customFormat="false" ht="15" hidden="false" customHeight="false" outlineLevel="0" collapsed="false">
      <c r="A91" s="6" t="s">
        <v>63</v>
      </c>
      <c r="B91" s="8" t="n">
        <v>0.4111</v>
      </c>
      <c r="C91" s="8" t="n">
        <v>3.7781</v>
      </c>
      <c r="D91" s="9" t="n">
        <f aca="false">B91/C91</f>
        <v>0.10881130727085</v>
      </c>
      <c r="E91" s="9" t="n">
        <f aca="false">TDIST(ABS(D91),$O$87-1,2)</f>
        <v>0.913570197372491</v>
      </c>
      <c r="F91" s="6" t="str">
        <f aca="false">IF(E91&lt;0.01,"***",IF(E91&lt;0.05,"**",IF(E91&lt;0.1,"*","")))</f>
        <v/>
      </c>
      <c r="G91" s="9" t="n">
        <f aca="false">B91-$O$95*C91</f>
        <v>-7.08454279413385</v>
      </c>
      <c r="H91" s="9" t="n">
        <f aca="false">B91+$O$95*C91</f>
        <v>7.90674279413385</v>
      </c>
      <c r="I91" s="8" t="n">
        <v>2.8672</v>
      </c>
      <c r="J91" s="9" t="n">
        <f aca="false">TDIST(ABS(B91/I91),$O$88-1,2)</f>
        <v>0.886426705969049</v>
      </c>
      <c r="K91" s="8" t="n">
        <v>3.3306</v>
      </c>
      <c r="L91" s="9" t="n">
        <f aca="false">TDIST(ABS(B91/K91),$O$89-1,2)</f>
        <v>0.902223919900589</v>
      </c>
      <c r="N91" s="6" t="s">
        <v>64</v>
      </c>
      <c r="O91" s="7" t="n">
        <v>0.0392</v>
      </c>
    </row>
    <row r="92" customFormat="false" ht="15" hidden="false" customHeight="false" outlineLevel="0" collapsed="false">
      <c r="A92" s="6" t="s">
        <v>65</v>
      </c>
      <c r="B92" s="8" t="n">
        <v>34.7565</v>
      </c>
      <c r="C92" s="8" t="n">
        <v>41.9898</v>
      </c>
      <c r="D92" s="9" t="n">
        <f aca="false">B92/C92</f>
        <v>0.827736736064473</v>
      </c>
      <c r="E92" s="9" t="n">
        <f aca="false">TDIST(ABS(D92),$O$87-1,2)</f>
        <v>0.409790619795853</v>
      </c>
      <c r="F92" s="6" t="str">
        <f aca="false">IF(E92&lt;0.01,"***",IF(E92&lt;0.05,"**",IF(E92&lt;0.1,"*","")))</f>
        <v/>
      </c>
      <c r="G92" s="9" t="n">
        <f aca="false">B92-$O$95*C92</f>
        <v>-48.5500672685004</v>
      </c>
      <c r="H92" s="9" t="n">
        <f aca="false">B92+$O$95*C92</f>
        <v>118.0630672685</v>
      </c>
      <c r="I92" s="8" t="n">
        <v>38.6007</v>
      </c>
      <c r="J92" s="9" t="n">
        <f aca="false">TDIST(ABS(B92/I92),$O$88-1,2)</f>
        <v>0.371175296256688</v>
      </c>
      <c r="K92" s="8" t="n">
        <v>41.3999</v>
      </c>
      <c r="L92" s="9" t="n">
        <f aca="false">TDIST(ABS(B92/K92),$O$89-1,2)</f>
        <v>0.404872894408824</v>
      </c>
      <c r="N92" s="6" t="s">
        <v>18</v>
      </c>
      <c r="O92" s="7" t="n">
        <v>41</v>
      </c>
    </row>
    <row r="93" customFormat="false" ht="15" hidden="false" customHeight="false" outlineLevel="0" collapsed="false">
      <c r="A93" s="6" t="s">
        <v>68</v>
      </c>
      <c r="B93" s="8" t="n">
        <v>0.0068</v>
      </c>
      <c r="C93" s="8" t="n">
        <v>0.0285</v>
      </c>
      <c r="D93" s="9" t="n">
        <f aca="false">B93/C93</f>
        <v>0.23859649122807</v>
      </c>
      <c r="E93" s="9" t="n">
        <f aca="false">TDIST(ABS(D93),$O$87-1,2)</f>
        <v>0.81190675029681</v>
      </c>
      <c r="F93" s="6" t="str">
        <f aca="false">IF(E93&lt;0.01,"***",IF(E93&lt;0.05,"**",IF(E93&lt;0.1,"*","")))</f>
        <v/>
      </c>
      <c r="G93" s="9" t="n">
        <f aca="false">B93-$O$95*C93</f>
        <v>-0.0497431882779214</v>
      </c>
      <c r="H93" s="9" t="n">
        <f aca="false">B93+$O$95*C93</f>
        <v>0.0633431882779214</v>
      </c>
      <c r="I93" s="8" t="n">
        <v>0.0236</v>
      </c>
      <c r="J93" s="9" t="n">
        <f aca="false">TDIST(ABS(B93/I93),$O$88-1,2)</f>
        <v>0.77414587066986</v>
      </c>
      <c r="K93" s="8" t="n">
        <v>0.0247</v>
      </c>
      <c r="L93" s="9" t="n">
        <f aca="false">TDIST(ABS(B93/K93),$O$89-1,2)</f>
        <v>0.784133670277218</v>
      </c>
      <c r="N93" s="6" t="s">
        <v>67</v>
      </c>
      <c r="O93" s="7" t="n">
        <v>307</v>
      </c>
    </row>
    <row r="94" customFormat="false" ht="15" hidden="false" customHeight="false" outlineLevel="0" collapsed="false">
      <c r="A94" s="6" t="s">
        <v>70</v>
      </c>
      <c r="B94" s="8" t="n">
        <v>-0.0114</v>
      </c>
      <c r="C94" s="8" t="n">
        <v>0.0336</v>
      </c>
      <c r="D94" s="9" t="n">
        <f aca="false">B94/C94</f>
        <v>-0.339285714285714</v>
      </c>
      <c r="E94" s="9" t="n">
        <f aca="false">TDIST(ABS(D94),$O$87-1,2)</f>
        <v>0.735105990880868</v>
      </c>
      <c r="F94" s="6" t="str">
        <f aca="false">IF(E94&lt;0.01,"***",IF(E94&lt;0.05,"**",IF(E94&lt;0.1,"*","")))</f>
        <v/>
      </c>
      <c r="G94" s="9" t="n">
        <f aca="false">B94-$O$95*C94</f>
        <v>-0.0780614430223915</v>
      </c>
      <c r="H94" s="9" t="n">
        <f aca="false">B94+$O$95*C94</f>
        <v>0.0552614430223915</v>
      </c>
      <c r="I94" s="8" t="n">
        <v>0.0361</v>
      </c>
      <c r="J94" s="9" t="n">
        <f aca="false">TDIST(ABS(B94/I94),$O$88-1,2)</f>
        <v>0.753158764997245</v>
      </c>
      <c r="K94" s="8" t="n">
        <v>0.0415</v>
      </c>
      <c r="L94" s="9" t="n">
        <f aca="false">TDIST(ABS(B94/K94),$O$89-1,2)</f>
        <v>0.784595904262357</v>
      </c>
      <c r="N94" s="6" t="s">
        <v>69</v>
      </c>
      <c r="O94" s="7" t="n">
        <v>137</v>
      </c>
    </row>
    <row r="95" customFormat="false" ht="15" hidden="false" customHeight="false" outlineLevel="0" collapsed="false">
      <c r="A95" s="6" t="s">
        <v>72</v>
      </c>
      <c r="B95" s="8" t="n">
        <v>-0.191</v>
      </c>
      <c r="C95" s="8" t="n">
        <v>0.2613</v>
      </c>
      <c r="D95" s="9" t="n">
        <f aca="false">B95/C95</f>
        <v>-0.73096058170685</v>
      </c>
      <c r="E95" s="9" t="n">
        <f aca="false">TDIST(ABS(D95),$O$87-1,2)</f>
        <v>0.466512487074997</v>
      </c>
      <c r="F95" s="6" t="str">
        <f aca="false">IF(E95&lt;0.01,"***",IF(E95&lt;0.05,"**",IF(E95&lt;0.1,"*","")))</f>
        <v/>
      </c>
      <c r="G95" s="9" t="n">
        <f aca="false">B95-$O$95*C95</f>
        <v>-0.709411757790205</v>
      </c>
      <c r="H95" s="9" t="n">
        <f aca="false">B95+$O$95*C95</f>
        <v>0.327411757790205</v>
      </c>
      <c r="I95" s="8" t="n">
        <v>0.2545</v>
      </c>
      <c r="J95" s="9" t="n">
        <f aca="false">TDIST(ABS(B95/I95),$O$88-1,2)</f>
        <v>0.455626264365554</v>
      </c>
      <c r="K95" s="8" t="n">
        <v>0.2714</v>
      </c>
      <c r="L95" s="9" t="n">
        <f aca="false">TDIST(ABS(B95/K95),$O$89-1,2)</f>
        <v>0.484606992560399</v>
      </c>
      <c r="N95" s="6" t="s">
        <v>71</v>
      </c>
      <c r="O95" s="6" t="n">
        <f aca="false">TINV(0.05,$O$87-1)</f>
        <v>1.98397151852356</v>
      </c>
    </row>
    <row r="96" customFormat="false" ht="15" hidden="false" customHeight="false" outlineLevel="0" collapsed="false">
      <c r="A96" s="6" t="s">
        <v>73</v>
      </c>
      <c r="B96" s="8" t="n">
        <v>0.0197</v>
      </c>
      <c r="C96" s="8" t="n">
        <v>0.3347</v>
      </c>
      <c r="D96" s="9" t="n">
        <f aca="false">B96/C96</f>
        <v>0.058858679414401</v>
      </c>
      <c r="E96" s="9" t="n">
        <f aca="false">TDIST(ABS(D96),$O$87-1,2)</f>
        <v>0.953182129749398</v>
      </c>
      <c r="F96" s="6" t="str">
        <f aca="false">IF(E96&lt;0.01,"***",IF(E96&lt;0.05,"**",IF(E96&lt;0.1,"*","")))</f>
        <v/>
      </c>
      <c r="G96" s="9" t="n">
        <f aca="false">B96-$O$95*C96</f>
        <v>-0.644335267249834</v>
      </c>
      <c r="H96" s="9" t="n">
        <f aca="false">B96+$O$95*C96</f>
        <v>0.683735267249835</v>
      </c>
      <c r="I96" s="8" t="n">
        <v>0.3459</v>
      </c>
      <c r="J96" s="9" t="n">
        <f aca="false">TDIST(ABS(B96/I96),$O$88-1,2)</f>
        <v>0.954754806442794</v>
      </c>
      <c r="K96" s="8" t="n">
        <v>0.3809</v>
      </c>
      <c r="L96" s="9" t="n">
        <f aca="false">TDIST(ABS(B96/K96),$O$89-1,2)</f>
        <v>0.958942959273661</v>
      </c>
    </row>
    <row r="97" customFormat="false" ht="15" hidden="false" customHeight="false" outlineLevel="0" collapsed="false">
      <c r="A97" s="14" t="s">
        <v>85</v>
      </c>
      <c r="B97" s="15" t="n">
        <v>-0.6044</v>
      </c>
      <c r="C97" s="15" t="n">
        <v>0.7515</v>
      </c>
      <c r="D97" s="16" t="n">
        <f aca="false">B97/C97</f>
        <v>-0.804258150365935</v>
      </c>
      <c r="E97" s="16" t="n">
        <f aca="false">TDIST(ABS(D97),$O$87-1,2)</f>
        <v>0.423155755005752</v>
      </c>
      <c r="F97" s="17" t="str">
        <f aca="false">IF(E97&lt;0.01,"***",IF(E97&lt;0.05,"**",IF(E97&lt;0.1,"*","")))</f>
        <v/>
      </c>
      <c r="G97" s="16" t="n">
        <f aca="false">B97-$O$95*C97</f>
        <v>-2.09535459617045</v>
      </c>
      <c r="H97" s="16" t="n">
        <f aca="false">B97+$O$95*C97</f>
        <v>0.886554596170453</v>
      </c>
      <c r="I97" s="15" t="n">
        <v>0.6086</v>
      </c>
      <c r="J97" s="16" t="n">
        <f aca="false">TDIST(ABS(B97/I97),$O$88-1,2)</f>
        <v>0.324288825526617</v>
      </c>
      <c r="K97" s="15" t="n">
        <v>0.7427</v>
      </c>
      <c r="L97" s="16" t="n">
        <f aca="false">TDIST(ABS(B97/K97),$O$89-1,2)</f>
        <v>0.419340703501705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34"/>
    <col collapsed="false" customWidth="true" hidden="false" outlineLevel="0" max="3" min="3" style="0" width="8"/>
    <col collapsed="false" customWidth="true" hidden="false" outlineLevel="0" max="9" min="4" style="0" width="12"/>
    <col collapsed="false" customWidth="true" hidden="false" outlineLevel="0" max="10" min="10" style="0" width="14"/>
    <col collapsed="false" customWidth="true" hidden="false" outlineLevel="0" max="11" min="11" style="0" width="16"/>
    <col collapsed="false" customWidth="true" hidden="false" outlineLevel="0" max="12" min="12" style="0" width="12"/>
  </cols>
  <sheetData>
    <row r="1" customFormat="false" ht="15" hidden="false" customHeight="false" outlineLevel="0" collapsed="false">
      <c r="A1" s="4" t="s">
        <v>88</v>
      </c>
    </row>
    <row r="3" customFormat="false" ht="31.5" hidden="false" customHeight="true" outlineLevel="0" collapsed="false">
      <c r="A3" s="5" t="s">
        <v>89</v>
      </c>
      <c r="B3" s="5" t="s">
        <v>90</v>
      </c>
      <c r="C3" s="5" t="s">
        <v>91</v>
      </c>
      <c r="D3" s="5" t="s">
        <v>92</v>
      </c>
      <c r="E3" s="5" t="s">
        <v>93</v>
      </c>
      <c r="F3" s="5" t="s">
        <v>94</v>
      </c>
      <c r="G3" s="5" t="s">
        <v>95</v>
      </c>
      <c r="H3" s="5" t="s">
        <v>96</v>
      </c>
      <c r="I3" s="5" t="s">
        <v>97</v>
      </c>
      <c r="J3" s="5" t="s">
        <v>98</v>
      </c>
      <c r="K3" s="5" t="s">
        <v>99</v>
      </c>
      <c r="L3" s="5" t="s">
        <v>100</v>
      </c>
    </row>
    <row r="4" customFormat="false" ht="15" hidden="false" customHeight="false" outlineLevel="0" collapsed="false">
      <c r="A4" s="6" t="s">
        <v>101</v>
      </c>
      <c r="B4" s="6" t="s">
        <v>102</v>
      </c>
      <c r="C4" s="7" t="n">
        <v>27</v>
      </c>
      <c r="D4" s="8" t="n">
        <v>0.2074</v>
      </c>
      <c r="E4" s="8" t="n">
        <v>0.0583</v>
      </c>
      <c r="F4" s="8" t="n">
        <v>-0.1491</v>
      </c>
      <c r="G4" s="8" t="n">
        <v>2.3699</v>
      </c>
      <c r="H4" s="8" t="n">
        <v>0.1527</v>
      </c>
      <c r="I4" s="8" t="n">
        <v>0.5556</v>
      </c>
      <c r="J4" s="8" t="n">
        <v>0.7463</v>
      </c>
      <c r="K4" s="8" t="n">
        <v>0.9906</v>
      </c>
      <c r="L4" s="8" t="n">
        <v>0.7011</v>
      </c>
    </row>
    <row r="5" customFormat="false" ht="15" hidden="false" customHeight="false" outlineLevel="0" collapsed="false">
      <c r="A5" s="6" t="s">
        <v>101</v>
      </c>
      <c r="B5" s="6" t="s">
        <v>103</v>
      </c>
      <c r="C5" s="7" t="n">
        <v>89</v>
      </c>
      <c r="D5" s="8" t="n">
        <v>0.1266</v>
      </c>
      <c r="E5" s="8" t="n">
        <v>-0.5149</v>
      </c>
      <c r="F5" s="8" t="n">
        <v>-0.6415</v>
      </c>
      <c r="G5" s="8" t="n">
        <v>3.3908</v>
      </c>
      <c r="H5" s="8" t="n">
        <v>-0.0625</v>
      </c>
      <c r="I5" s="8" t="n">
        <v>0.4382</v>
      </c>
      <c r="J5" s="8" t="n">
        <v>0.0777</v>
      </c>
      <c r="K5" s="8" t="n">
        <v>0.1737</v>
      </c>
      <c r="L5" s="8" t="n">
        <v>0.2891</v>
      </c>
    </row>
    <row r="6" customFormat="false" ht="15" hidden="false" customHeight="false" outlineLevel="0" collapsed="false">
      <c r="A6" s="6" t="s">
        <v>101</v>
      </c>
      <c r="B6" s="6" t="s">
        <v>104</v>
      </c>
      <c r="C6" s="7" t="n">
        <v>116</v>
      </c>
      <c r="D6" s="8"/>
      <c r="E6" s="8"/>
      <c r="F6" s="8" t="n">
        <v>0.4924</v>
      </c>
      <c r="G6" s="8"/>
      <c r="H6" s="8" t="n">
        <v>0.2151</v>
      </c>
      <c r="I6" s="8"/>
      <c r="J6" s="8" t="n">
        <v>0.3998</v>
      </c>
      <c r="K6" s="8" t="n">
        <v>0.4369</v>
      </c>
      <c r="L6" s="8"/>
    </row>
    <row r="7" customFormat="false" ht="15" hidden="false" customHeight="false" outlineLevel="0" collapsed="false">
      <c r="A7" s="6" t="s">
        <v>105</v>
      </c>
      <c r="B7" s="6" t="s">
        <v>102</v>
      </c>
      <c r="C7" s="7" t="n">
        <v>19</v>
      </c>
      <c r="D7" s="8" t="n">
        <v>0.3733</v>
      </c>
      <c r="E7" s="8" t="n">
        <v>0.4051</v>
      </c>
      <c r="F7" s="8" t="n">
        <v>0.0318</v>
      </c>
      <c r="G7" s="8" t="n">
        <v>1.2665</v>
      </c>
      <c r="H7" s="8" t="n">
        <v>0.165</v>
      </c>
      <c r="I7" s="8" t="n">
        <v>0.5789</v>
      </c>
      <c r="J7" s="8" t="n">
        <v>0.9139</v>
      </c>
      <c r="K7" s="8" t="n">
        <v>0.9217</v>
      </c>
      <c r="L7" s="8" t="n">
        <v>0.6476</v>
      </c>
    </row>
    <row r="8" customFormat="false" ht="15" hidden="false" customHeight="false" outlineLevel="0" collapsed="false">
      <c r="A8" s="6" t="s">
        <v>105</v>
      </c>
      <c r="B8" s="6" t="s">
        <v>103</v>
      </c>
      <c r="C8" s="7" t="n">
        <v>71</v>
      </c>
      <c r="D8" s="8" t="n">
        <v>0.5704</v>
      </c>
      <c r="E8" s="8" t="n">
        <v>0.0165</v>
      </c>
      <c r="F8" s="8" t="n">
        <v>-0.5539</v>
      </c>
      <c r="G8" s="8" t="n">
        <v>2.8523</v>
      </c>
      <c r="H8" s="8" t="n">
        <v>-0.2333</v>
      </c>
      <c r="I8" s="8" t="n">
        <v>0.3944</v>
      </c>
      <c r="J8" s="8" t="n">
        <v>0.1063</v>
      </c>
      <c r="K8" s="8" t="n">
        <v>0.1378</v>
      </c>
      <c r="L8" s="8" t="n">
        <v>0.0959</v>
      </c>
    </row>
    <row r="9" customFormat="false" ht="15" hidden="false" customHeight="false" outlineLevel="0" collapsed="false">
      <c r="A9" s="6" t="s">
        <v>105</v>
      </c>
      <c r="B9" s="6" t="s">
        <v>104</v>
      </c>
      <c r="C9" s="7" t="n">
        <v>90</v>
      </c>
      <c r="D9" s="8"/>
      <c r="E9" s="8"/>
      <c r="F9" s="8" t="n">
        <v>0.5857</v>
      </c>
      <c r="G9" s="8"/>
      <c r="H9" s="8" t="n">
        <v>0.3983</v>
      </c>
      <c r="I9" s="8"/>
      <c r="J9" s="8" t="n">
        <v>0.1936</v>
      </c>
      <c r="K9" s="8" t="n">
        <v>0.3301</v>
      </c>
      <c r="L9" s="8"/>
    </row>
    <row r="11" customFormat="false" ht="15" hidden="false" customHeight="false" outlineLevel="0" collapsed="false">
      <c r="A11" s="12" t="s">
        <v>106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2026-10-08T14:00:39Z</dcterms:created>
  <dc:creator>openpyxl</dc:creator>
  <dc:description/>
  <dc:language>en-US</dc:language>
  <cp:lastModifiedBy/>
  <dcterms:modified xsi:type="dcterms:W3CDTF">2026-10-08T14:00:41Z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