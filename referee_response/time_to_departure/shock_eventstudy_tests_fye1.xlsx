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ngle years" sheetId="1" state="visible" r:id="rId3"/>
    <sheet name="Two-year bins" sheetId="2" state="visible" r:id="rId4"/>
    <sheet name="Estima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<sst xmlns="http://schemas.openxmlformats.org/spreadsheetml/2006/main" count="686" uniqueCount="56">
  <si>
    <t xml:space="preserve">Shock-Period vs. Non-Shock Coefficients: Event Study With FY2008 Base</t>
  </si>
  <si>
    <t xml:space="preserve">The event study has an indicator for each fiscal year 2005-2017 (FY2008 omitted) and endpoint bins for FY2002-2004 and FY2018-2020. Each column is one regression of performance on Conflicted CIO and Conflicted CIO interacted with period indicators (the base period omitted), the Table VIII controls, and the fixed effects shown; standard errors are double clustered by plan and year. The average effect of conflict in a group of years is Conflicted CIO plus the average of that group's interaction coefficients, weighting each coefficient by the number of fiscal years it covers in the FY2002-2020 sample and counting the base period as zero; the differences therefore do not depend on which period is omitted. Shock-period years are FY2009-2013 (Shock Period = 1); non-shock years are FY2002-2008 and FY2014-2020. Benchmark-Adjusted Return is the plan's return minus the updated policy benchmark (reported, or inferred and graded A or B). Coefficients marked with ***, **, and * are significant at the 1%, 5%, and 10% level, respectively.</t>
  </si>
  <si>
    <t xml:space="preserve">Peer-Adjusted Return</t>
  </si>
  <si>
    <t xml:space="preserve">Benchmark-Adjusted Return</t>
  </si>
  <si>
    <t xml:space="preserve">Fiscal-Year-End FE</t>
  </si>
  <si>
    <t xml:space="preserve">Plan and Fiscal-Year-End FE</t>
  </si>
  <si>
    <t xml:space="preserve">Panel A. Shock-period years vs. non-shock years</t>
  </si>
  <si>
    <t xml:space="preserve">Average effect of conflict, shock-period years (FY2009-2013)</t>
  </si>
  <si>
    <t xml:space="preserve">Average effect of conflict, non-shock years</t>
  </si>
  <si>
    <t xml:space="preserve">Difference: shock-period minus non-shock years</t>
  </si>
  <si>
    <t xml:space="preserve">p-value of the difference</t>
  </si>
  <si>
    <t xml:space="preserve">Panel B. Non-shock years split into pre-shock and post-shock</t>
  </si>
  <si>
    <t xml:space="preserve">Average effect of conflict, pre-shock years (FY2002-2008)</t>
  </si>
  <si>
    <t xml:space="preserve">Average effect of conflict, post-shock years (FY2014-2020)</t>
  </si>
  <si>
    <t xml:space="preserve">Difference: shock-period minus pre-shock years</t>
  </si>
  <si>
    <t xml:space="preserve">Difference: shock-period minus post-shock years</t>
  </si>
  <si>
    <t xml:space="preserve">Panel C. Event-study coefficients</t>
  </si>
  <si>
    <t xml:space="preserve">Conflicted CIO (effect in the base period)</t>
  </si>
  <si>
    <t xml:space="preserve">Conflicted CIO x FY2002-2004</t>
  </si>
  <si>
    <t xml:space="preserve">Conflicted CIO x FY2005</t>
  </si>
  <si>
    <t xml:space="preserve">Conflicted CIO x FY2006</t>
  </si>
  <si>
    <t xml:space="preserve">Conflicted CIO x FY2007</t>
  </si>
  <si>
    <t xml:space="preserve">Conflicted CIO x FY2009</t>
  </si>
  <si>
    <t xml:space="preserve">Conflicted CIO x FY2010</t>
  </si>
  <si>
    <t xml:space="preserve">Conflicted CIO x FY2011</t>
  </si>
  <si>
    <t xml:space="preserve">Conflicted CIO x FY2012</t>
  </si>
  <si>
    <t xml:space="preserve">Conflicted CIO x FY2013</t>
  </si>
  <si>
    <t xml:space="preserve">Conflicted CIO x FY2014</t>
  </si>
  <si>
    <t xml:space="preserve">Conflicted CIO x FY2015</t>
  </si>
  <si>
    <t xml:space="preserve">Conflicted CIO x FY2016</t>
  </si>
  <si>
    <t xml:space="preserve">Conflicted CIO x FY2017</t>
  </si>
  <si>
    <t xml:space="preserve">Conflicted CIO x FY2018-2020</t>
  </si>
  <si>
    <t xml:space="preserve">Observations</t>
  </si>
  <si>
    <t xml:space="preserve">Shock-Period vs. Non-Shock Coefficients: Event Study With Two-Year Bins (FY2007-08 Base)</t>
  </si>
  <si>
    <t xml:space="preserve">The event study uses two-year periods (FY2007-08 omitted; the shock period split into FY2009-10 and FY2011-13; FY2018-20 pooled; the 2001-02 bin contains only FY2002 in the regression sample). Each column is one regression of performance on Conflicted CIO and Conflicted CIO interacted with period indicators (the base period omitted), the Table VIII controls, and the fixed effects shown; standard errors are double clustered by plan and year. The average effect of conflict in a group of years is Conflicted CIO plus the average of that group's interaction coefficients, weighting each coefficient by the number of fiscal years it covers in the FY2002-2020 sample and counting the base period as zero; the differences therefore do not depend on which period is omitted. Shock-period years are FY2009-2013 (Shock Period = 1); non-shock years are FY2002-2008 and FY2014-2020. Benchmark-Adjusted Return is the plan's return minus the updated policy benchmark (reported, or inferred and graded A or B). Coefficients marked with ***, **, and * are significant at the 1%, 5%, and 10% level, respectively.</t>
  </si>
  <si>
    <t xml:space="preserve">Conflicted CIO x FY2002 (2001-02 bin)</t>
  </si>
  <si>
    <t xml:space="preserve">Conflicted CIO x FY2003-04</t>
  </si>
  <si>
    <t xml:space="preserve">Conflicted CIO x FY2005-06</t>
  </si>
  <si>
    <t xml:space="preserve">Conflicted CIO x FY2009-10</t>
  </si>
  <si>
    <t xml:space="preserve">Conflicted CIO x FY2011-13</t>
  </si>
  <si>
    <t xml:space="preserve">Conflicted CIO x FY2014-15</t>
  </si>
  <si>
    <t xml:space="preserve">Conflicted CIO x FY2016-17</t>
  </si>
  <si>
    <t xml:space="preserve">Conflicted CIO x FY2018-20</t>
  </si>
  <si>
    <t xml:space="preserve">Estimates behind the tables. Blue = regression output (coefficient, SE, minimum cluster count). t and p are formulas; p uses the t distribution with (min clusters - 1) df. SE double clustered by plan and year, with the eigenvalue fix.</t>
  </si>
  <si>
    <t xml:space="preserve">Event study</t>
  </si>
  <si>
    <t xml:space="preserve">Dependent variable</t>
  </si>
  <si>
    <t xml:space="preserve">Specification</t>
  </si>
  <si>
    <t xml:space="preserve">Term</t>
  </si>
  <si>
    <t xml:space="preserve">Coefficient</t>
  </si>
  <si>
    <t xml:space="preserve">SE</t>
  </si>
  <si>
    <t xml:space="preserve">Clusters (min)</t>
  </si>
  <si>
    <t xml:space="preserve">t</t>
  </si>
  <si>
    <t xml:space="preserve">p</t>
  </si>
  <si>
    <t xml:space="preserve">Single years</t>
  </si>
  <si>
    <t xml:space="preserve">Conflicted CIO</t>
  </si>
  <si>
    <t xml:space="preserve">Two-year bins</t>
  </si>
</sst>
</file>

<file path=xl/styles.xml><?xml version="1.0" encoding="utf-8"?>
<styleSheet xmlns="http://schemas.openxmlformats.org/spreadsheetml/2006/main">
  <numFmts count="4">
    <numFmt numFmtId="164" formatCode="General"/>
    <numFmt numFmtId="165" formatCode="0.000"/>
    <numFmt numFmtId="166" formatCode="#,##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3">
    <fill>
      <patternFill patternType="none"/>
    </fill>
    <fill>
      <patternFill patternType="gray125"/>
    </fill>
    <fill>
      <patternFill patternType="solid">
        <fgColor rgb="FFF1F0EC"/>
        <bgColor rgb="FFFFFFCC"/>
      </patternFill>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0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5" min="2" style="0" width="16"/>
  </cols>
  <sheetData>
    <row r="1" customFormat="false" ht="15" hidden="false" customHeight="false" outlineLevel="0" collapsed="false">
      <c r="A1" s="1" t="s">
        <v>0</v>
      </c>
    </row>
    <row r="2" customFormat="false" ht="168" hidden="false" customHeight="true" outlineLevel="0" collapsed="false">
      <c r="A2" s="2" t="s">
        <v>1</v>
      </c>
      <c r="B2" s="2"/>
      <c r="C2" s="2"/>
      <c r="D2" s="2"/>
      <c r="E2" s="2"/>
    </row>
    <row r="4" customFormat="false" ht="15" hidden="false" customHeight="true" outlineLevel="0" collapsed="false">
      <c r="A4" s="3"/>
      <c r="B4" s="4" t="s">
        <v>2</v>
      </c>
      <c r="C4" s="4"/>
      <c r="D4" s="4" t="s">
        <v>3</v>
      </c>
      <c r="E4" s="4"/>
    </row>
    <row r="5" customFormat="false" ht="30" hidden="false" customHeight="true" outlineLevel="0" collapsed="false">
      <c r="A5" s="5"/>
      <c r="B5" s="6" t="s">
        <v>4</v>
      </c>
      <c r="C5" s="6" t="s">
        <v>5</v>
      </c>
      <c r="D5" s="6" t="s">
        <v>4</v>
      </c>
      <c r="E5" s="6" t="s">
        <v>5</v>
      </c>
    </row>
    <row r="6" customFormat="false" ht="15" hidden="false" customHeight="false" outlineLevel="0" collapsed="false">
      <c r="A6" s="1" t="s">
        <v>6</v>
      </c>
    </row>
    <row r="7" customFormat="false" ht="15" hidden="false" customHeight="false" outlineLevel="0" collapsed="false">
      <c r="A7" s="7" t="s">
        <v>7</v>
      </c>
      <c r="B7" s="8" t="str">
        <f aca="false">IF(Estimates!I4="","",TEXT(Estimates!E4,"0.000")&amp;IF(Estimates!I4&lt;0.01,"***",IF(Estimates!I4&lt;0.05,"**",IF(Estimates!I4&lt;0.1,"*",""))))</f>
        <v>0.141</v>
      </c>
      <c r="C7" s="8" t="str">
        <f aca="false">IF(Estimates!I5="","",TEXT(Estimates!E5,"0.000")&amp;IF(Estimates!I5&lt;0.01,"***",IF(Estimates!I5&lt;0.05,"**",IF(Estimates!I5&lt;0.1,"*",""))))</f>
        <v>-0.203</v>
      </c>
      <c r="D7" s="8" t="str">
        <f aca="false">IF(Estimates!I6="","",TEXT(Estimates!E6,"0.000")&amp;IF(Estimates!I6&lt;0.01,"***",IF(Estimates!I6&lt;0.05,"**",IF(Estimates!I6&lt;0.1,"*",""))))</f>
        <v>-0.004</v>
      </c>
      <c r="E7" s="8" t="str">
        <f aca="false">IF(Estimates!I7="","",TEXT(Estimates!E7,"0.000")&amp;IF(Estimates!I7&lt;0.01,"***",IF(Estimates!I7&lt;0.05,"**",IF(Estimates!I7&lt;0.1,"*",""))))</f>
        <v>0.035</v>
      </c>
    </row>
    <row r="8" customFormat="false" ht="15" hidden="false" customHeight="false" outlineLevel="0" collapsed="false">
      <c r="B8" s="8" t="str">
        <f aca="false">IF(Estimates!H4="","","("&amp;TEXT(Estimates!H4,"0.00")&amp;")")</f>
        <v>(1.05)</v>
      </c>
      <c r="C8" s="8" t="str">
        <f aca="false">IF(Estimates!H5="","","("&amp;TEXT(Estimates!H5,"0.00")&amp;")")</f>
        <v>(-0.63)</v>
      </c>
      <c r="D8" s="8" t="str">
        <f aca="false">IF(Estimates!H6="","","("&amp;TEXT(Estimates!H6,"0.00")&amp;")")</f>
        <v>(-0.04)</v>
      </c>
      <c r="E8" s="8" t="str">
        <f aca="false">IF(Estimates!H7="","","("&amp;TEXT(Estimates!H7,"0.00")&amp;")")</f>
        <v>(0.23)</v>
      </c>
    </row>
    <row r="9" customFormat="false" ht="15" hidden="false" customHeight="false" outlineLevel="0" collapsed="false">
      <c r="A9" s="7" t="s">
        <v>8</v>
      </c>
      <c r="B9" s="8" t="str">
        <f aca="false">IF(Estimates!I8="","",TEXT(Estimates!E8,"0.000")&amp;IF(Estimates!I8&lt;0.01,"***",IF(Estimates!I8&lt;0.05,"**",IF(Estimates!I8&lt;0.1,"*",""))))</f>
        <v>-0.469**</v>
      </c>
      <c r="C9" s="8" t="str">
        <f aca="false">IF(Estimates!I9="","",TEXT(Estimates!E9,"0.000")&amp;IF(Estimates!I9&lt;0.01,"***",IF(Estimates!I9&lt;0.05,"**",IF(Estimates!I9&lt;0.1,"*",""))))</f>
        <v>-0.694*</v>
      </c>
      <c r="D9" s="8" t="str">
        <f aca="false">IF(Estimates!I10="","",TEXT(Estimates!E10,"0.000")&amp;IF(Estimates!I10&lt;0.01,"***",IF(Estimates!I10&lt;0.05,"**",IF(Estimates!I10&lt;0.1,"*",""))))</f>
        <v>-0.458**</v>
      </c>
      <c r="E9" s="8" t="str">
        <f aca="false">IF(Estimates!I11="","",TEXT(Estimates!E11,"0.000")&amp;IF(Estimates!I11&lt;0.01,"***",IF(Estimates!I11&lt;0.05,"**",IF(Estimates!I11&lt;0.1,"*",""))))</f>
        <v>-0.274</v>
      </c>
    </row>
    <row r="10" customFormat="false" ht="15" hidden="false" customHeight="false" outlineLevel="0" collapsed="false">
      <c r="B10" s="8" t="str">
        <f aca="false">IF(Estimates!H8="","","("&amp;TEXT(Estimates!H8,"0.00")&amp;")")</f>
        <v>(-2.24)</v>
      </c>
      <c r="C10" s="8" t="str">
        <f aca="false">IF(Estimates!H9="","","("&amp;TEXT(Estimates!H9,"0.00")&amp;")")</f>
        <v>(-1.83)</v>
      </c>
      <c r="D10" s="8" t="str">
        <f aca="false">IF(Estimates!H10="","","("&amp;TEXT(Estimates!H10,"0.00")&amp;")")</f>
        <v>(-2.46)</v>
      </c>
      <c r="E10" s="8" t="str">
        <f aca="false">IF(Estimates!H11="","","("&amp;TEXT(Estimates!H11,"0.00")&amp;")")</f>
        <v>(-1.10)</v>
      </c>
    </row>
    <row r="11" customFormat="false" ht="15" hidden="false" customHeight="false" outlineLevel="0" collapsed="false">
      <c r="A11" s="1" t="s">
        <v>9</v>
      </c>
      <c r="B11" s="9" t="str">
        <f aca="false">IF(Estimates!I12="","",TEXT(Estimates!E12,"0.000")&amp;IF(Estimates!I12&lt;0.01,"***",IF(Estimates!I12&lt;0.05,"**",IF(Estimates!I12&lt;0.1,"*",""))))</f>
        <v>0.609***</v>
      </c>
      <c r="C11" s="9" t="str">
        <f aca="false">IF(Estimates!I13="","",TEXT(Estimates!E13,"0.000")&amp;IF(Estimates!I13&lt;0.01,"***",IF(Estimates!I13&lt;0.05,"**",IF(Estimates!I13&lt;0.1,"*",""))))</f>
        <v>0.491*</v>
      </c>
      <c r="D11" s="9" t="str">
        <f aca="false">IF(Estimates!I14="","",TEXT(Estimates!E14,"0.000")&amp;IF(Estimates!I14&lt;0.01,"***",IF(Estimates!I14&lt;0.05,"**",IF(Estimates!I14&lt;0.1,"*",""))))</f>
        <v>0.454**</v>
      </c>
      <c r="E11" s="9" t="str">
        <f aca="false">IF(Estimates!I15="","",TEXT(Estimates!E15,"0.000")&amp;IF(Estimates!I15&lt;0.01,"***",IF(Estimates!I15&lt;0.05,"**",IF(Estimates!I15&lt;0.1,"*",""))))</f>
        <v>0.309</v>
      </c>
    </row>
    <row r="12" customFormat="false" ht="15" hidden="false" customHeight="false" outlineLevel="0" collapsed="false">
      <c r="B12" s="9" t="str">
        <f aca="false">IF(Estimates!H12="","","("&amp;TEXT(Estimates!H12,"0.00")&amp;")")</f>
        <v>(3.39)</v>
      </c>
      <c r="C12" s="9" t="str">
        <f aca="false">IF(Estimates!H13="","","("&amp;TEXT(Estimates!H13,"0.00")&amp;")")</f>
        <v>(1.77)</v>
      </c>
      <c r="D12" s="9" t="str">
        <f aca="false">IF(Estimates!H14="","","("&amp;TEXT(Estimates!H14,"0.00")&amp;")")</f>
        <v>(2.48)</v>
      </c>
      <c r="E12" s="9" t="str">
        <f aca="false">IF(Estimates!H15="","","("&amp;TEXT(Estimates!H15,"0.00")&amp;")")</f>
        <v>(1.40)</v>
      </c>
    </row>
    <row r="13" customFormat="false" ht="15" hidden="false" customHeight="false" outlineLevel="0" collapsed="false">
      <c r="A13" s="1" t="s">
        <v>10</v>
      </c>
      <c r="B13" s="10" t="n">
        <f aca="false">Estimates!I12</f>
        <v>0.003273577987384</v>
      </c>
      <c r="C13" s="10" t="n">
        <f aca="false">Estimates!I13</f>
        <v>0.09392266376273</v>
      </c>
      <c r="D13" s="10" t="n">
        <f aca="false">Estimates!I14</f>
        <v>0.0233052595773178</v>
      </c>
      <c r="E13" s="10" t="n">
        <f aca="false">Estimates!I15</f>
        <v>0.179199275630838</v>
      </c>
    </row>
    <row r="15" customFormat="false" ht="15" hidden="false" customHeight="false" outlineLevel="0" collapsed="false">
      <c r="A15" s="1" t="s">
        <v>11</v>
      </c>
    </row>
    <row r="16" customFormat="false" ht="15" hidden="false" customHeight="false" outlineLevel="0" collapsed="false">
      <c r="A16" s="7" t="s">
        <v>12</v>
      </c>
      <c r="B16" s="8" t="str">
        <f aca="false">IF(Estimates!I16="","",TEXT(Estimates!E16,"0.000")&amp;IF(Estimates!I16&lt;0.01,"***",IF(Estimates!I16&lt;0.05,"**",IF(Estimates!I16&lt;0.1,"*",""))))</f>
        <v>-1.050***</v>
      </c>
      <c r="C16" s="8" t="str">
        <f aca="false">IF(Estimates!I17="","",TEXT(Estimates!E17,"0.000")&amp;IF(Estimates!I17&lt;0.01,"***",IF(Estimates!I17&lt;0.05,"**",IF(Estimates!I17&lt;0.1,"*",""))))</f>
        <v>-1.217***</v>
      </c>
      <c r="D16" s="8" t="str">
        <f aca="false">IF(Estimates!I18="","",TEXT(Estimates!E18,"0.000")&amp;IF(Estimates!I18&lt;0.01,"***",IF(Estimates!I18&lt;0.05,"**",IF(Estimates!I18&lt;0.1,"*",""))))</f>
        <v>-0.806***</v>
      </c>
      <c r="E16" s="8" t="str">
        <f aca="false">IF(Estimates!I19="","",TEXT(Estimates!E19,"0.000")&amp;IF(Estimates!I19&lt;0.01,"***",IF(Estimates!I19&lt;0.05,"**",IF(Estimates!I19&lt;0.1,"*",""))))</f>
        <v>-0.774***</v>
      </c>
    </row>
    <row r="17" customFormat="false" ht="15" hidden="false" customHeight="false" outlineLevel="0" collapsed="false">
      <c r="B17" s="8" t="str">
        <f aca="false">IF(Estimates!H16="","","("&amp;TEXT(Estimates!H16,"0.00")&amp;")")</f>
        <v>(-3.54)</v>
      </c>
      <c r="C17" s="8" t="str">
        <f aca="false">IF(Estimates!H17="","","("&amp;TEXT(Estimates!H17,"0.00")&amp;")")</f>
        <v>(-3.17)</v>
      </c>
      <c r="D17" s="8" t="str">
        <f aca="false">IF(Estimates!H18="","","("&amp;TEXT(Estimates!H18,"0.00")&amp;")")</f>
        <v>(-3.97)</v>
      </c>
      <c r="E17" s="8" t="str">
        <f aca="false">IF(Estimates!H19="","","("&amp;TEXT(Estimates!H19,"0.00")&amp;")")</f>
        <v>(-3.27)</v>
      </c>
    </row>
    <row r="18" customFormat="false" ht="15" hidden="false" customHeight="false" outlineLevel="0" collapsed="false">
      <c r="A18" s="7" t="s">
        <v>13</v>
      </c>
      <c r="B18" s="8" t="str">
        <f aca="false">IF(Estimates!I20="","",TEXT(Estimates!E20,"0.000")&amp;IF(Estimates!I20&lt;0.01,"***",IF(Estimates!I20&lt;0.05,"**",IF(Estimates!I20&lt;0.1,"*",""))))</f>
        <v>0.113</v>
      </c>
      <c r="C18" s="8" t="str">
        <f aca="false">IF(Estimates!I21="","",TEXT(Estimates!E21,"0.000")&amp;IF(Estimates!I21&lt;0.01,"***",IF(Estimates!I21&lt;0.05,"**",IF(Estimates!I21&lt;0.1,"*",""))))</f>
        <v>-0.172</v>
      </c>
      <c r="D18" s="8" t="str">
        <f aca="false">IF(Estimates!I22="","",TEXT(Estimates!E22,"0.000")&amp;IF(Estimates!I22&lt;0.01,"***",IF(Estimates!I22&lt;0.05,"**",IF(Estimates!I22&lt;0.1,"*",""))))</f>
        <v>-0.111</v>
      </c>
      <c r="E18" s="8" t="str">
        <f aca="false">IF(Estimates!I23="","",TEXT(Estimates!E23,"0.000")&amp;IF(Estimates!I23&lt;0.01,"***",IF(Estimates!I23&lt;0.05,"**",IF(Estimates!I23&lt;0.1,"*",""))))</f>
        <v>0.225</v>
      </c>
    </row>
    <row r="19" customFormat="false" ht="15" hidden="false" customHeight="false" outlineLevel="0" collapsed="false">
      <c r="B19" s="8" t="str">
        <f aca="false">IF(Estimates!H20="","","("&amp;TEXT(Estimates!H20,"0.00")&amp;")")</f>
        <v>(0.69)</v>
      </c>
      <c r="C19" s="8" t="str">
        <f aca="false">IF(Estimates!H21="","","("&amp;TEXT(Estimates!H21,"0.00")&amp;")")</f>
        <v>(-0.38)</v>
      </c>
      <c r="D19" s="8" t="str">
        <f aca="false">IF(Estimates!H22="","","("&amp;TEXT(Estimates!H22,"0.00")&amp;")")</f>
        <v>(-0.41)</v>
      </c>
      <c r="E19" s="8" t="str">
        <f aca="false">IF(Estimates!H23="","","("&amp;TEXT(Estimates!H23,"0.00")&amp;")")</f>
        <v>(0.55)</v>
      </c>
    </row>
    <row r="20" customFormat="false" ht="15" hidden="false" customHeight="false" outlineLevel="0" collapsed="false">
      <c r="A20" s="11" t="s">
        <v>14</v>
      </c>
      <c r="B20" s="12" t="str">
        <f aca="false">IF(Estimates!I24="","",TEXT(Estimates!E24,"0.000")&amp;IF(Estimates!I24&lt;0.01,"***",IF(Estimates!I24&lt;0.05,"**",IF(Estimates!I24&lt;0.1,"*",""))))</f>
        <v>1.191***</v>
      </c>
      <c r="C20" s="12" t="str">
        <f aca="false">IF(Estimates!I25="","",TEXT(Estimates!E25,"0.000")&amp;IF(Estimates!I25&lt;0.01,"***",IF(Estimates!I25&lt;0.05,"**",IF(Estimates!I25&lt;0.1,"*",""))))</f>
        <v>1.013***</v>
      </c>
      <c r="D20" s="12" t="str">
        <f aca="false">IF(Estimates!I26="","",TEXT(Estimates!E26,"0.000")&amp;IF(Estimates!I26&lt;0.01,"***",IF(Estimates!I26&lt;0.05,"**",IF(Estimates!I26&lt;0.1,"*",""))))</f>
        <v>0.802***</v>
      </c>
      <c r="E20" s="12" t="str">
        <f aca="false">IF(Estimates!I27="","",TEXT(Estimates!E27,"0.000")&amp;IF(Estimates!I27&lt;0.01,"***",IF(Estimates!I27&lt;0.05,"**",IF(Estimates!I27&lt;0.1,"*",""))))</f>
        <v>0.809***</v>
      </c>
    </row>
    <row r="21" customFormat="false" ht="15" hidden="false" customHeight="false" outlineLevel="0" collapsed="false">
      <c r="B21" s="12" t="str">
        <f aca="false">IF(Estimates!H24="","","("&amp;TEXT(Estimates!H24,"0.00")&amp;")")</f>
        <v>(4.59)</v>
      </c>
      <c r="C21" s="12" t="str">
        <f aca="false">IF(Estimates!H25="","","("&amp;TEXT(Estimates!H25,"0.00")&amp;")")</f>
        <v>(3.11)</v>
      </c>
      <c r="D21" s="12" t="str">
        <f aca="false">IF(Estimates!H26="","","("&amp;TEXT(Estimates!H26,"0.00")&amp;")")</f>
        <v>(3.95)</v>
      </c>
      <c r="E21" s="12" t="str">
        <f aca="false">IF(Estimates!H27="","","("&amp;TEXT(Estimates!H27,"0.00")&amp;")")</f>
        <v>(3.06)</v>
      </c>
    </row>
    <row r="22" customFormat="false" ht="15" hidden="false" customHeight="false" outlineLevel="0" collapsed="false">
      <c r="A22" s="11" t="s">
        <v>10</v>
      </c>
      <c r="B22" s="13" t="n">
        <f aca="false">Estimates!I24</f>
        <v>0.000228678874558101</v>
      </c>
      <c r="C22" s="13" t="n">
        <f aca="false">Estimates!I25</f>
        <v>0.00605502426123865</v>
      </c>
      <c r="D22" s="13" t="n">
        <f aca="false">Estimates!I26</f>
        <v>0.000939321138112946</v>
      </c>
      <c r="E22" s="13" t="n">
        <f aca="false">Estimates!I27</f>
        <v>0.0067926040075042</v>
      </c>
    </row>
    <row r="23" customFormat="false" ht="15" hidden="false" customHeight="false" outlineLevel="0" collapsed="false">
      <c r="A23" s="11" t="s">
        <v>15</v>
      </c>
      <c r="B23" s="12" t="str">
        <f aca="false">IF(Estimates!I28="","",TEXT(Estimates!E28,"0.000")&amp;IF(Estimates!I28&lt;0.01,"***",IF(Estimates!I28&lt;0.05,"**",IF(Estimates!I28&lt;0.1,"*",""))))</f>
        <v>0.028</v>
      </c>
      <c r="C23" s="12" t="str">
        <f aca="false">IF(Estimates!I29="","",TEXT(Estimates!E29,"0.000")&amp;IF(Estimates!I29&lt;0.01,"***",IF(Estimates!I29&lt;0.05,"**",IF(Estimates!I29&lt;0.1,"*",""))))</f>
        <v>-0.031</v>
      </c>
      <c r="D23" s="12" t="str">
        <f aca="false">IF(Estimates!I30="","",TEXT(Estimates!E30,"0.000")&amp;IF(Estimates!I30&lt;0.01,"***",IF(Estimates!I30&lt;0.05,"**",IF(Estimates!I30&lt;0.1,"*",""))))</f>
        <v>0.107</v>
      </c>
      <c r="E23" s="12" t="str">
        <f aca="false">IF(Estimates!I31="","",TEXT(Estimates!E31,"0.000")&amp;IF(Estimates!I31&lt;0.01,"***",IF(Estimates!I31&lt;0.05,"**",IF(Estimates!I31&lt;0.1,"*",""))))</f>
        <v>-0.190</v>
      </c>
    </row>
    <row r="24" customFormat="false" ht="15" hidden="false" customHeight="false" outlineLevel="0" collapsed="false">
      <c r="B24" s="12" t="str">
        <f aca="false">IF(Estimates!H28="","","("&amp;TEXT(Estimates!H28,"0.00")&amp;")")</f>
        <v>(0.18)</v>
      </c>
      <c r="C24" s="12" t="str">
        <f aca="false">IF(Estimates!H29="","","("&amp;TEXT(Estimates!H29,"0.00")&amp;")")</f>
        <v>(-0.10)</v>
      </c>
      <c r="D24" s="12" t="str">
        <f aca="false">IF(Estimates!H30="","","("&amp;TEXT(Estimates!H30,"0.00")&amp;")")</f>
        <v>(0.41)</v>
      </c>
      <c r="E24" s="12" t="str">
        <f aca="false">IF(Estimates!H31="","","("&amp;TEXT(Estimates!H31,"0.00")&amp;")")</f>
        <v>(-0.54)</v>
      </c>
    </row>
    <row r="25" customFormat="false" ht="15" hidden="false" customHeight="false" outlineLevel="0" collapsed="false">
      <c r="A25" s="11" t="s">
        <v>10</v>
      </c>
      <c r="B25" s="13" t="n">
        <f aca="false">Estimates!I28</f>
        <v>0.86171262567209</v>
      </c>
      <c r="C25" s="13" t="n">
        <f aca="false">Estimates!I29</f>
        <v>0.925046001501889</v>
      </c>
      <c r="D25" s="13" t="n">
        <f aca="false">Estimates!I30</f>
        <v>0.689627018199535</v>
      </c>
      <c r="E25" s="13" t="n">
        <f aca="false">Estimates!I31</f>
        <v>0.5960434909735</v>
      </c>
    </row>
    <row r="27" customFormat="false" ht="15" hidden="false" customHeight="false" outlineLevel="0" collapsed="false">
      <c r="A27" s="1" t="s">
        <v>16</v>
      </c>
    </row>
    <row r="28" customFormat="false" ht="15" hidden="false" customHeight="false" outlineLevel="0" collapsed="false">
      <c r="A28" s="7" t="s">
        <v>17</v>
      </c>
      <c r="B28" s="8" t="str">
        <f aca="false">IF(Estimates!I32="","",TEXT(Estimates!E32,"0.000")&amp;IF(Estimates!I32&lt;0.01,"***",IF(Estimates!I32&lt;0.05,"**",IF(Estimates!I32&lt;0.1,"*",""))))</f>
        <v>-0.236</v>
      </c>
      <c r="C28" s="8" t="str">
        <f aca="false">IF(Estimates!I33="","",TEXT(Estimates!E33,"0.000")&amp;IF(Estimates!I33&lt;0.01,"***",IF(Estimates!I33&lt;0.05,"**",IF(Estimates!I33&lt;0.1,"*",""))))</f>
        <v>-0.807</v>
      </c>
      <c r="D28" s="8" t="str">
        <f aca="false">IF(Estimates!I34="","",TEXT(Estimates!E34,"0.000")&amp;IF(Estimates!I34&lt;0.01,"***",IF(Estimates!I34&lt;0.05,"**",IF(Estimates!I34&lt;0.1,"*",""))))</f>
        <v>-0.506**</v>
      </c>
      <c r="E28" s="8" t="str">
        <f aca="false">IF(Estimates!I35="","",TEXT(Estimates!E35,"0.000")&amp;IF(Estimates!I35&lt;0.01,"***",IF(Estimates!I35&lt;0.05,"**",IF(Estimates!I35&lt;0.1,"*",""))))</f>
        <v>-0.509</v>
      </c>
    </row>
    <row r="29" customFormat="false" ht="15" hidden="false" customHeight="false" outlineLevel="0" collapsed="false">
      <c r="B29" s="8" t="str">
        <f aca="false">IF(Estimates!H32="","","("&amp;TEXT(Estimates!H32,"0.00")&amp;")")</f>
        <v>(-0.61)</v>
      </c>
      <c r="C29" s="8" t="str">
        <f aca="false">IF(Estimates!H33="","","("&amp;TEXT(Estimates!H33,"0.00")&amp;")")</f>
        <v>(-1.48)</v>
      </c>
      <c r="D29" s="8" t="str">
        <f aca="false">IF(Estimates!H34="","","("&amp;TEXT(Estimates!H34,"0.00")&amp;")")</f>
        <v>(-2.34)</v>
      </c>
      <c r="E29" s="8" t="str">
        <f aca="false">IF(Estimates!H35="","","("&amp;TEXT(Estimates!H35,"0.00")&amp;")")</f>
        <v>(-1.47)</v>
      </c>
    </row>
    <row r="30" customFormat="false" ht="15" hidden="false" customHeight="false" outlineLevel="0" collapsed="false">
      <c r="A30" s="7" t="s">
        <v>18</v>
      </c>
      <c r="B30" s="8" t="str">
        <f aca="false">IF(Estimates!I36="","",TEXT(Estimates!E36,"0.000")&amp;IF(Estimates!I36&lt;0.01,"***",IF(Estimates!I36&lt;0.05,"**",IF(Estimates!I36&lt;0.1,"*",""))))</f>
        <v>-0.638**</v>
      </c>
      <c r="C30" s="8" t="str">
        <f aca="false">IF(Estimates!I37="","",TEXT(Estimates!E37,"0.000")&amp;IF(Estimates!I37&lt;0.01,"***",IF(Estimates!I37&lt;0.05,"**",IF(Estimates!I37&lt;0.1,"*",""))))</f>
        <v>0.019</v>
      </c>
      <c r="D30" s="8" t="str">
        <f aca="false">IF(Estimates!I38="","",TEXT(Estimates!E38,"0.000")&amp;IF(Estimates!I38&lt;0.01,"***",IF(Estimates!I38&lt;0.05,"**",IF(Estimates!I38&lt;0.1,"*",""))))</f>
        <v>-0.215</v>
      </c>
      <c r="E30" s="8" t="str">
        <f aca="false">IF(Estimates!I39="","",TEXT(Estimates!E39,"0.000")&amp;IF(Estimates!I39&lt;0.01,"***",IF(Estimates!I39&lt;0.05,"**",IF(Estimates!I39&lt;0.1,"*",""))))</f>
        <v>-0.169</v>
      </c>
    </row>
    <row r="31" customFormat="false" ht="15" hidden="false" customHeight="false" outlineLevel="0" collapsed="false">
      <c r="B31" s="8" t="str">
        <f aca="false">IF(Estimates!H36="","","("&amp;TEXT(Estimates!H36,"0.00")&amp;")")</f>
        <v>(-2.55)</v>
      </c>
      <c r="C31" s="8" t="str">
        <f aca="false">IF(Estimates!H37="","","("&amp;TEXT(Estimates!H37,"0.00")&amp;")")</f>
        <v>(0.04)</v>
      </c>
      <c r="D31" s="8" t="str">
        <f aca="false">IF(Estimates!H38="","","("&amp;TEXT(Estimates!H38,"0.00")&amp;")")</f>
        <v>(-1.35)</v>
      </c>
      <c r="E31" s="8" t="str">
        <f aca="false">IF(Estimates!H39="","","("&amp;TEXT(Estimates!H39,"0.00")&amp;")")</f>
        <v>(-0.60)</v>
      </c>
    </row>
    <row r="32" customFormat="false" ht="15" hidden="false" customHeight="false" outlineLevel="0" collapsed="false">
      <c r="A32" s="7" t="s">
        <v>19</v>
      </c>
      <c r="B32" s="8" t="str">
        <f aca="false">IF(Estimates!I40="","",TEXT(Estimates!E40,"0.000")&amp;IF(Estimates!I40&lt;0.01,"***",IF(Estimates!I40&lt;0.05,"**",IF(Estimates!I40&lt;0.1,"*",""))))</f>
        <v>-0.462***</v>
      </c>
      <c r="C32" s="8" t="str">
        <f aca="false">IF(Estimates!I41="","",TEXT(Estimates!E41,"0.000")&amp;IF(Estimates!I41&lt;0.01,"***",IF(Estimates!I41&lt;0.05,"**",IF(Estimates!I41&lt;0.1,"*",""))))</f>
        <v>-0.059</v>
      </c>
      <c r="D32" s="8" t="str">
        <f aca="false">IF(Estimates!I42="","",TEXT(Estimates!E42,"0.000")&amp;IF(Estimates!I42&lt;0.01,"***",IF(Estimates!I42&lt;0.05,"**",IF(Estimates!I42&lt;0.1,"*",""))))</f>
        <v>-0.171</v>
      </c>
      <c r="E32" s="8" t="str">
        <f aca="false">IF(Estimates!I43="","",TEXT(Estimates!E43,"0.000")&amp;IF(Estimates!I43&lt;0.01,"***",IF(Estimates!I43&lt;0.05,"**",IF(Estimates!I43&lt;0.1,"*",""))))</f>
        <v>-0.196</v>
      </c>
    </row>
    <row r="33" customFormat="false" ht="15" hidden="false" customHeight="false" outlineLevel="0" collapsed="false">
      <c r="B33" s="8" t="str">
        <f aca="false">IF(Estimates!H40="","","("&amp;TEXT(Estimates!H40,"0.00")&amp;")")</f>
        <v>(-3.18)</v>
      </c>
      <c r="C33" s="8" t="str">
        <f aca="false">IF(Estimates!H41="","","("&amp;TEXT(Estimates!H41,"0.00")&amp;")")</f>
        <v>(-0.25)</v>
      </c>
      <c r="D33" s="8" t="str">
        <f aca="false">IF(Estimates!H42="","","("&amp;TEXT(Estimates!H42,"0.00")&amp;")")</f>
        <v>(-0.85)</v>
      </c>
      <c r="E33" s="8" t="str">
        <f aca="false">IF(Estimates!H43="","","("&amp;TEXT(Estimates!H43,"0.00")&amp;")")</f>
        <v>(-0.79)</v>
      </c>
    </row>
    <row r="34" customFormat="false" ht="15" hidden="false" customHeight="false" outlineLevel="0" collapsed="false">
      <c r="A34" s="7" t="s">
        <v>20</v>
      </c>
      <c r="B34" s="8" t="str">
        <f aca="false">IF(Estimates!I44="","",TEXT(Estimates!E44,"0.000")&amp;IF(Estimates!I44&lt;0.01,"***",IF(Estimates!I44&lt;0.05,"**",IF(Estimates!I44&lt;0.1,"*",""))))</f>
        <v>-1.690***</v>
      </c>
      <c r="C34" s="8" t="str">
        <f aca="false">IF(Estimates!I45="","",TEXT(Estimates!E45,"0.000")&amp;IF(Estimates!I45&lt;0.01,"***",IF(Estimates!I45&lt;0.05,"**",IF(Estimates!I45&lt;0.1,"*",""))))</f>
        <v>-1.338***</v>
      </c>
      <c r="D34" s="8" t="str">
        <f aca="false">IF(Estimates!I46="","",TEXT(Estimates!E46,"0.000")&amp;IF(Estimates!I46&lt;0.01,"***",IF(Estimates!I46&lt;0.05,"**",IF(Estimates!I46&lt;0.1,"*",""))))</f>
        <v>-0.539**</v>
      </c>
      <c r="E34" s="8" t="str">
        <f aca="false">IF(Estimates!I47="","",TEXT(Estimates!E47,"0.000")&amp;IF(Estimates!I47&lt;0.01,"***",IF(Estimates!I47&lt;0.05,"**",IF(Estimates!I47&lt;0.1,"*",""))))</f>
        <v>-0.430*</v>
      </c>
    </row>
    <row r="35" customFormat="false" ht="15" hidden="false" customHeight="false" outlineLevel="0" collapsed="false">
      <c r="B35" s="8" t="str">
        <f aca="false">IF(Estimates!H44="","","("&amp;TEXT(Estimates!H44,"0.00")&amp;")")</f>
        <v>(-5.46)</v>
      </c>
      <c r="C35" s="8" t="str">
        <f aca="false">IF(Estimates!H45="","","("&amp;TEXT(Estimates!H45,"0.00")&amp;")")</f>
        <v>(-3.73)</v>
      </c>
      <c r="D35" s="8" t="str">
        <f aca="false">IF(Estimates!H46="","","("&amp;TEXT(Estimates!H46,"0.00")&amp;")")</f>
        <v>(-2.63)</v>
      </c>
      <c r="E35" s="8" t="str">
        <f aca="false">IF(Estimates!H47="","","("&amp;TEXT(Estimates!H47,"0.00")&amp;")")</f>
        <v>(-1.87)</v>
      </c>
    </row>
    <row r="36" customFormat="false" ht="15" hidden="false" customHeight="false" outlineLevel="0" collapsed="false">
      <c r="A36" s="7" t="s">
        <v>21</v>
      </c>
      <c r="B36" s="8" t="str">
        <f aca="false">IF(Estimates!I48="","",TEXT(Estimates!E48,"0.000")&amp;IF(Estimates!I48&lt;0.01,"***",IF(Estimates!I48&lt;0.05,"**",IF(Estimates!I48&lt;0.1,"*",""))))</f>
        <v>-1.636***</v>
      </c>
      <c r="C36" s="8" t="str">
        <f aca="false">IF(Estimates!I49="","",TEXT(Estimates!E49,"0.000")&amp;IF(Estimates!I49&lt;0.01,"***",IF(Estimates!I49&lt;0.05,"**",IF(Estimates!I49&lt;0.1,"*",""))))</f>
        <v>-1.525***</v>
      </c>
      <c r="D36" s="8" t="str">
        <f aca="false">IF(Estimates!I50="","",TEXT(Estimates!E50,"0.000")&amp;IF(Estimates!I50&lt;0.01,"***",IF(Estimates!I50&lt;0.05,"**",IF(Estimates!I50&lt;0.1,"*",""))))</f>
        <v>-0.741***</v>
      </c>
      <c r="E36" s="8" t="str">
        <f aca="false">IF(Estimates!I51="","",TEXT(Estimates!E51,"0.000")&amp;IF(Estimates!I51&lt;0.01,"***",IF(Estimates!I51&lt;0.05,"**",IF(Estimates!I51&lt;0.1,"*",""))))</f>
        <v>-0.719***</v>
      </c>
    </row>
    <row r="37" customFormat="false" ht="15" hidden="false" customHeight="false" outlineLevel="0" collapsed="false">
      <c r="B37" s="8" t="str">
        <f aca="false">IF(Estimates!H48="","","("&amp;TEXT(Estimates!H48,"0.00")&amp;")")</f>
        <v>(-4.72)</v>
      </c>
      <c r="C37" s="8" t="str">
        <f aca="false">IF(Estimates!H49="","","("&amp;TEXT(Estimates!H49,"0.00")&amp;")")</f>
        <v>(-3.89)</v>
      </c>
      <c r="D37" s="8" t="str">
        <f aca="false">IF(Estimates!H50="","","("&amp;TEXT(Estimates!H50,"0.00")&amp;")")</f>
        <v>(-4.92)</v>
      </c>
      <c r="E37" s="8" t="str">
        <f aca="false">IF(Estimates!H51="","","("&amp;TEXT(Estimates!H51,"0.00")&amp;")")</f>
        <v>(-3.95)</v>
      </c>
    </row>
    <row r="38" customFormat="false" ht="15" hidden="false" customHeight="false" outlineLevel="0" collapsed="false">
      <c r="A38" s="14" t="s">
        <v>22</v>
      </c>
      <c r="B38" s="15" t="str">
        <f aca="false">IF(Estimates!I52="","",TEXT(Estimates!E52,"0.000")&amp;IF(Estimates!I52&lt;0.01,"***",IF(Estimates!I52&lt;0.05,"**",IF(Estimates!I52&lt;0.1,"*",""))))</f>
        <v>1.637***</v>
      </c>
      <c r="C38" s="15" t="str">
        <f aca="false">IF(Estimates!I53="","",TEXT(Estimates!E53,"0.000")&amp;IF(Estimates!I53&lt;0.01,"***",IF(Estimates!I53&lt;0.05,"**",IF(Estimates!I53&lt;0.1,"*",""))))</f>
        <v>1.782***</v>
      </c>
      <c r="D38" s="15" t="str">
        <f aca="false">IF(Estimates!I54="","",TEXT(Estimates!E54,"0.000")&amp;IF(Estimates!I54&lt;0.01,"***",IF(Estimates!I54&lt;0.05,"**",IF(Estimates!I54&lt;0.1,"*",""))))</f>
        <v>1.249***</v>
      </c>
      <c r="E38" s="15" t="str">
        <f aca="false">IF(Estimates!I55="","",TEXT(Estimates!E55,"0.000")&amp;IF(Estimates!I55&lt;0.01,"***",IF(Estimates!I55&lt;0.05,"**",IF(Estimates!I55&lt;0.1,"*",""))))</f>
        <v>1.278***</v>
      </c>
    </row>
    <row r="39" customFormat="false" ht="15" hidden="false" customHeight="false" outlineLevel="0" collapsed="false">
      <c r="A39" s="16"/>
      <c r="B39" s="15" t="str">
        <f aca="false">IF(Estimates!H52="","","("&amp;TEXT(Estimates!H52,"0.00")&amp;")")</f>
        <v>(4.20)</v>
      </c>
      <c r="C39" s="15" t="str">
        <f aca="false">IF(Estimates!H53="","","("&amp;TEXT(Estimates!H53,"0.00")&amp;")")</f>
        <v>(4.09)</v>
      </c>
      <c r="D39" s="15" t="str">
        <f aca="false">IF(Estimates!H54="","","("&amp;TEXT(Estimates!H54,"0.00")&amp;")")</f>
        <v>(4.32)</v>
      </c>
      <c r="E39" s="15" t="str">
        <f aca="false">IF(Estimates!H55="","","("&amp;TEXT(Estimates!H55,"0.00")&amp;")")</f>
        <v>(4.12)</v>
      </c>
    </row>
    <row r="40" customFormat="false" ht="15" hidden="false" customHeight="false" outlineLevel="0" collapsed="false">
      <c r="A40" s="14" t="s">
        <v>23</v>
      </c>
      <c r="B40" s="15" t="str">
        <f aca="false">IF(Estimates!I56="","",TEXT(Estimates!E56,"0.000")&amp;IF(Estimates!I56&lt;0.01,"***",IF(Estimates!I56&lt;0.05,"**",IF(Estimates!I56&lt;0.1,"*",""))))</f>
        <v>-0.296</v>
      </c>
      <c r="C40" s="15" t="str">
        <f aca="false">IF(Estimates!I57="","",TEXT(Estimates!E57,"0.000")&amp;IF(Estimates!I57&lt;0.01,"***",IF(Estimates!I57&lt;0.05,"**",IF(Estimates!I57&lt;0.1,"*",""))))</f>
        <v>0.115</v>
      </c>
      <c r="D40" s="15" t="str">
        <f aca="false">IF(Estimates!I58="","",TEXT(Estimates!E58,"0.000")&amp;IF(Estimates!I58&lt;0.01,"***",IF(Estimates!I58&lt;0.05,"**",IF(Estimates!I58&lt;0.1,"*",""))))</f>
        <v>0.424</v>
      </c>
      <c r="E40" s="15" t="str">
        <f aca="false">IF(Estimates!I59="","",TEXT(Estimates!E59,"0.000")&amp;IF(Estimates!I59&lt;0.01,"***",IF(Estimates!I59&lt;0.05,"**",IF(Estimates!I59&lt;0.1,"*",""))))</f>
        <v>0.455</v>
      </c>
    </row>
    <row r="41" customFormat="false" ht="15" hidden="false" customHeight="false" outlineLevel="0" collapsed="false">
      <c r="A41" s="16"/>
      <c r="B41" s="15" t="str">
        <f aca="false">IF(Estimates!H56="","","("&amp;TEXT(Estimates!H56,"0.00")&amp;")")</f>
        <v>(-0.54)</v>
      </c>
      <c r="C41" s="15" t="str">
        <f aca="false">IF(Estimates!H57="","","("&amp;TEXT(Estimates!H57,"0.00")&amp;")")</f>
        <v>(0.20)</v>
      </c>
      <c r="D41" s="15" t="str">
        <f aca="false">IF(Estimates!H58="","","("&amp;TEXT(Estimates!H58,"0.00")&amp;")")</f>
        <v>(1.14)</v>
      </c>
      <c r="E41" s="15" t="str">
        <f aca="false">IF(Estimates!H59="","","("&amp;TEXT(Estimates!H59,"0.00")&amp;")")</f>
        <v>(0.96)</v>
      </c>
    </row>
    <row r="42" customFormat="false" ht="15" hidden="false" customHeight="false" outlineLevel="0" collapsed="false">
      <c r="A42" s="14" t="s">
        <v>24</v>
      </c>
      <c r="B42" s="15" t="str">
        <f aca="false">IF(Estimates!I60="","",TEXT(Estimates!E60,"0.000")&amp;IF(Estimates!I60&lt;0.01,"***",IF(Estimates!I60&lt;0.05,"**",IF(Estimates!I60&lt;0.1,"*",""))))</f>
        <v>0.175</v>
      </c>
      <c r="C42" s="15" t="str">
        <f aca="false">IF(Estimates!I61="","",TEXT(Estimates!E61,"0.000")&amp;IF(Estimates!I61&lt;0.01,"***",IF(Estimates!I61&lt;0.05,"**",IF(Estimates!I61&lt;0.1,"*",""))))</f>
        <v>0.295</v>
      </c>
      <c r="D42" s="15" t="str">
        <f aca="false">IF(Estimates!I62="","",TEXT(Estimates!E62,"0.000")&amp;IF(Estimates!I62&lt;0.01,"***",IF(Estimates!I62&lt;0.05,"**",IF(Estimates!I62&lt;0.1,"*",""))))</f>
        <v>0.503</v>
      </c>
      <c r="E42" s="15" t="str">
        <f aca="false">IF(Estimates!I63="","",TEXT(Estimates!E63,"0.000")&amp;IF(Estimates!I63&lt;0.01,"***",IF(Estimates!I63&lt;0.05,"**",IF(Estimates!I63&lt;0.1,"*",""))))</f>
        <v>0.510</v>
      </c>
    </row>
    <row r="43" customFormat="false" ht="15" hidden="false" customHeight="false" outlineLevel="0" collapsed="false">
      <c r="A43" s="16"/>
      <c r="B43" s="15" t="str">
        <f aca="false">IF(Estimates!H60="","","("&amp;TEXT(Estimates!H60,"0.00")&amp;")")</f>
        <v>(0.60)</v>
      </c>
      <c r="C43" s="15" t="str">
        <f aca="false">IF(Estimates!H61="","","("&amp;TEXT(Estimates!H61,"0.00")&amp;")")</f>
        <v>(0.65)</v>
      </c>
      <c r="D43" s="15" t="str">
        <f aca="false">IF(Estimates!H62="","","("&amp;TEXT(Estimates!H62,"0.00")&amp;")")</f>
        <v>(1.08)</v>
      </c>
      <c r="E43" s="15" t="str">
        <f aca="false">IF(Estimates!H63="","","("&amp;TEXT(Estimates!H63,"0.00")&amp;")")</f>
        <v>(0.89)</v>
      </c>
    </row>
    <row r="44" customFormat="false" ht="15" hidden="false" customHeight="false" outlineLevel="0" collapsed="false">
      <c r="A44" s="14" t="s">
        <v>25</v>
      </c>
      <c r="B44" s="15" t="str">
        <f aca="false">IF(Estimates!I64="","",TEXT(Estimates!E64,"0.000")&amp;IF(Estimates!I64&lt;0.01,"***",IF(Estimates!I64&lt;0.05,"**",IF(Estimates!I64&lt;0.1,"*",""))))</f>
        <v>0.047</v>
      </c>
      <c r="C44" s="15" t="str">
        <f aca="false">IF(Estimates!I65="","",TEXT(Estimates!E65,"0.000")&amp;IF(Estimates!I65&lt;0.01,"***",IF(Estimates!I65&lt;0.05,"**",IF(Estimates!I65&lt;0.1,"*",""))))</f>
        <v>0.342</v>
      </c>
      <c r="D44" s="15" t="str">
        <f aca="false">IF(Estimates!I66="","",TEXT(Estimates!E66,"0.000")&amp;IF(Estimates!I66&lt;0.01,"***",IF(Estimates!I66&lt;0.05,"**",IF(Estimates!I66&lt;0.1,"*",""))))</f>
        <v>0.168</v>
      </c>
      <c r="E44" s="15" t="str">
        <f aca="false">IF(Estimates!I67="","",TEXT(Estimates!E67,"0.000")&amp;IF(Estimates!I67&lt;0.01,"***",IF(Estimates!I67&lt;0.05,"**",IF(Estimates!I67&lt;0.1,"*",""))))</f>
        <v>0.282</v>
      </c>
    </row>
    <row r="45" customFormat="false" ht="15" hidden="false" customHeight="false" outlineLevel="0" collapsed="false">
      <c r="A45" s="16"/>
      <c r="B45" s="15" t="str">
        <f aca="false">IF(Estimates!H64="","","("&amp;TEXT(Estimates!H64,"0.00")&amp;")")</f>
        <v>(0.15)</v>
      </c>
      <c r="C45" s="15" t="str">
        <f aca="false">IF(Estimates!H65="","","("&amp;TEXT(Estimates!H65,"0.00")&amp;")")</f>
        <v>(0.84)</v>
      </c>
      <c r="D45" s="15" t="str">
        <f aca="false">IF(Estimates!H66="","","("&amp;TEXT(Estimates!H66,"0.00")&amp;")")</f>
        <v>(0.51)</v>
      </c>
      <c r="E45" s="15" t="str">
        <f aca="false">IF(Estimates!H67="","","("&amp;TEXT(Estimates!H67,"0.00")&amp;")")</f>
        <v>(0.49)</v>
      </c>
    </row>
    <row r="46" customFormat="false" ht="15" hidden="false" customHeight="false" outlineLevel="0" collapsed="false">
      <c r="A46" s="14" t="s">
        <v>26</v>
      </c>
      <c r="B46" s="15" t="str">
        <f aca="false">IF(Estimates!I68="","",TEXT(Estimates!E68,"0.000")&amp;IF(Estimates!I68&lt;0.01,"***",IF(Estimates!I68&lt;0.05,"**",IF(Estimates!I68&lt;0.1,"*",""))))</f>
        <v>0.320</v>
      </c>
      <c r="C46" s="15" t="str">
        <f aca="false">IF(Estimates!I69="","",TEXT(Estimates!E69,"0.000")&amp;IF(Estimates!I69&lt;0.01,"***",IF(Estimates!I69&lt;0.05,"**",IF(Estimates!I69&lt;0.1,"*",""))))</f>
        <v>0.487</v>
      </c>
      <c r="D46" s="15" t="str">
        <f aca="false">IF(Estimates!I70="","",TEXT(Estimates!E70,"0.000")&amp;IF(Estimates!I70&lt;0.01,"***",IF(Estimates!I70&lt;0.05,"**",IF(Estimates!I70&lt;0.1,"*",""))))</f>
        <v>0.168</v>
      </c>
      <c r="E46" s="15" t="str">
        <f aca="false">IF(Estimates!I71="","",TEXT(Estimates!E71,"0.000")&amp;IF(Estimates!I71&lt;0.01,"***",IF(Estimates!I71&lt;0.05,"**",IF(Estimates!I71&lt;0.1,"*",""))))</f>
        <v>0.197</v>
      </c>
    </row>
    <row r="47" customFormat="false" ht="15" hidden="false" customHeight="false" outlineLevel="0" collapsed="false">
      <c r="A47" s="16"/>
      <c r="B47" s="15" t="str">
        <f aca="false">IF(Estimates!H68="","","("&amp;TEXT(Estimates!H68,"0.00")&amp;")")</f>
        <v>(0.75)</v>
      </c>
      <c r="C47" s="15" t="str">
        <f aca="false">IF(Estimates!H69="","","("&amp;TEXT(Estimates!H69,"0.00")&amp;")")</f>
        <v>(0.93)</v>
      </c>
      <c r="D47" s="15" t="str">
        <f aca="false">IF(Estimates!H70="","","("&amp;TEXT(Estimates!H70,"0.00")&amp;")")</f>
        <v>(0.63)</v>
      </c>
      <c r="E47" s="15" t="str">
        <f aca="false">IF(Estimates!H71="","","("&amp;TEXT(Estimates!H71,"0.00")&amp;")")</f>
        <v>(0.41)</v>
      </c>
    </row>
    <row r="48" customFormat="false" ht="15" hidden="false" customHeight="false" outlineLevel="0" collapsed="false">
      <c r="A48" s="7" t="s">
        <v>27</v>
      </c>
      <c r="B48" s="8" t="str">
        <f aca="false">IF(Estimates!I72="","",TEXT(Estimates!E72,"0.000")&amp;IF(Estimates!I72&lt;0.01,"***",IF(Estimates!I72&lt;0.05,"**",IF(Estimates!I72&lt;0.1,"*",""))))</f>
        <v>-0.126</v>
      </c>
      <c r="C48" s="8" t="str">
        <f aca="false">IF(Estimates!I73="","",TEXT(Estimates!E73,"0.000")&amp;IF(Estimates!I73&lt;0.01,"***",IF(Estimates!I73&lt;0.05,"**",IF(Estimates!I73&lt;0.1,"*",""))))</f>
        <v>0.171</v>
      </c>
      <c r="D48" s="8" t="str">
        <f aca="false">IF(Estimates!I74="","",TEXT(Estimates!E74,"0.000")&amp;IF(Estimates!I74&lt;0.01,"***",IF(Estimates!I74&lt;0.05,"**",IF(Estimates!I74&lt;0.1,"*",""))))</f>
        <v>0.747*</v>
      </c>
      <c r="E48" s="8" t="str">
        <f aca="false">IF(Estimates!I75="","",TEXT(Estimates!E75,"0.000")&amp;IF(Estimates!I75&lt;0.01,"***",IF(Estimates!I75&lt;0.05,"**",IF(Estimates!I75&lt;0.1,"*",""))))</f>
        <v>1.010*</v>
      </c>
    </row>
    <row r="49" customFormat="false" ht="15" hidden="false" customHeight="false" outlineLevel="0" collapsed="false">
      <c r="B49" s="8" t="str">
        <f aca="false">IF(Estimates!H72="","","("&amp;TEXT(Estimates!H72,"0.00")&amp;")")</f>
        <v>(-0.45)</v>
      </c>
      <c r="C49" s="8" t="str">
        <f aca="false">IF(Estimates!H73="","","("&amp;TEXT(Estimates!H73,"0.00")&amp;")")</f>
        <v>(0.36)</v>
      </c>
      <c r="D49" s="8" t="str">
        <f aca="false">IF(Estimates!H74="","","("&amp;TEXT(Estimates!H74,"0.00")&amp;")")</f>
        <v>(1.97)</v>
      </c>
      <c r="E49" s="8" t="str">
        <f aca="false">IF(Estimates!H75="","","("&amp;TEXT(Estimates!H75,"0.00")&amp;")")</f>
        <v>(2.09)</v>
      </c>
    </row>
    <row r="50" customFormat="false" ht="15" hidden="false" customHeight="false" outlineLevel="0" collapsed="false">
      <c r="A50" s="7" t="s">
        <v>28</v>
      </c>
      <c r="B50" s="8" t="str">
        <f aca="false">IF(Estimates!I76="","",TEXT(Estimates!E76,"0.000")&amp;IF(Estimates!I76&lt;0.01,"***",IF(Estimates!I76&lt;0.05,"**",IF(Estimates!I76&lt;0.1,"*",""))))</f>
        <v>0.141</v>
      </c>
      <c r="C50" s="8" t="str">
        <f aca="false">IF(Estimates!I77="","",TEXT(Estimates!E77,"0.000")&amp;IF(Estimates!I77&lt;0.01,"***",IF(Estimates!I77&lt;0.05,"**",IF(Estimates!I77&lt;0.1,"*",""))))</f>
        <v>0.492</v>
      </c>
      <c r="D50" s="8" t="str">
        <f aca="false">IF(Estimates!I78="","",TEXT(Estimates!E78,"0.000")&amp;IF(Estimates!I78&lt;0.01,"***",IF(Estimates!I78&lt;0.05,"**",IF(Estimates!I78&lt;0.1,"*",""))))</f>
        <v>-0.144</v>
      </c>
      <c r="E50" s="8" t="str">
        <f aca="false">IF(Estimates!I79="","",TEXT(Estimates!E79,"0.000")&amp;IF(Estimates!I79&lt;0.01,"***",IF(Estimates!I79&lt;0.05,"**",IF(Estimates!I79&lt;0.1,"*",""))))</f>
        <v>0.249</v>
      </c>
    </row>
    <row r="51" customFormat="false" ht="15" hidden="false" customHeight="false" outlineLevel="0" collapsed="false">
      <c r="B51" s="8" t="str">
        <f aca="false">IF(Estimates!H76="","","("&amp;TEXT(Estimates!H76,"0.00")&amp;")")</f>
        <v>(0.35)</v>
      </c>
      <c r="C51" s="8" t="str">
        <f aca="false">IF(Estimates!H77="","","("&amp;TEXT(Estimates!H77,"0.00")&amp;")")</f>
        <v>(0.88)</v>
      </c>
      <c r="D51" s="8" t="str">
        <f aca="false">IF(Estimates!H78="","","("&amp;TEXT(Estimates!H78,"0.00")&amp;")")</f>
        <v>(-0.72)</v>
      </c>
      <c r="E51" s="8" t="str">
        <f aca="false">IF(Estimates!H79="","","("&amp;TEXT(Estimates!H79,"0.00")&amp;")")</f>
        <v>(0.83)</v>
      </c>
    </row>
    <row r="52" customFormat="false" ht="15" hidden="false" customHeight="false" outlineLevel="0" collapsed="false">
      <c r="A52" s="7" t="s">
        <v>29</v>
      </c>
      <c r="B52" s="8" t="str">
        <f aca="false">IF(Estimates!I80="","",TEXT(Estimates!E80,"0.000")&amp;IF(Estimates!I80&lt;0.01,"***",IF(Estimates!I80&lt;0.05,"**",IF(Estimates!I80&lt;0.1,"*",""))))</f>
        <v>-0.680**</v>
      </c>
      <c r="C52" s="8" t="str">
        <f aca="false">IF(Estimates!I81="","",TEXT(Estimates!E81,"0.000")&amp;IF(Estimates!I81&lt;0.01,"***",IF(Estimates!I81&lt;0.05,"**",IF(Estimates!I81&lt;0.1,"*",""))))</f>
        <v>-0.102</v>
      </c>
      <c r="D52" s="8" t="str">
        <f aca="false">IF(Estimates!I82="","",TEXT(Estimates!E82,"0.000")&amp;IF(Estimates!I82&lt;0.01,"***",IF(Estimates!I82&lt;0.05,"**",IF(Estimates!I82&lt;0.1,"*",""))))</f>
        <v>0.007</v>
      </c>
      <c r="E52" s="8" t="str">
        <f aca="false">IF(Estimates!I83="","",TEXT(Estimates!E83,"0.000")&amp;IF(Estimates!I83&lt;0.01,"***",IF(Estimates!I83&lt;0.05,"**",IF(Estimates!I83&lt;0.1,"*",""))))</f>
        <v>0.836**</v>
      </c>
    </row>
    <row r="53" customFormat="false" ht="15" hidden="false" customHeight="false" outlineLevel="0" collapsed="false">
      <c r="B53" s="8" t="str">
        <f aca="false">IF(Estimates!H80="","","("&amp;TEXT(Estimates!H80,"0.00")&amp;")")</f>
        <v>(-2.84)</v>
      </c>
      <c r="C53" s="8" t="str">
        <f aca="false">IF(Estimates!H81="","","("&amp;TEXT(Estimates!H81,"0.00")&amp;")")</f>
        <v>(-0.21)</v>
      </c>
      <c r="D53" s="8" t="str">
        <f aca="false">IF(Estimates!H82="","","("&amp;TEXT(Estimates!H82,"0.00")&amp;")")</f>
        <v>(0.04)</v>
      </c>
      <c r="E53" s="8" t="str">
        <f aca="false">IF(Estimates!H83="","","("&amp;TEXT(Estimates!H83,"0.00")&amp;")")</f>
        <v>(2.50)</v>
      </c>
    </row>
    <row r="54" customFormat="false" ht="15" hidden="false" customHeight="false" outlineLevel="0" collapsed="false">
      <c r="A54" s="7" t="s">
        <v>30</v>
      </c>
      <c r="B54" s="8" t="str">
        <f aca="false">IF(Estimates!I84="","",TEXT(Estimates!E84,"0.000")&amp;IF(Estimates!I84&lt;0.01,"***",IF(Estimates!I84&lt;0.05,"**",IF(Estimates!I84&lt;0.1,"*",""))))</f>
        <v>0.516</v>
      </c>
      <c r="C54" s="8" t="str">
        <f aca="false">IF(Estimates!I85="","",TEXT(Estimates!E85,"0.000")&amp;IF(Estimates!I85&lt;0.01,"***",IF(Estimates!I85&lt;0.05,"**",IF(Estimates!I85&lt;0.1,"*",""))))</f>
        <v>0.604</v>
      </c>
      <c r="D54" s="8" t="str">
        <f aca="false">IF(Estimates!I86="","",TEXT(Estimates!E86,"0.000")&amp;IF(Estimates!I86&lt;0.01,"***",IF(Estimates!I86&lt;0.05,"**",IF(Estimates!I86&lt;0.1,"*",""))))</f>
        <v>-0.118</v>
      </c>
      <c r="E54" s="8" t="str">
        <f aca="false">IF(Estimates!I87="","",TEXT(Estimates!E87,"0.000")&amp;IF(Estimates!I87&lt;0.01,"***",IF(Estimates!I87&lt;0.05,"**",IF(Estimates!I87&lt;0.1,"*",""))))</f>
        <v>0.123</v>
      </c>
    </row>
    <row r="55" customFormat="false" ht="15" hidden="false" customHeight="false" outlineLevel="0" collapsed="false">
      <c r="B55" s="8" t="str">
        <f aca="false">IF(Estimates!H84="","","("&amp;TEXT(Estimates!H84,"0.00")&amp;")")</f>
        <v>(1.44)</v>
      </c>
      <c r="C55" s="8" t="str">
        <f aca="false">IF(Estimates!H85="","","("&amp;TEXT(Estimates!H85,"0.00")&amp;")")</f>
        <v>(1.30)</v>
      </c>
      <c r="D55" s="8" t="str">
        <f aca="false">IF(Estimates!H86="","","("&amp;TEXT(Estimates!H86,"0.00")&amp;")")</f>
        <v>(-0.40)</v>
      </c>
      <c r="E55" s="8" t="str">
        <f aca="false">IF(Estimates!H87="","","("&amp;TEXT(Estimates!H87,"0.00")&amp;")")</f>
        <v>(0.23)</v>
      </c>
    </row>
    <row r="56" customFormat="false" ht="15" hidden="false" customHeight="false" outlineLevel="0" collapsed="false">
      <c r="A56" s="7" t="s">
        <v>31</v>
      </c>
      <c r="B56" s="8" t="str">
        <f aca="false">IF(Estimates!I88="","",TEXT(Estimates!E88,"0.000")&amp;IF(Estimates!I88&lt;0.01,"***",IF(Estimates!I88&lt;0.05,"**",IF(Estimates!I88&lt;0.1,"*",""))))</f>
        <v>0.863*</v>
      </c>
      <c r="C56" s="8" t="str">
        <f aca="false">IF(Estimates!I89="","",TEXT(Estimates!E89,"0.000")&amp;IF(Estimates!I89&lt;0.01,"***",IF(Estimates!I89&lt;0.05,"**",IF(Estimates!I89&lt;0.1,"*",""))))</f>
        <v>1.094*</v>
      </c>
      <c r="D56" s="8" t="str">
        <f aca="false">IF(Estimates!I90="","",TEXT(Estimates!E90,"0.000")&amp;IF(Estimates!I90&lt;0.01,"***",IF(Estimates!I90&lt;0.05,"**",IF(Estimates!I90&lt;0.1,"*",""))))</f>
        <v>0.758</v>
      </c>
      <c r="E56" s="8" t="str">
        <f aca="false">IF(Estimates!I91="","",TEXT(Estimates!E91,"0.000")&amp;IF(Estimates!I91&lt;0.01,"***",IF(Estimates!I91&lt;0.05,"**",IF(Estimates!I91&lt;0.1,"*",""))))</f>
        <v>0.974</v>
      </c>
    </row>
    <row r="57" customFormat="false" ht="15" hidden="false" customHeight="false" outlineLevel="0" collapsed="false">
      <c r="B57" s="8" t="str">
        <f aca="false">IF(Estimates!H88="","","("&amp;TEXT(Estimates!H88,"0.00")&amp;")")</f>
        <v>(2.02)</v>
      </c>
      <c r="C57" s="8" t="str">
        <f aca="false">IF(Estimates!H89="","","("&amp;TEXT(Estimates!H89,"0.00")&amp;")")</f>
        <v>(2.07)</v>
      </c>
      <c r="D57" s="8" t="str">
        <f aca="false">IF(Estimates!H90="","","("&amp;TEXT(Estimates!H90,"0.00")&amp;")")</f>
        <v>(1.58)</v>
      </c>
      <c r="E57" s="8" t="str">
        <f aca="false">IF(Estimates!H91="","","("&amp;TEXT(Estimates!H91,"0.00")&amp;")")</f>
        <v>(1.41)</v>
      </c>
    </row>
    <row r="59" customFormat="false" ht="15" hidden="false" customHeight="false" outlineLevel="0" collapsed="false">
      <c r="A59" s="17" t="s">
        <v>32</v>
      </c>
      <c r="B59" s="18" t="n">
        <v>1561</v>
      </c>
      <c r="C59" s="18" t="n">
        <v>1560</v>
      </c>
      <c r="D59" s="18" t="n">
        <v>1388</v>
      </c>
      <c r="E59" s="18" t="n">
        <v>1387</v>
      </c>
    </row>
  </sheetData>
  <mergeCells count="3">
    <mergeCell ref="A2:E2"/>
    <mergeCell ref="B4:C4"/>
    <mergeCell ref="D4:E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5" min="2" style="0" width="16"/>
  </cols>
  <sheetData>
    <row r="1" customFormat="false" ht="15" hidden="false" customHeight="false" outlineLevel="0" collapsed="false">
      <c r="A1" s="1" t="s">
        <v>33</v>
      </c>
    </row>
    <row r="2" customFormat="false" ht="181.5" hidden="false" customHeight="true" outlineLevel="0" collapsed="false">
      <c r="A2" s="2" t="s">
        <v>34</v>
      </c>
      <c r="B2" s="2"/>
      <c r="C2" s="2"/>
      <c r="D2" s="2"/>
      <c r="E2" s="2"/>
    </row>
    <row r="4" customFormat="false" ht="15" hidden="false" customHeight="true" outlineLevel="0" collapsed="false">
      <c r="A4" s="3"/>
      <c r="B4" s="4" t="s">
        <v>2</v>
      </c>
      <c r="C4" s="4"/>
      <c r="D4" s="4" t="s">
        <v>3</v>
      </c>
      <c r="E4" s="4"/>
    </row>
    <row r="5" customFormat="false" ht="30" hidden="false" customHeight="true" outlineLevel="0" collapsed="false">
      <c r="A5" s="5"/>
      <c r="B5" s="6" t="s">
        <v>4</v>
      </c>
      <c r="C5" s="6" t="s">
        <v>5</v>
      </c>
      <c r="D5" s="6" t="s">
        <v>4</v>
      </c>
      <c r="E5" s="6" t="s">
        <v>5</v>
      </c>
    </row>
    <row r="6" customFormat="false" ht="15" hidden="false" customHeight="false" outlineLevel="0" collapsed="false">
      <c r="A6" s="1" t="s">
        <v>6</v>
      </c>
    </row>
    <row r="7" customFormat="false" ht="15" hidden="false" customHeight="false" outlineLevel="0" collapsed="false">
      <c r="A7" s="7" t="s">
        <v>7</v>
      </c>
      <c r="B7" s="8" t="str">
        <f aca="false">IF(Estimates!I92="","",TEXT(Estimates!E92,"0.000")&amp;IF(Estimates!I92&lt;0.01,"***",IF(Estimates!I92&lt;0.05,"**",IF(Estimates!I92&lt;0.1,"*",""))))</f>
        <v>0.084</v>
      </c>
      <c r="C7" s="8" t="str">
        <f aca="false">IF(Estimates!I93="","",TEXT(Estimates!E93,"0.000")&amp;IF(Estimates!I93&lt;0.01,"***",IF(Estimates!I93&lt;0.05,"**",IF(Estimates!I93&lt;0.1,"*",""))))</f>
        <v>-0.240</v>
      </c>
      <c r="D7" s="8" t="str">
        <f aca="false">IF(Estimates!I94="","",TEXT(Estimates!E94,"0.000")&amp;IF(Estimates!I94&lt;0.01,"***",IF(Estimates!I94&lt;0.05,"**",IF(Estimates!I94&lt;0.1,"*",""))))</f>
        <v>-0.023</v>
      </c>
      <c r="E7" s="8" t="str">
        <f aca="false">IF(Estimates!I95="","",TEXT(Estimates!E95,"0.000")&amp;IF(Estimates!I95&lt;0.01,"***",IF(Estimates!I95&lt;0.05,"**",IF(Estimates!I95&lt;0.1,"*",""))))</f>
        <v>0.020</v>
      </c>
    </row>
    <row r="8" customFormat="false" ht="15" hidden="false" customHeight="false" outlineLevel="0" collapsed="false">
      <c r="B8" s="8" t="str">
        <f aca="false">IF(Estimates!H92="","","("&amp;TEXT(Estimates!H92,"0.00")&amp;")")</f>
        <v>(0.33)</v>
      </c>
      <c r="C8" s="8" t="str">
        <f aca="false">IF(Estimates!H93="","","("&amp;TEXT(Estimates!H93,"0.00")&amp;")")</f>
        <v>(-0.76)</v>
      </c>
      <c r="D8" s="8" t="str">
        <f aca="false">IF(Estimates!H94="","","("&amp;TEXT(Estimates!H94,"0.00")&amp;")")</f>
        <v>(-0.22)</v>
      </c>
      <c r="E8" s="8" t="str">
        <f aca="false">IF(Estimates!H95="","","("&amp;TEXT(Estimates!H95,"0.00")&amp;")")</f>
        <v>(0.13)</v>
      </c>
    </row>
    <row r="9" customFormat="false" ht="15" hidden="false" customHeight="false" outlineLevel="0" collapsed="false">
      <c r="A9" s="7" t="s">
        <v>8</v>
      </c>
      <c r="B9" s="8" t="str">
        <f aca="false">IF(Estimates!I96="","",TEXT(Estimates!E96,"0.000")&amp;IF(Estimates!I96&lt;0.01,"***",IF(Estimates!I96&lt;0.05,"**",IF(Estimates!I96&lt;0.1,"*",""))))</f>
        <v>-0.516**</v>
      </c>
      <c r="C9" s="8" t="str">
        <f aca="false">IF(Estimates!I97="","",TEXT(Estimates!E97,"0.000")&amp;IF(Estimates!I97&lt;0.01,"***",IF(Estimates!I97&lt;0.05,"**",IF(Estimates!I97&lt;0.1,"*",""))))</f>
        <v>-0.720**</v>
      </c>
      <c r="D9" s="8" t="str">
        <f aca="false">IF(Estimates!I98="","",TEXT(Estimates!E98,"0.000")&amp;IF(Estimates!I98&lt;0.01,"***",IF(Estimates!I98&lt;0.05,"**",IF(Estimates!I98&lt;0.1,"*",""))))</f>
        <v>-0.473**</v>
      </c>
      <c r="E9" s="8" t="str">
        <f aca="false">IF(Estimates!I99="","",TEXT(Estimates!E99,"0.000")&amp;IF(Estimates!I99&lt;0.01,"***",IF(Estimates!I99&lt;0.05,"**",IF(Estimates!I99&lt;0.1,"*",""))))</f>
        <v>-0.249</v>
      </c>
    </row>
    <row r="10" customFormat="false" ht="15" hidden="false" customHeight="false" outlineLevel="0" collapsed="false">
      <c r="B10" s="8" t="str">
        <f aca="false">IF(Estimates!H96="","","("&amp;TEXT(Estimates!H96,"0.00")&amp;")")</f>
        <v>(-2.85)</v>
      </c>
      <c r="C10" s="8" t="str">
        <f aca="false">IF(Estimates!H97="","","("&amp;TEXT(Estimates!H97,"0.00")&amp;")")</f>
        <v>(-2.12)</v>
      </c>
      <c r="D10" s="8" t="str">
        <f aca="false">IF(Estimates!H98="","","("&amp;TEXT(Estimates!H98,"0.00")&amp;")")</f>
        <v>(-2.72)</v>
      </c>
      <c r="E10" s="8" t="str">
        <f aca="false">IF(Estimates!H99="","","("&amp;TEXT(Estimates!H99,"0.00")&amp;")")</f>
        <v>(-0.99)</v>
      </c>
    </row>
    <row r="11" customFormat="false" ht="15" hidden="false" customHeight="false" outlineLevel="0" collapsed="false">
      <c r="A11" s="1" t="s">
        <v>9</v>
      </c>
      <c r="B11" s="9" t="str">
        <f aca="false">IF(Estimates!I100="","",TEXT(Estimates!E100,"0.000")&amp;IF(Estimates!I100&lt;0.01,"***",IF(Estimates!I100&lt;0.05,"**",IF(Estimates!I100&lt;0.1,"*",""))))</f>
        <v>0.601*</v>
      </c>
      <c r="C11" s="9" t="str">
        <f aca="false">IF(Estimates!I101="","",TEXT(Estimates!E101,"0.000")&amp;IF(Estimates!I101&lt;0.01,"***",IF(Estimates!I101&lt;0.05,"**",IF(Estimates!I101&lt;0.1,"*",""))))</f>
        <v>0.480</v>
      </c>
      <c r="D11" s="9" t="str">
        <f aca="false">IF(Estimates!I102="","",TEXT(Estimates!E102,"0.000")&amp;IF(Estimates!I102&lt;0.01,"***",IF(Estimates!I102&lt;0.05,"**",IF(Estimates!I102&lt;0.1,"*",""))))</f>
        <v>0.449**</v>
      </c>
      <c r="E11" s="9" t="str">
        <f aca="false">IF(Estimates!I103="","",TEXT(Estimates!E103,"0.000")&amp;IF(Estimates!I103&lt;0.01,"***",IF(Estimates!I103&lt;0.05,"**",IF(Estimates!I103&lt;0.1,"*",""))))</f>
        <v>0.268</v>
      </c>
    </row>
    <row r="12" customFormat="false" ht="15" hidden="false" customHeight="false" outlineLevel="0" collapsed="false">
      <c r="B12" s="9" t="str">
        <f aca="false">IF(Estimates!H100="","","("&amp;TEXT(Estimates!H100,"0.00")&amp;")")</f>
        <v>(1.90)</v>
      </c>
      <c r="C12" s="9" t="str">
        <f aca="false">IF(Estimates!H101="","","("&amp;TEXT(Estimates!H101,"0.00")&amp;")")</f>
        <v>(1.28)</v>
      </c>
      <c r="D12" s="9" t="str">
        <f aca="false">IF(Estimates!H102="","","("&amp;TEXT(Estimates!H102,"0.00")&amp;")")</f>
        <v>(2.31)</v>
      </c>
      <c r="E12" s="9" t="str">
        <f aca="false">IF(Estimates!H103="","","("&amp;TEXT(Estimates!H103,"0.00")&amp;")")</f>
        <v>(1.07)</v>
      </c>
    </row>
    <row r="13" customFormat="false" ht="15" hidden="false" customHeight="false" outlineLevel="0" collapsed="false">
      <c r="A13" s="1" t="s">
        <v>10</v>
      </c>
      <c r="B13" s="10" t="n">
        <f aca="false">Estimates!I100</f>
        <v>0.0732616733521531</v>
      </c>
      <c r="C13" s="10" t="n">
        <f aca="false">Estimates!I101</f>
        <v>0.216069563457389</v>
      </c>
      <c r="D13" s="10" t="n">
        <f aca="false">Estimates!I102</f>
        <v>0.0327505404354814</v>
      </c>
      <c r="E13" s="10" t="n">
        <f aca="false">Estimates!I103</f>
        <v>0.296907488218065</v>
      </c>
    </row>
    <row r="15" customFormat="false" ht="15" hidden="false" customHeight="false" outlineLevel="0" collapsed="false">
      <c r="A15" s="1" t="s">
        <v>11</v>
      </c>
    </row>
    <row r="16" customFormat="false" ht="15" hidden="false" customHeight="false" outlineLevel="0" collapsed="false">
      <c r="A16" s="7" t="s">
        <v>12</v>
      </c>
      <c r="B16" s="8" t="str">
        <f aca="false">IF(Estimates!I104="","",TEXT(Estimates!E104,"0.000")&amp;IF(Estimates!I104&lt;0.01,"***",IF(Estimates!I104&lt;0.05,"**",IF(Estimates!I104&lt;0.1,"*",""))))</f>
        <v>-1.091***</v>
      </c>
      <c r="C16" s="8" t="str">
        <f aca="false">IF(Estimates!I105="","",TEXT(Estimates!E105,"0.000")&amp;IF(Estimates!I105&lt;0.01,"***",IF(Estimates!I105&lt;0.05,"**",IF(Estimates!I105&lt;0.1,"*",""))))</f>
        <v>-1.261***</v>
      </c>
      <c r="D16" s="8" t="str">
        <f aca="false">IF(Estimates!I106="","",TEXT(Estimates!E106,"0.000")&amp;IF(Estimates!I106&lt;0.01,"***",IF(Estimates!I106&lt;0.05,"**",IF(Estimates!I106&lt;0.1,"*",""))))</f>
        <v>-0.841***</v>
      </c>
      <c r="E16" s="8" t="str">
        <f aca="false">IF(Estimates!I107="","",TEXT(Estimates!E107,"0.000")&amp;IF(Estimates!I107&lt;0.01,"***",IF(Estimates!I107&lt;0.05,"**",IF(Estimates!I107&lt;0.1,"*",""))))</f>
        <v>-0.798***</v>
      </c>
    </row>
    <row r="17" customFormat="false" ht="15" hidden="false" customHeight="false" outlineLevel="0" collapsed="false">
      <c r="B17" s="8" t="str">
        <f aca="false">IF(Estimates!H104="","","("&amp;TEXT(Estimates!H104,"0.00")&amp;")")</f>
        <v>(-4.35)</v>
      </c>
      <c r="C17" s="8" t="str">
        <f aca="false">IF(Estimates!H105="","","("&amp;TEXT(Estimates!H105,"0.00")&amp;")")</f>
        <v>(-3.60)</v>
      </c>
      <c r="D17" s="8" t="str">
        <f aca="false">IF(Estimates!H106="","","("&amp;TEXT(Estimates!H106,"0.00")&amp;")")</f>
        <v>(-3.71)</v>
      </c>
      <c r="E17" s="8" t="str">
        <f aca="false">IF(Estimates!H107="","","("&amp;TEXT(Estimates!H107,"0.00")&amp;")")</f>
        <v>(-2.94)</v>
      </c>
    </row>
    <row r="18" customFormat="false" ht="15" hidden="false" customHeight="false" outlineLevel="0" collapsed="false">
      <c r="A18" s="7" t="s">
        <v>13</v>
      </c>
      <c r="B18" s="8" t="str">
        <f aca="false">IF(Estimates!I108="","",TEXT(Estimates!E108,"0.000")&amp;IF(Estimates!I108&lt;0.01,"***",IF(Estimates!I108&lt;0.05,"**",IF(Estimates!I108&lt;0.1,"*",""))))</f>
        <v>0.058</v>
      </c>
      <c r="C18" s="8" t="str">
        <f aca="false">IF(Estimates!I109="","",TEXT(Estimates!E109,"0.000")&amp;IF(Estimates!I109&lt;0.01,"***",IF(Estimates!I109&lt;0.05,"**",IF(Estimates!I109&lt;0.1,"*",""))))</f>
        <v>-0.180</v>
      </c>
      <c r="D18" s="8" t="str">
        <f aca="false">IF(Estimates!I110="","",TEXT(Estimates!E110,"0.000")&amp;IF(Estimates!I110&lt;0.01,"***",IF(Estimates!I110&lt;0.05,"**",IF(Estimates!I110&lt;0.1,"*",""))))</f>
        <v>-0.104</v>
      </c>
      <c r="E18" s="8" t="str">
        <f aca="false">IF(Estimates!I111="","",TEXT(Estimates!E111,"0.000")&amp;IF(Estimates!I111&lt;0.01,"***",IF(Estimates!I111&lt;0.05,"**",IF(Estimates!I111&lt;0.1,"*",""))))</f>
        <v>0.300</v>
      </c>
    </row>
    <row r="19" customFormat="false" ht="15" hidden="false" customHeight="false" outlineLevel="0" collapsed="false">
      <c r="B19" s="8" t="str">
        <f aca="false">IF(Estimates!H108="","","("&amp;TEXT(Estimates!H108,"0.00")&amp;")")</f>
        <v>(0.32)</v>
      </c>
      <c r="C19" s="8" t="str">
        <f aca="false">IF(Estimates!H109="","","("&amp;TEXT(Estimates!H109,"0.00")&amp;")")</f>
        <v>(-0.42)</v>
      </c>
      <c r="D19" s="8" t="str">
        <f aca="false">IF(Estimates!H110="","","("&amp;TEXT(Estimates!H110,"0.00")&amp;")")</f>
        <v>(-0.38)</v>
      </c>
      <c r="E19" s="8" t="str">
        <f aca="false">IF(Estimates!H111="","","("&amp;TEXT(Estimates!H111,"0.00")&amp;")")</f>
        <v>(0.75)</v>
      </c>
    </row>
    <row r="20" customFormat="false" ht="15" hidden="false" customHeight="false" outlineLevel="0" collapsed="false">
      <c r="A20" s="11" t="s">
        <v>14</v>
      </c>
      <c r="B20" s="12" t="str">
        <f aca="false">IF(Estimates!I112="","",TEXT(Estimates!E112,"0.000")&amp;IF(Estimates!I112&lt;0.01,"***",IF(Estimates!I112&lt;0.05,"**",IF(Estimates!I112&lt;0.1,"*",""))))</f>
        <v>1.175***</v>
      </c>
      <c r="C20" s="12" t="str">
        <f aca="false">IF(Estimates!I113="","",TEXT(Estimates!E113,"0.000")&amp;IF(Estimates!I113&lt;0.01,"***",IF(Estimates!I113&lt;0.05,"**",IF(Estimates!I113&lt;0.1,"*",""))))</f>
        <v>1.020**</v>
      </c>
      <c r="D20" s="12" t="str">
        <f aca="false">IF(Estimates!I114="","",TEXT(Estimates!E114,"0.000")&amp;IF(Estimates!I114&lt;0.01,"***",IF(Estimates!I114&lt;0.05,"**",IF(Estimates!I114&lt;0.1,"*",""))))</f>
        <v>0.818***</v>
      </c>
      <c r="E20" s="12" t="str">
        <f aca="false">IF(Estimates!I115="","",TEXT(Estimates!E115,"0.000")&amp;IF(Estimates!I115&lt;0.01,"***",IF(Estimates!I115&lt;0.05,"**",IF(Estimates!I115&lt;0.1,"*",""))))</f>
        <v>0.818**</v>
      </c>
    </row>
    <row r="21" customFormat="false" ht="15" hidden="false" customHeight="false" outlineLevel="0" collapsed="false">
      <c r="B21" s="12" t="str">
        <f aca="false">IF(Estimates!H112="","","("&amp;TEXT(Estimates!H112,"0.00")&amp;")")</f>
        <v>(3.22)</v>
      </c>
      <c r="C21" s="12" t="str">
        <f aca="false">IF(Estimates!H113="","","("&amp;TEXT(Estimates!H113,"0.00")&amp;")")</f>
        <v>(2.52)</v>
      </c>
      <c r="D21" s="12" t="str">
        <f aca="false">IF(Estimates!H114="","","("&amp;TEXT(Estimates!H114,"0.00")&amp;")")</f>
        <v>(3.09)</v>
      </c>
      <c r="E21" s="12" t="str">
        <f aca="false">IF(Estimates!H115="","","("&amp;TEXT(Estimates!H115,"0.00")&amp;")")</f>
        <v>(2.59)</v>
      </c>
    </row>
    <row r="22" customFormat="false" ht="15" hidden="false" customHeight="false" outlineLevel="0" collapsed="false">
      <c r="A22" s="11" t="s">
        <v>10</v>
      </c>
      <c r="B22" s="13" t="n">
        <f aca="false">Estimates!I112</f>
        <v>0.00476033540784118</v>
      </c>
      <c r="C22" s="13" t="n">
        <f aca="false">Estimates!I113</f>
        <v>0.0216214841947332</v>
      </c>
      <c r="D22" s="13" t="n">
        <f aca="false">Estimates!I114</f>
        <v>0.00636158191538388</v>
      </c>
      <c r="E22" s="13" t="n">
        <f aca="false">Estimates!I115</f>
        <v>0.0184301361192945</v>
      </c>
    </row>
    <row r="23" customFormat="false" ht="15" hidden="false" customHeight="false" outlineLevel="0" collapsed="false">
      <c r="A23" s="11" t="s">
        <v>15</v>
      </c>
      <c r="B23" s="12" t="str">
        <f aca="false">IF(Estimates!I116="","",TEXT(Estimates!E116,"0.000")&amp;IF(Estimates!I116&lt;0.01,"***",IF(Estimates!I116&lt;0.05,"**",IF(Estimates!I116&lt;0.1,"*",""))))</f>
        <v>0.027</v>
      </c>
      <c r="C23" s="12" t="str">
        <f aca="false">IF(Estimates!I117="","",TEXT(Estimates!E117,"0.000")&amp;IF(Estimates!I117&lt;0.01,"***",IF(Estimates!I117&lt;0.05,"**",IF(Estimates!I117&lt;0.1,"*",""))))</f>
        <v>-0.060</v>
      </c>
      <c r="D23" s="12" t="str">
        <f aca="false">IF(Estimates!I118="","",TEXT(Estimates!E118,"0.000")&amp;IF(Estimates!I118&lt;0.01,"***",IF(Estimates!I118&lt;0.05,"**",IF(Estimates!I118&lt;0.1,"*",""))))</f>
        <v>0.081</v>
      </c>
      <c r="E23" s="12" t="str">
        <f aca="false">IF(Estimates!I119="","",TEXT(Estimates!E119,"0.000")&amp;IF(Estimates!I119&lt;0.01,"***",IF(Estimates!I119&lt;0.05,"**",IF(Estimates!I119&lt;0.1,"*",""))))</f>
        <v>-0.281</v>
      </c>
    </row>
    <row r="24" customFormat="false" ht="15" hidden="false" customHeight="false" outlineLevel="0" collapsed="false">
      <c r="B24" s="12" t="str">
        <f aca="false">IF(Estimates!H116="","","("&amp;TEXT(Estimates!H116,"0.00")&amp;")")</f>
        <v>(0.09)</v>
      </c>
      <c r="C24" s="12" t="str">
        <f aca="false">IF(Estimates!H117="","","("&amp;TEXT(Estimates!H117,"0.00")&amp;")")</f>
        <v>(-0.14)</v>
      </c>
      <c r="D24" s="12" t="str">
        <f aca="false">IF(Estimates!H118="","","("&amp;TEXT(Estimates!H118,"0.00")&amp;")")</f>
        <v>(0.30)</v>
      </c>
      <c r="E24" s="12" t="str">
        <f aca="false">IF(Estimates!H119="","","("&amp;TEXT(Estimates!H119,"0.00")&amp;")")</f>
        <v>(-0.77)</v>
      </c>
    </row>
    <row r="25" customFormat="false" ht="15" hidden="false" customHeight="false" outlineLevel="0" collapsed="false">
      <c r="A25" s="11" t="s">
        <v>10</v>
      </c>
      <c r="B25" s="13" t="n">
        <f aca="false">Estimates!I116</f>
        <v>0.932922617097503</v>
      </c>
      <c r="C25" s="13" t="n">
        <f aca="false">Estimates!I117</f>
        <v>0.892336825272325</v>
      </c>
      <c r="D25" s="13" t="n">
        <f aca="false">Estimates!I118</f>
        <v>0.764375539337075</v>
      </c>
      <c r="E25" s="13" t="n">
        <f aca="false">Estimates!I119</f>
        <v>0.453777084966936</v>
      </c>
    </row>
    <row r="27" customFormat="false" ht="15" hidden="false" customHeight="false" outlineLevel="0" collapsed="false">
      <c r="A27" s="1" t="s">
        <v>16</v>
      </c>
    </row>
    <row r="28" customFormat="false" ht="15" hidden="false" customHeight="false" outlineLevel="0" collapsed="false">
      <c r="A28" s="7" t="s">
        <v>17</v>
      </c>
      <c r="B28" s="8" t="str">
        <f aca="false">IF(Estimates!I120="","",TEXT(Estimates!E120,"0.000")&amp;IF(Estimates!I120&lt;0.01,"***",IF(Estimates!I120&lt;0.05,"**",IF(Estimates!I120&lt;0.1,"*",""))))</f>
        <v>-1.159**</v>
      </c>
      <c r="C28" s="8" t="str">
        <f aca="false">IF(Estimates!I121="","",TEXT(Estimates!E121,"0.000")&amp;IF(Estimates!I121&lt;0.01,"***",IF(Estimates!I121&lt;0.05,"**",IF(Estimates!I121&lt;0.1,"*",""))))</f>
        <v>-1.684***</v>
      </c>
      <c r="D28" s="8" t="str">
        <f aca="false">IF(Estimates!I122="","",TEXT(Estimates!E122,"0.000")&amp;IF(Estimates!I122&lt;0.01,"***",IF(Estimates!I122&lt;0.05,"**",IF(Estimates!I122&lt;0.1,"*",""))))</f>
        <v>-0.950**</v>
      </c>
      <c r="E28" s="8" t="str">
        <f aca="false">IF(Estimates!I123="","",TEXT(Estimates!E123,"0.000")&amp;IF(Estimates!I123&lt;0.01,"***",IF(Estimates!I123&lt;0.05,"**",IF(Estimates!I123&lt;0.1,"*",""))))</f>
        <v>-0.954**</v>
      </c>
    </row>
    <row r="29" customFormat="false" ht="15" hidden="false" customHeight="false" outlineLevel="0" collapsed="false">
      <c r="B29" s="8" t="str">
        <f aca="false">IF(Estimates!H120="","","("&amp;TEXT(Estimates!H120,"0.00")&amp;")")</f>
        <v>(-2.74)</v>
      </c>
      <c r="C29" s="8" t="str">
        <f aca="false">IF(Estimates!H121="","","("&amp;TEXT(Estimates!H121,"0.00")&amp;")")</f>
        <v>(-3.48)</v>
      </c>
      <c r="D29" s="8" t="str">
        <f aca="false">IF(Estimates!H122="","","("&amp;TEXT(Estimates!H122,"0.00")&amp;")")</f>
        <v>(-2.69)</v>
      </c>
      <c r="E29" s="8" t="str">
        <f aca="false">IF(Estimates!H123="","","("&amp;TEXT(Estimates!H123,"0.00")&amp;")")</f>
        <v>(-2.51)</v>
      </c>
    </row>
    <row r="30" customFormat="false" ht="15" hidden="false" customHeight="false" outlineLevel="0" collapsed="false">
      <c r="A30" s="7" t="s">
        <v>35</v>
      </c>
      <c r="B30" s="8" t="str">
        <f aca="false">IF(Estimates!I124="","",TEXT(Estimates!E124,"0.000")&amp;IF(Estimates!I124&lt;0.01,"***",IF(Estimates!I124&lt;0.05,"**",IF(Estimates!I124&lt;0.1,"*",""))))</f>
        <v>0.651</v>
      </c>
      <c r="C30" s="8" t="str">
        <f aca="false">IF(Estimates!I125="","",TEXT(Estimates!E125,"0.000")&amp;IF(Estimates!I125&lt;0.01,"***",IF(Estimates!I125&lt;0.05,"**",IF(Estimates!I125&lt;0.1,"*",""))))</f>
        <v>1.122</v>
      </c>
      <c r="D30" s="8" t="str">
        <f aca="false">IF(Estimates!I126="","",TEXT(Estimates!E126,"0.000")&amp;IF(Estimates!I126&lt;0.01,"***",IF(Estimates!I126&lt;0.05,"**",IF(Estimates!I126&lt;0.1,"*",""))))</f>
        <v>-0.536</v>
      </c>
      <c r="E30" s="8" t="str">
        <f aca="false">IF(Estimates!I127="","",TEXT(Estimates!E127,"0.000")&amp;IF(Estimates!I127&lt;0.01,"***",IF(Estimates!I127&lt;0.05,"**",IF(Estimates!I127&lt;0.1,"*",""))))</f>
        <v>-0.546</v>
      </c>
    </row>
    <row r="31" customFormat="false" ht="15" hidden="false" customHeight="false" outlineLevel="0" collapsed="false">
      <c r="B31" s="8" t="str">
        <f aca="false">IF(Estimates!H124="","","("&amp;TEXT(Estimates!H124,"0.00")&amp;")")</f>
        <v>(1.07)</v>
      </c>
      <c r="C31" s="8" t="str">
        <f aca="false">IF(Estimates!H125="","","("&amp;TEXT(Estimates!H125,"0.00")&amp;")")</f>
        <v>(1.54)</v>
      </c>
      <c r="D31" s="8" t="str">
        <f aca="false">IF(Estimates!H126="","","("&amp;TEXT(Estimates!H126,"0.00")&amp;")")</f>
        <v>(-0.85)</v>
      </c>
      <c r="E31" s="8" t="str">
        <f aca="false">IF(Estimates!H127="","","("&amp;TEXT(Estimates!H127,"0.00")&amp;")")</f>
        <v>(-0.79)</v>
      </c>
    </row>
    <row r="32" customFormat="false" ht="15" hidden="false" customHeight="false" outlineLevel="0" collapsed="false">
      <c r="A32" s="7" t="s">
        <v>36</v>
      </c>
      <c r="B32" s="8" t="str">
        <f aca="false">IF(Estimates!I128="","",TEXT(Estimates!E128,"0.000")&amp;IF(Estimates!I128&lt;0.01,"***",IF(Estimates!I128&lt;0.05,"**",IF(Estimates!I128&lt;0.1,"*",""))))</f>
        <v>0.106</v>
      </c>
      <c r="C32" s="8" t="str">
        <f aca="false">IF(Estimates!I129="","",TEXT(Estimates!E129,"0.000")&amp;IF(Estimates!I129&lt;0.01,"***",IF(Estimates!I129&lt;0.05,"**",IF(Estimates!I129&lt;0.1,"*",""))))</f>
        <v>0.789</v>
      </c>
      <c r="D32" s="8" t="str">
        <f aca="false">IF(Estimates!I130="","",TEXT(Estimates!E130,"0.000")&amp;IF(Estimates!I130&lt;0.01,"***",IF(Estimates!I130&lt;0.05,"**",IF(Estimates!I130&lt;0.1,"*",""))))</f>
        <v>0.578</v>
      </c>
      <c r="E32" s="8" t="str">
        <f aca="false">IF(Estimates!I131="","",TEXT(Estimates!E131,"0.000")&amp;IF(Estimates!I131&lt;0.01,"***",IF(Estimates!I131&lt;0.05,"**",IF(Estimates!I131&lt;0.1,"*",""))))</f>
        <v>0.682</v>
      </c>
    </row>
    <row r="33" customFormat="false" ht="15" hidden="false" customHeight="false" outlineLevel="0" collapsed="false">
      <c r="B33" s="8" t="str">
        <f aca="false">IF(Estimates!H128="","","("&amp;TEXT(Estimates!H128,"0.00")&amp;")")</f>
        <v>(0.17)</v>
      </c>
      <c r="C33" s="8" t="str">
        <f aca="false">IF(Estimates!H129="","","("&amp;TEXT(Estimates!H129,"0.00")&amp;")")</f>
        <v>(1.18)</v>
      </c>
      <c r="D33" s="8" t="str">
        <f aca="false">IF(Estimates!H130="","","("&amp;TEXT(Estimates!H130,"0.00")&amp;")")</f>
        <v>(1.08)</v>
      </c>
      <c r="E33" s="8" t="str">
        <f aca="false">IF(Estimates!H131="","","("&amp;TEXT(Estimates!H131,"0.00")&amp;")")</f>
        <v>(1.26)</v>
      </c>
    </row>
    <row r="34" customFormat="false" ht="15" hidden="false" customHeight="false" outlineLevel="0" collapsed="false">
      <c r="A34" s="7" t="s">
        <v>37</v>
      </c>
      <c r="B34" s="8" t="str">
        <f aca="false">IF(Estimates!I132="","",TEXT(Estimates!E132,"0.000")&amp;IF(Estimates!I132&lt;0.01,"***",IF(Estimates!I132&lt;0.05,"**",IF(Estimates!I132&lt;0.1,"*",""))))</f>
        <v>-0.194</v>
      </c>
      <c r="C34" s="8" t="str">
        <f aca="false">IF(Estimates!I133="","",TEXT(Estimates!E133,"0.000")&amp;IF(Estimates!I133&lt;0.01,"***",IF(Estimates!I133&lt;0.05,"**",IF(Estimates!I133&lt;0.1,"*",""))))</f>
        <v>0.131</v>
      </c>
      <c r="D34" s="8" t="str">
        <f aca="false">IF(Estimates!I134="","",TEXT(Estimates!E134,"0.000")&amp;IF(Estimates!I134&lt;0.01,"***",IF(Estimates!I134&lt;0.05,"**",IF(Estimates!I134&lt;0.1,"*",""))))</f>
        <v>0.069</v>
      </c>
      <c r="E34" s="8" t="str">
        <f aca="false">IF(Estimates!I135="","",TEXT(Estimates!E135,"0.000")&amp;IF(Estimates!I135&lt;0.01,"***",IF(Estimates!I135&lt;0.05,"**",IF(Estimates!I135&lt;0.1,"*",""))))</f>
        <v>0.138</v>
      </c>
    </row>
    <row r="35" customFormat="false" ht="15" hidden="false" customHeight="false" outlineLevel="0" collapsed="false">
      <c r="B35" s="8" t="str">
        <f aca="false">IF(Estimates!H132="","","("&amp;TEXT(Estimates!H132,"0.00")&amp;")")</f>
        <v>(-0.31)</v>
      </c>
      <c r="C35" s="8" t="str">
        <f aca="false">IF(Estimates!H133="","","("&amp;TEXT(Estimates!H133,"0.00")&amp;")")</f>
        <v>(0.25)</v>
      </c>
      <c r="D35" s="8" t="str">
        <f aca="false">IF(Estimates!H134="","","("&amp;TEXT(Estimates!H134,"0.00")&amp;")")</f>
        <v>(0.22)</v>
      </c>
      <c r="E35" s="8" t="str">
        <f aca="false">IF(Estimates!H135="","","("&amp;TEXT(Estimates!H135,"0.00")&amp;")")</f>
        <v>(0.43)</v>
      </c>
    </row>
    <row r="36" customFormat="false" ht="15" hidden="false" customHeight="false" outlineLevel="0" collapsed="false">
      <c r="A36" s="14" t="s">
        <v>38</v>
      </c>
      <c r="B36" s="15" t="str">
        <f aca="false">IF(Estimates!I136="","",TEXT(Estimates!E136,"0.000")&amp;IF(Estimates!I136&lt;0.01,"***",IF(Estimates!I136&lt;0.05,"**",IF(Estimates!I136&lt;0.1,"*",""))))</f>
        <v>1.478</v>
      </c>
      <c r="C36" s="15" t="str">
        <f aca="false">IF(Estimates!I137="","",TEXT(Estimates!E137,"0.000")&amp;IF(Estimates!I137&lt;0.01,"***",IF(Estimates!I137&lt;0.05,"**",IF(Estimates!I137&lt;0.1,"*",""))))</f>
        <v>1.728*</v>
      </c>
      <c r="D36" s="15" t="str">
        <f aca="false">IF(Estimates!I138="","",TEXT(Estimates!E138,"0.000")&amp;IF(Estimates!I138&lt;0.01,"***",IF(Estimates!I138&lt;0.05,"**",IF(Estimates!I138&lt;0.1,"*",""))))</f>
        <v>1.222***</v>
      </c>
      <c r="E36" s="15" t="str">
        <f aca="false">IF(Estimates!I139="","",TEXT(Estimates!E139,"0.000")&amp;IF(Estimates!I139&lt;0.01,"***",IF(Estimates!I139&lt;0.05,"**",IF(Estimates!I139&lt;0.1,"*",""))))</f>
        <v>1.249**</v>
      </c>
    </row>
    <row r="37" customFormat="false" ht="15" hidden="false" customHeight="false" outlineLevel="0" collapsed="false">
      <c r="A37" s="16"/>
      <c r="B37" s="15" t="str">
        <f aca="false">IF(Estimates!H136="","","("&amp;TEXT(Estimates!H136,"0.00")&amp;")")</f>
        <v>(1.66)</v>
      </c>
      <c r="C37" s="15" t="str">
        <f aca="false">IF(Estimates!H137="","","("&amp;TEXT(Estimates!H137,"0.00")&amp;")")</f>
        <v>(1.90)</v>
      </c>
      <c r="D37" s="15" t="str">
        <f aca="false">IF(Estimates!H138="","","("&amp;TEXT(Estimates!H138,"0.00")&amp;")")</f>
        <v>(2.89)</v>
      </c>
      <c r="E37" s="15" t="str">
        <f aca="false">IF(Estimates!H139="","","("&amp;TEXT(Estimates!H139,"0.00")&amp;")")</f>
        <v>(2.79)</v>
      </c>
    </row>
    <row r="38" customFormat="false" ht="15" hidden="false" customHeight="false" outlineLevel="0" collapsed="false">
      <c r="A38" s="14" t="s">
        <v>39</v>
      </c>
      <c r="B38" s="15" t="str">
        <f aca="false">IF(Estimates!I140="","",TEXT(Estimates!E140,"0.000")&amp;IF(Estimates!I140&lt;0.01,"***",IF(Estimates!I140&lt;0.05,"**",IF(Estimates!I140&lt;0.1,"*",""))))</f>
        <v>1.086**</v>
      </c>
      <c r="C38" s="15" t="str">
        <f aca="false">IF(Estimates!I141="","",TEXT(Estimates!E141,"0.000")&amp;IF(Estimates!I141&lt;0.01,"***",IF(Estimates!I141&lt;0.05,"**",IF(Estimates!I141&lt;0.1,"*",""))))</f>
        <v>1.254**</v>
      </c>
      <c r="D38" s="15" t="str">
        <f aca="false">IF(Estimates!I142="","",TEXT(Estimates!E142,"0.000")&amp;IF(Estimates!I142&lt;0.01,"***",IF(Estimates!I142&lt;0.05,"**",IF(Estimates!I142&lt;0.1,"*",""))))</f>
        <v>0.729*</v>
      </c>
      <c r="E38" s="15" t="str">
        <f aca="false">IF(Estimates!I143="","",TEXT(Estimates!E143,"0.000")&amp;IF(Estimates!I143&lt;0.01,"***",IF(Estimates!I143&lt;0.05,"**",IF(Estimates!I143&lt;0.1,"*",""))))</f>
        <v>0.791</v>
      </c>
    </row>
    <row r="39" customFormat="false" ht="15" hidden="false" customHeight="false" outlineLevel="0" collapsed="false">
      <c r="A39" s="16"/>
      <c r="B39" s="15" t="str">
        <f aca="false">IF(Estimates!H140="","","("&amp;TEXT(Estimates!H140,"0.00")&amp;")")</f>
        <v>(2.81)</v>
      </c>
      <c r="C39" s="15" t="str">
        <f aca="false">IF(Estimates!H141="","","("&amp;TEXT(Estimates!H141,"0.00")&amp;")")</f>
        <v>(2.84)</v>
      </c>
      <c r="D39" s="15" t="str">
        <f aca="false">IF(Estimates!H142="","","("&amp;TEXT(Estimates!H142,"0.00")&amp;")")</f>
        <v>(2.03)</v>
      </c>
      <c r="E39" s="15" t="str">
        <f aca="false">IF(Estimates!H143="","","("&amp;TEXT(Estimates!H143,"0.00")&amp;")")</f>
        <v>(1.67)</v>
      </c>
    </row>
    <row r="40" customFormat="false" ht="15" hidden="false" customHeight="false" outlineLevel="0" collapsed="false">
      <c r="A40" s="7" t="s">
        <v>40</v>
      </c>
      <c r="B40" s="8" t="str">
        <f aca="false">IF(Estimates!I144="","",TEXT(Estimates!E144,"0.000")&amp;IF(Estimates!I144&lt;0.01,"***",IF(Estimates!I144&lt;0.05,"**",IF(Estimates!I144&lt;0.1,"*",""))))</f>
        <v>0.926**</v>
      </c>
      <c r="C40" s="8" t="str">
        <f aca="false">IF(Estimates!I145="","",TEXT(Estimates!E145,"0.000")&amp;IF(Estimates!I145&lt;0.01,"***",IF(Estimates!I145&lt;0.05,"**",IF(Estimates!I145&lt;0.1,"*",""))))</f>
        <v>1.234**</v>
      </c>
      <c r="D40" s="8" t="str">
        <f aca="false">IF(Estimates!I146="","",TEXT(Estimates!E146,"0.000")&amp;IF(Estimates!I146&lt;0.01,"***",IF(Estimates!I146&lt;0.05,"**",IF(Estimates!I146&lt;0.1,"*",""))))</f>
        <v>0.735</v>
      </c>
      <c r="E40" s="8" t="str">
        <f aca="false">IF(Estimates!I147="","",TEXT(Estimates!E147,"0.000")&amp;IF(Estimates!I147&lt;0.01,"***",IF(Estimates!I147&lt;0.05,"**",IF(Estimates!I147&lt;0.1,"*",""))))</f>
        <v>1.089**</v>
      </c>
    </row>
    <row r="41" customFormat="false" ht="15" hidden="false" customHeight="false" outlineLevel="0" collapsed="false">
      <c r="B41" s="8" t="str">
        <f aca="false">IF(Estimates!H144="","","("&amp;TEXT(Estimates!H144,"0.00")&amp;")")</f>
        <v>(2.36)</v>
      </c>
      <c r="C41" s="8" t="str">
        <f aca="false">IF(Estimates!H145="","","("&amp;TEXT(Estimates!H145,"0.00")&amp;")")</f>
        <v>(2.54)</v>
      </c>
      <c r="D41" s="8" t="str">
        <f aca="false">IF(Estimates!H146="","","("&amp;TEXT(Estimates!H146,"0.00")&amp;")")</f>
        <v>(1.49)</v>
      </c>
      <c r="E41" s="8" t="str">
        <f aca="false">IF(Estimates!H147="","","("&amp;TEXT(Estimates!H147,"0.00")&amp;")")</f>
        <v>(2.35)</v>
      </c>
    </row>
    <row r="42" customFormat="false" ht="15" hidden="false" customHeight="false" outlineLevel="0" collapsed="false">
      <c r="A42" s="7" t="s">
        <v>41</v>
      </c>
      <c r="B42" s="8" t="str">
        <f aca="false">IF(Estimates!I148="","",TEXT(Estimates!E148,"0.000")&amp;IF(Estimates!I148&lt;0.01,"***",IF(Estimates!I148&lt;0.05,"**",IF(Estimates!I148&lt;0.1,"*",""))))</f>
        <v>0.648</v>
      </c>
      <c r="C42" s="8" t="str">
        <f aca="false">IF(Estimates!I149="","",TEXT(Estimates!E149,"0.000")&amp;IF(Estimates!I149&lt;0.01,"***",IF(Estimates!I149&lt;0.05,"**",IF(Estimates!I149&lt;0.1,"*",""))))</f>
        <v>1.059*</v>
      </c>
      <c r="D42" s="8" t="str">
        <f aca="false">IF(Estimates!I150="","",TEXT(Estimates!E150,"0.000")&amp;IF(Estimates!I150&lt;0.01,"***",IF(Estimates!I150&lt;0.05,"**",IF(Estimates!I150&lt;0.1,"*",""))))</f>
        <v>0.407</v>
      </c>
      <c r="E42" s="8" t="str">
        <f aca="false">IF(Estimates!I151="","",TEXT(Estimates!E151,"0.000")&amp;IF(Estimates!I151&lt;0.01,"***",IF(Estimates!I151&lt;0.05,"**",IF(Estimates!I151&lt;0.1,"*",""))))</f>
        <v>1.072*</v>
      </c>
    </row>
    <row r="43" customFormat="false" ht="15" hidden="false" customHeight="false" outlineLevel="0" collapsed="false">
      <c r="B43" s="8" t="str">
        <f aca="false">IF(Estimates!H148="","","("&amp;TEXT(Estimates!H148,"0.00")&amp;")")</f>
        <v>(1.21)</v>
      </c>
      <c r="C43" s="8" t="str">
        <f aca="false">IF(Estimates!H149="","","("&amp;TEXT(Estimates!H149,"0.00")&amp;")")</f>
        <v>(1.93)</v>
      </c>
      <c r="D43" s="8" t="str">
        <f aca="false">IF(Estimates!H150="","","("&amp;TEXT(Estimates!H150,"0.00")&amp;")")</f>
        <v>(1.03)</v>
      </c>
      <c r="E43" s="8" t="str">
        <f aca="false">IF(Estimates!H151="","","("&amp;TEXT(Estimates!H151,"0.00")&amp;")")</f>
        <v>(1.92)</v>
      </c>
    </row>
    <row r="44" customFormat="false" ht="15" hidden="false" customHeight="false" outlineLevel="0" collapsed="false">
      <c r="A44" s="7" t="s">
        <v>42</v>
      </c>
      <c r="B44" s="8" t="str">
        <f aca="false">IF(Estimates!I152="","",TEXT(Estimates!E152,"0.000")&amp;IF(Estimates!I152&lt;0.01,"***",IF(Estimates!I152&lt;0.05,"**",IF(Estimates!I152&lt;0.1,"*",""))))</f>
        <v>1.789***</v>
      </c>
      <c r="C44" s="8" t="str">
        <f aca="false">IF(Estimates!I153="","",TEXT(Estimates!E153,"0.000")&amp;IF(Estimates!I153&lt;0.01,"***",IF(Estimates!I153&lt;0.05,"**",IF(Estimates!I153&lt;0.1,"*",""))))</f>
        <v>1.980**</v>
      </c>
      <c r="D44" s="8" t="str">
        <f aca="false">IF(Estimates!I154="","",TEXT(Estimates!E154,"0.000")&amp;IF(Estimates!I154&lt;0.01,"***",IF(Estimates!I154&lt;0.05,"**",IF(Estimates!I154&lt;0.1,"*",""))))</f>
        <v>1.211*</v>
      </c>
      <c r="E44" s="8" t="str">
        <f aca="false">IF(Estimates!I155="","",TEXT(Estimates!E155,"0.000")&amp;IF(Estimates!I155&lt;0.01,"***",IF(Estimates!I155&lt;0.05,"**",IF(Estimates!I155&lt;0.1,"*",""))))</f>
        <v>1.487*</v>
      </c>
    </row>
    <row r="45" customFormat="false" ht="15" hidden="false" customHeight="false" outlineLevel="0" collapsed="false">
      <c r="B45" s="8" t="str">
        <f aca="false">IF(Estimates!H152="","","("&amp;TEXT(Estimates!H152,"0.00")&amp;")")</f>
        <v>(3.74)</v>
      </c>
      <c r="C45" s="8" t="str">
        <f aca="false">IF(Estimates!H153="","","("&amp;TEXT(Estimates!H153,"0.00")&amp;")")</f>
        <v>(2.70)</v>
      </c>
      <c r="D45" s="8" t="str">
        <f aca="false">IF(Estimates!H154="","","("&amp;TEXT(Estimates!H154,"0.00")&amp;")")</f>
        <v>(2.07)</v>
      </c>
      <c r="E45" s="8" t="str">
        <f aca="false">IF(Estimates!H155="","","("&amp;TEXT(Estimates!H155,"0.00")&amp;")")</f>
        <v>(2.08)</v>
      </c>
    </row>
    <row r="47" customFormat="false" ht="15" hidden="false" customHeight="false" outlineLevel="0" collapsed="false">
      <c r="A47" s="17" t="s">
        <v>32</v>
      </c>
      <c r="B47" s="18" t="n">
        <v>1561</v>
      </c>
      <c r="C47" s="18" t="n">
        <v>1560</v>
      </c>
      <c r="D47" s="18" t="n">
        <v>1388</v>
      </c>
      <c r="E47" s="18" t="n">
        <v>1387</v>
      </c>
    </row>
  </sheetData>
  <mergeCells count="3">
    <mergeCell ref="A2:E2"/>
    <mergeCell ref="B4:C4"/>
    <mergeCell ref="D4:E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28"/>
    <col collapsed="false" customWidth="true" hidden="false" outlineLevel="0" max="4" min="4" style="0" width="44"/>
  </cols>
  <sheetData>
    <row r="1" customFormat="false" ht="15" hidden="false" customHeight="false" outlineLevel="0" collapsed="false">
      <c r="A1" s="11" t="s">
        <v>43</v>
      </c>
    </row>
    <row r="3" customFormat="false" ht="15" hidden="false" customHeight="false" outlineLevel="0" collapsed="false">
      <c r="A3" s="1" t="s">
        <v>44</v>
      </c>
      <c r="B3" s="1" t="s">
        <v>45</v>
      </c>
      <c r="C3" s="1" t="s">
        <v>46</v>
      </c>
      <c r="D3" s="1" t="s">
        <v>47</v>
      </c>
      <c r="E3" s="1" t="s">
        <v>48</v>
      </c>
      <c r="F3" s="1" t="s">
        <v>49</v>
      </c>
      <c r="G3" s="1" t="s">
        <v>50</v>
      </c>
      <c r="H3" s="1" t="s">
        <v>51</v>
      </c>
      <c r="I3" s="1" t="s">
        <v>52</v>
      </c>
    </row>
    <row r="4" customFormat="false" ht="15" hidden="false" customHeight="false" outlineLevel="0" collapsed="false">
      <c r="A4" s="7" t="s">
        <v>53</v>
      </c>
      <c r="B4" s="7" t="s">
        <v>2</v>
      </c>
      <c r="C4" s="7" t="s">
        <v>4</v>
      </c>
      <c r="D4" s="7" t="s">
        <v>7</v>
      </c>
      <c r="E4" s="19" t="n">
        <v>0.14074269562475</v>
      </c>
      <c r="F4" s="19" t="n">
        <v>0.134426462516552</v>
      </c>
      <c r="G4" s="20" t="n">
        <v>19</v>
      </c>
      <c r="H4" s="21" t="n">
        <f aca="false">IF(F4&gt;0,E4/F4,"")</f>
        <v>1.04698653070202</v>
      </c>
      <c r="I4" s="21" t="n">
        <f aca="false">IF(H4="","",TDIST(ABS(H4),G4-1,2))</f>
        <v>0.308962110118188</v>
      </c>
    </row>
    <row r="5" customFormat="false" ht="15" hidden="false" customHeight="false" outlineLevel="0" collapsed="false">
      <c r="A5" s="7" t="s">
        <v>53</v>
      </c>
      <c r="B5" s="7" t="s">
        <v>2</v>
      </c>
      <c r="C5" s="7" t="s">
        <v>5</v>
      </c>
      <c r="D5" s="7" t="s">
        <v>7</v>
      </c>
      <c r="E5" s="19" t="n">
        <v>-0.203219988311219</v>
      </c>
      <c r="F5" s="19" t="n">
        <v>0.321663471392535</v>
      </c>
      <c r="G5" s="20" t="n">
        <v>19</v>
      </c>
      <c r="H5" s="21" t="n">
        <f aca="false">IF(F5&gt;0,E5/F5,"")</f>
        <v>-0.631778260153214</v>
      </c>
      <c r="I5" s="21" t="n">
        <f aca="false">IF(H5="","",TDIST(ABS(H5),G5-1,2))</f>
        <v>0.535474019866177</v>
      </c>
    </row>
    <row r="6" customFormat="false" ht="15" hidden="false" customHeight="false" outlineLevel="0" collapsed="false">
      <c r="A6" s="7" t="s">
        <v>53</v>
      </c>
      <c r="B6" s="7" t="s">
        <v>3</v>
      </c>
      <c r="C6" s="7" t="s">
        <v>4</v>
      </c>
      <c r="D6" s="7" t="s">
        <v>7</v>
      </c>
      <c r="E6" s="19" t="n">
        <v>-0.00398371769345679</v>
      </c>
      <c r="F6" s="19" t="n">
        <v>0.10686059525625</v>
      </c>
      <c r="G6" s="20" t="n">
        <v>19</v>
      </c>
      <c r="H6" s="21" t="n">
        <f aca="false">IF(F6&gt;0,E6/F6,"")</f>
        <v>-0.0372795761047737</v>
      </c>
      <c r="I6" s="21" t="n">
        <f aca="false">IF(H6="","",TDIST(ABS(H6),G6-1,2))</f>
        <v>0.970672429992939</v>
      </c>
    </row>
    <row r="7" customFormat="false" ht="15" hidden="false" customHeight="false" outlineLevel="0" collapsed="false">
      <c r="A7" s="7" t="s">
        <v>53</v>
      </c>
      <c r="B7" s="7" t="s">
        <v>3</v>
      </c>
      <c r="C7" s="7" t="s">
        <v>5</v>
      </c>
      <c r="D7" s="7" t="s">
        <v>7</v>
      </c>
      <c r="E7" s="19" t="n">
        <v>0.0351289275598351</v>
      </c>
      <c r="F7" s="19" t="n">
        <v>0.15055460145606</v>
      </c>
      <c r="G7" s="20" t="n">
        <v>19</v>
      </c>
      <c r="H7" s="21" t="n">
        <f aca="false">IF(F7&gt;0,E7/F7,"")</f>
        <v>0.23333014879713</v>
      </c>
      <c r="I7" s="21" t="n">
        <f aca="false">IF(H7="","",TDIST(ABS(H7),G7-1,2))</f>
        <v>0.81813792710983</v>
      </c>
    </row>
    <row r="8" customFormat="false" ht="15" hidden="false" customHeight="false" outlineLevel="0" collapsed="false">
      <c r="A8" s="7" t="s">
        <v>53</v>
      </c>
      <c r="B8" s="7" t="s">
        <v>2</v>
      </c>
      <c r="C8" s="7" t="s">
        <v>4</v>
      </c>
      <c r="D8" s="7" t="s">
        <v>8</v>
      </c>
      <c r="E8" s="19" t="n">
        <v>-0.468708968068249</v>
      </c>
      <c r="F8" s="19" t="n">
        <v>0.209477353102242</v>
      </c>
      <c r="G8" s="20" t="n">
        <v>19</v>
      </c>
      <c r="H8" s="21" t="n">
        <f aca="false">IF(F8&gt;0,E8/F8,"")</f>
        <v>-2.23751618553</v>
      </c>
      <c r="I8" s="21" t="n">
        <f aca="false">IF(H8="","",TDIST(ABS(H8),G8-1,2))</f>
        <v>0.0381387389734258</v>
      </c>
    </row>
    <row r="9" customFormat="false" ht="15" hidden="false" customHeight="false" outlineLevel="0" collapsed="false">
      <c r="A9" s="7" t="s">
        <v>53</v>
      </c>
      <c r="B9" s="7" t="s">
        <v>2</v>
      </c>
      <c r="C9" s="7" t="s">
        <v>5</v>
      </c>
      <c r="D9" s="7" t="s">
        <v>8</v>
      </c>
      <c r="E9" s="19" t="n">
        <v>-0.694352019624915</v>
      </c>
      <c r="F9" s="19" t="n">
        <v>0.379856293138697</v>
      </c>
      <c r="G9" s="20" t="n">
        <v>19</v>
      </c>
      <c r="H9" s="21" t="n">
        <f aca="false">IF(F9&gt;0,E9/F9,"")</f>
        <v>-1.82793343737334</v>
      </c>
      <c r="I9" s="21" t="n">
        <f aca="false">IF(H9="","",TDIST(ABS(H9),G9-1,2))</f>
        <v>0.0841837414586751</v>
      </c>
    </row>
    <row r="10" customFormat="false" ht="15" hidden="false" customHeight="false" outlineLevel="0" collapsed="false">
      <c r="A10" s="7" t="s">
        <v>53</v>
      </c>
      <c r="B10" s="7" t="s">
        <v>3</v>
      </c>
      <c r="C10" s="7" t="s">
        <v>4</v>
      </c>
      <c r="D10" s="7" t="s">
        <v>8</v>
      </c>
      <c r="E10" s="19" t="n">
        <v>-0.458329558823351</v>
      </c>
      <c r="F10" s="19" t="n">
        <v>0.186222893318072</v>
      </c>
      <c r="G10" s="20" t="n">
        <v>19</v>
      </c>
      <c r="H10" s="21" t="n">
        <f aca="false">IF(F10&gt;0,E10/F10,"")</f>
        <v>-2.46118804544893</v>
      </c>
      <c r="I10" s="21" t="n">
        <f aca="false">IF(H10="","",TDIST(ABS(H10),G10-1,2))</f>
        <v>0.0241777307401562</v>
      </c>
    </row>
    <row r="11" customFormat="false" ht="15" hidden="false" customHeight="false" outlineLevel="0" collapsed="false">
      <c r="A11" s="7" t="s">
        <v>53</v>
      </c>
      <c r="B11" s="7" t="s">
        <v>3</v>
      </c>
      <c r="C11" s="7" t="s">
        <v>5</v>
      </c>
      <c r="D11" s="7" t="s">
        <v>8</v>
      </c>
      <c r="E11" s="19" t="n">
        <v>-0.274294504986749</v>
      </c>
      <c r="F11" s="19" t="n">
        <v>0.250027811944832</v>
      </c>
      <c r="G11" s="20" t="n">
        <v>19</v>
      </c>
      <c r="H11" s="21" t="n">
        <f aca="false">IF(F11&gt;0,E11/F11,"")</f>
        <v>-1.09705597490599</v>
      </c>
      <c r="I11" s="21" t="n">
        <f aca="false">IF(H11="","",TDIST(ABS(H11),G11-1,2))</f>
        <v>0.287077079322306</v>
      </c>
    </row>
    <row r="12" customFormat="false" ht="15" hidden="false" customHeight="false" outlineLevel="0" collapsed="false">
      <c r="A12" s="7" t="s">
        <v>53</v>
      </c>
      <c r="B12" s="7" t="s">
        <v>2</v>
      </c>
      <c r="C12" s="7" t="s">
        <v>4</v>
      </c>
      <c r="D12" s="7" t="s">
        <v>9</v>
      </c>
      <c r="E12" s="19" t="n">
        <v>0.609451663692998</v>
      </c>
      <c r="F12" s="19" t="n">
        <v>0.179857039709108</v>
      </c>
      <c r="G12" s="20" t="n">
        <v>19</v>
      </c>
      <c r="H12" s="21" t="n">
        <f aca="false">IF(F12&gt;0,E12/F12,"")</f>
        <v>3.38853383041718</v>
      </c>
      <c r="I12" s="21" t="n">
        <f aca="false">IF(H12="","",TDIST(ABS(H12),G12-1,2))</f>
        <v>0.003273577987384</v>
      </c>
    </row>
    <row r="13" customFormat="false" ht="15" hidden="false" customHeight="false" outlineLevel="0" collapsed="false">
      <c r="A13" s="7" t="s">
        <v>53</v>
      </c>
      <c r="B13" s="7" t="s">
        <v>2</v>
      </c>
      <c r="C13" s="7" t="s">
        <v>5</v>
      </c>
      <c r="D13" s="7" t="s">
        <v>9</v>
      </c>
      <c r="E13" s="19" t="n">
        <v>0.491132031313695</v>
      </c>
      <c r="F13" s="19" t="n">
        <v>0.277712621076775</v>
      </c>
      <c r="G13" s="20" t="n">
        <v>19</v>
      </c>
      <c r="H13" s="21" t="n">
        <f aca="false">IF(F13&gt;0,E13/F13,"")</f>
        <v>1.76849013706842</v>
      </c>
      <c r="I13" s="21" t="n">
        <f aca="false">IF(H13="","",TDIST(ABS(H13),G13-1,2))</f>
        <v>0.09392266376273</v>
      </c>
    </row>
    <row r="14" customFormat="false" ht="15" hidden="false" customHeight="false" outlineLevel="0" collapsed="false">
      <c r="A14" s="7" t="s">
        <v>53</v>
      </c>
      <c r="B14" s="7" t="s">
        <v>3</v>
      </c>
      <c r="C14" s="7" t="s">
        <v>4</v>
      </c>
      <c r="D14" s="7" t="s">
        <v>9</v>
      </c>
      <c r="E14" s="19" t="n">
        <v>0.454345841129894</v>
      </c>
      <c r="F14" s="19" t="n">
        <v>0.183282750754445</v>
      </c>
      <c r="G14" s="20" t="n">
        <v>19</v>
      </c>
      <c r="H14" s="21" t="n">
        <f aca="false">IF(F14&gt;0,E14/F14,"")</f>
        <v>2.47893399274986</v>
      </c>
      <c r="I14" s="21" t="n">
        <f aca="false">IF(H14="","",TDIST(ABS(H14),G14-1,2))</f>
        <v>0.0233052595773178</v>
      </c>
    </row>
    <row r="15" customFormat="false" ht="15" hidden="false" customHeight="false" outlineLevel="0" collapsed="false">
      <c r="A15" s="7" t="s">
        <v>53</v>
      </c>
      <c r="B15" s="7" t="s">
        <v>3</v>
      </c>
      <c r="C15" s="7" t="s">
        <v>5</v>
      </c>
      <c r="D15" s="7" t="s">
        <v>9</v>
      </c>
      <c r="E15" s="19" t="n">
        <v>0.309423432546584</v>
      </c>
      <c r="F15" s="19" t="n">
        <v>0.221384009606373</v>
      </c>
      <c r="G15" s="20" t="n">
        <v>19</v>
      </c>
      <c r="H15" s="21" t="n">
        <f aca="false">IF(F15&gt;0,E15/F15,"")</f>
        <v>1.39767742528807</v>
      </c>
      <c r="I15" s="21" t="n">
        <f aca="false">IF(H15="","",TDIST(ABS(H15),G15-1,2))</f>
        <v>0.179199275630838</v>
      </c>
    </row>
    <row r="16" customFormat="false" ht="15" hidden="false" customHeight="false" outlineLevel="0" collapsed="false">
      <c r="A16" s="7" t="s">
        <v>53</v>
      </c>
      <c r="B16" s="7" t="s">
        <v>2</v>
      </c>
      <c r="C16" s="7" t="s">
        <v>4</v>
      </c>
      <c r="D16" s="7" t="s">
        <v>12</v>
      </c>
      <c r="E16" s="19" t="n">
        <v>-1.05042994989723</v>
      </c>
      <c r="F16" s="19" t="n">
        <v>0.296514924196344</v>
      </c>
      <c r="G16" s="20" t="n">
        <v>19</v>
      </c>
      <c r="H16" s="21" t="n">
        <f aca="false">IF(F16&gt;0,E16/F16,"")</f>
        <v>-3.54258711511487</v>
      </c>
      <c r="I16" s="21" t="n">
        <f aca="false">IF(H16="","",TDIST(ABS(H16),G16-1,2))</f>
        <v>0.00232594577456756</v>
      </c>
    </row>
    <row r="17" customFormat="false" ht="15" hidden="false" customHeight="false" outlineLevel="0" collapsed="false">
      <c r="A17" s="7" t="s">
        <v>53</v>
      </c>
      <c r="B17" s="7" t="s">
        <v>2</v>
      </c>
      <c r="C17" s="7" t="s">
        <v>5</v>
      </c>
      <c r="D17" s="7" t="s">
        <v>12</v>
      </c>
      <c r="E17" s="19" t="n">
        <v>-1.21660835661003</v>
      </c>
      <c r="F17" s="19" t="n">
        <v>0.383239494489618</v>
      </c>
      <c r="G17" s="20" t="n">
        <v>19</v>
      </c>
      <c r="H17" s="21" t="n">
        <f aca="false">IF(F17&gt;0,E17/F17,"")</f>
        <v>-3.17453804762544</v>
      </c>
      <c r="I17" s="21" t="n">
        <f aca="false">IF(H17="","",TDIST(ABS(H17),G17-1,2))</f>
        <v>0.00524800339823067</v>
      </c>
    </row>
    <row r="18" customFormat="false" ht="15" hidden="false" customHeight="false" outlineLevel="0" collapsed="false">
      <c r="A18" s="7" t="s">
        <v>53</v>
      </c>
      <c r="B18" s="7" t="s">
        <v>3</v>
      </c>
      <c r="C18" s="7" t="s">
        <v>4</v>
      </c>
      <c r="D18" s="7" t="s">
        <v>12</v>
      </c>
      <c r="E18" s="19" t="n">
        <v>-0.805654725675767</v>
      </c>
      <c r="F18" s="19" t="n">
        <v>0.202859989112222</v>
      </c>
      <c r="G18" s="20" t="n">
        <v>19</v>
      </c>
      <c r="H18" s="21" t="n">
        <f aca="false">IF(F18&gt;0,E18/F18,"")</f>
        <v>-3.97148165688839</v>
      </c>
      <c r="I18" s="21" t="n">
        <f aca="false">IF(H18="","",TDIST(ABS(H18),G18-1,2))</f>
        <v>0.000894908644332255</v>
      </c>
    </row>
    <row r="19" customFormat="false" ht="15" hidden="false" customHeight="false" outlineLevel="0" collapsed="false">
      <c r="A19" s="7" t="s">
        <v>53</v>
      </c>
      <c r="B19" s="7" t="s">
        <v>3</v>
      </c>
      <c r="C19" s="7" t="s">
        <v>5</v>
      </c>
      <c r="D19" s="7" t="s">
        <v>12</v>
      </c>
      <c r="E19" s="19" t="n">
        <v>-0.773731842257444</v>
      </c>
      <c r="F19" s="19" t="n">
        <v>0.236300111292884</v>
      </c>
      <c r="G19" s="20" t="n">
        <v>19</v>
      </c>
      <c r="H19" s="21" t="n">
        <f aca="false">IF(F19&gt;0,E19/F19,"")</f>
        <v>-3.27436088804223</v>
      </c>
      <c r="I19" s="21" t="n">
        <f aca="false">IF(H19="","",TDIST(ABS(H19),G19-1,2))</f>
        <v>0.0042130104990114</v>
      </c>
    </row>
    <row r="20" customFormat="false" ht="15" hidden="false" customHeight="false" outlineLevel="0" collapsed="false">
      <c r="A20" s="7" t="s">
        <v>53</v>
      </c>
      <c r="B20" s="7" t="s">
        <v>2</v>
      </c>
      <c r="C20" s="7" t="s">
        <v>4</v>
      </c>
      <c r="D20" s="7" t="s">
        <v>13</v>
      </c>
      <c r="E20" s="19" t="n">
        <v>0.113012013760733</v>
      </c>
      <c r="F20" s="19" t="n">
        <v>0.164942172334471</v>
      </c>
      <c r="G20" s="20" t="n">
        <v>19</v>
      </c>
      <c r="H20" s="21" t="n">
        <f aca="false">IF(F20&gt;0,E20/F20,"")</f>
        <v>0.685161424523782</v>
      </c>
      <c r="I20" s="21" t="n">
        <f aca="false">IF(H20="","",TDIST(ABS(H20),G20-1,2))</f>
        <v>0.501970927489593</v>
      </c>
    </row>
    <row r="21" customFormat="false" ht="15" hidden="false" customHeight="false" outlineLevel="0" collapsed="false">
      <c r="A21" s="7" t="s">
        <v>53</v>
      </c>
      <c r="B21" s="7" t="s">
        <v>2</v>
      </c>
      <c r="C21" s="7" t="s">
        <v>5</v>
      </c>
      <c r="D21" s="7" t="s">
        <v>13</v>
      </c>
      <c r="E21" s="19" t="n">
        <v>-0.1720956826398</v>
      </c>
      <c r="F21" s="19" t="n">
        <v>0.447337737787694</v>
      </c>
      <c r="G21" s="20" t="n">
        <v>19</v>
      </c>
      <c r="H21" s="21" t="n">
        <f aca="false">IF(F21&gt;0,E21/F21,"")</f>
        <v>-0.384710852902547</v>
      </c>
      <c r="I21" s="21" t="n">
        <f aca="false">IF(H21="","",TDIST(ABS(H21),G21-1,2))</f>
        <v>0.704959288129053</v>
      </c>
    </row>
    <row r="22" customFormat="false" ht="15" hidden="false" customHeight="false" outlineLevel="0" collapsed="false">
      <c r="A22" s="7" t="s">
        <v>53</v>
      </c>
      <c r="B22" s="7" t="s">
        <v>3</v>
      </c>
      <c r="C22" s="7" t="s">
        <v>4</v>
      </c>
      <c r="D22" s="7" t="s">
        <v>13</v>
      </c>
      <c r="E22" s="19" t="n">
        <v>-0.111004391970934</v>
      </c>
      <c r="F22" s="19" t="n">
        <v>0.267856658449219</v>
      </c>
      <c r="G22" s="20" t="n">
        <v>19</v>
      </c>
      <c r="H22" s="21" t="n">
        <f aca="false">IF(F22&gt;0,E22/F22,"")</f>
        <v>-0.414417146146764</v>
      </c>
      <c r="I22" s="21" t="n">
        <f aca="false">IF(H22="","",TDIST(ABS(H22),G22-1,2))</f>
        <v>0.683465468164191</v>
      </c>
    </row>
    <row r="23" customFormat="false" ht="15" hidden="false" customHeight="false" outlineLevel="0" collapsed="false">
      <c r="A23" s="7" t="s">
        <v>53</v>
      </c>
      <c r="B23" s="7" t="s">
        <v>3</v>
      </c>
      <c r="C23" s="7" t="s">
        <v>5</v>
      </c>
      <c r="D23" s="7" t="s">
        <v>13</v>
      </c>
      <c r="E23" s="19" t="n">
        <v>0.225142832283947</v>
      </c>
      <c r="F23" s="19" t="n">
        <v>0.406404747975058</v>
      </c>
      <c r="G23" s="20" t="n">
        <v>19</v>
      </c>
      <c r="H23" s="21" t="n">
        <f aca="false">IF(F23&gt;0,E23/F23,"")</f>
        <v>0.553986717442986</v>
      </c>
      <c r="I23" s="21" t="n">
        <f aca="false">IF(H23="","",TDIST(ABS(H23),G23-1,2))</f>
        <v>0.586405070091861</v>
      </c>
    </row>
    <row r="24" customFormat="false" ht="15" hidden="false" customHeight="false" outlineLevel="0" collapsed="false">
      <c r="A24" s="7" t="s">
        <v>53</v>
      </c>
      <c r="B24" s="7" t="s">
        <v>2</v>
      </c>
      <c r="C24" s="7" t="s">
        <v>4</v>
      </c>
      <c r="D24" s="7" t="s">
        <v>14</v>
      </c>
      <c r="E24" s="19" t="n">
        <v>1.19117264552198</v>
      </c>
      <c r="F24" s="19" t="n">
        <v>0.259682723652209</v>
      </c>
      <c r="G24" s="20" t="n">
        <v>19</v>
      </c>
      <c r="H24" s="21" t="n">
        <f aca="false">IF(F24&gt;0,E24/F24,"")</f>
        <v>4.58703077651522</v>
      </c>
      <c r="I24" s="21" t="n">
        <f aca="false">IF(H24="","",TDIST(ABS(H24),G24-1,2))</f>
        <v>0.000228678874558101</v>
      </c>
    </row>
    <row r="25" customFormat="false" ht="15" hidden="false" customHeight="false" outlineLevel="0" collapsed="false">
      <c r="A25" s="7" t="s">
        <v>53</v>
      </c>
      <c r="B25" s="7" t="s">
        <v>2</v>
      </c>
      <c r="C25" s="7" t="s">
        <v>5</v>
      </c>
      <c r="D25" s="7" t="s">
        <v>14</v>
      </c>
      <c r="E25" s="19" t="n">
        <v>1.01338836829881</v>
      </c>
      <c r="F25" s="19" t="n">
        <v>0.325923061121704</v>
      </c>
      <c r="G25" s="20" t="n">
        <v>19</v>
      </c>
      <c r="H25" s="21" t="n">
        <f aca="false">IF(F25&gt;0,E25/F25,"")</f>
        <v>3.10928709619722</v>
      </c>
      <c r="I25" s="21" t="n">
        <f aca="false">IF(H25="","",TDIST(ABS(H25),G25-1,2))</f>
        <v>0.00605502426123865</v>
      </c>
    </row>
    <row r="26" customFormat="false" ht="15" hidden="false" customHeight="false" outlineLevel="0" collapsed="false">
      <c r="A26" s="7" t="s">
        <v>53</v>
      </c>
      <c r="B26" s="7" t="s">
        <v>3</v>
      </c>
      <c r="C26" s="7" t="s">
        <v>4</v>
      </c>
      <c r="D26" s="7" t="s">
        <v>14</v>
      </c>
      <c r="E26" s="19" t="n">
        <v>0.80167100798231</v>
      </c>
      <c r="F26" s="19" t="n">
        <v>0.202968029083985</v>
      </c>
      <c r="G26" s="20" t="n">
        <v>19</v>
      </c>
      <c r="H26" s="21" t="n">
        <f aca="false">IF(F26&gt;0,E26/F26,"")</f>
        <v>3.94974031920363</v>
      </c>
      <c r="I26" s="21" t="n">
        <f aca="false">IF(H26="","",TDIST(ABS(H26),G26-1,2))</f>
        <v>0.000939321138112946</v>
      </c>
    </row>
    <row r="27" customFormat="false" ht="15" hidden="false" customHeight="false" outlineLevel="0" collapsed="false">
      <c r="A27" s="7" t="s">
        <v>53</v>
      </c>
      <c r="B27" s="7" t="s">
        <v>3</v>
      </c>
      <c r="C27" s="7" t="s">
        <v>5</v>
      </c>
      <c r="D27" s="7" t="s">
        <v>14</v>
      </c>
      <c r="E27" s="19" t="n">
        <v>0.808860769817279</v>
      </c>
      <c r="F27" s="19" t="n">
        <v>0.264619965003169</v>
      </c>
      <c r="G27" s="20" t="n">
        <v>19</v>
      </c>
      <c r="H27" s="21" t="n">
        <f aca="false">IF(F27&gt;0,E27/F27,"")</f>
        <v>3.05668837121792</v>
      </c>
      <c r="I27" s="21" t="n">
        <f aca="false">IF(H27="","",TDIST(ABS(H27),G27-1,2))</f>
        <v>0.0067926040075042</v>
      </c>
    </row>
    <row r="28" customFormat="false" ht="15" hidden="false" customHeight="false" outlineLevel="0" collapsed="false">
      <c r="A28" s="7" t="s">
        <v>53</v>
      </c>
      <c r="B28" s="7" t="s">
        <v>2</v>
      </c>
      <c r="C28" s="7" t="s">
        <v>4</v>
      </c>
      <c r="D28" s="7" t="s">
        <v>15</v>
      </c>
      <c r="E28" s="19" t="n">
        <v>0.0277306818640168</v>
      </c>
      <c r="F28" s="19" t="n">
        <v>0.156931482063201</v>
      </c>
      <c r="G28" s="20" t="n">
        <v>19</v>
      </c>
      <c r="H28" s="21" t="n">
        <f aca="false">IF(F28&gt;0,E28/F28,"")</f>
        <v>0.176705664787189</v>
      </c>
      <c r="I28" s="21" t="n">
        <f aca="false">IF(H28="","",TDIST(ABS(H28),G28-1,2))</f>
        <v>0.86171262567209</v>
      </c>
    </row>
    <row r="29" customFormat="false" ht="15" hidden="false" customHeight="false" outlineLevel="0" collapsed="false">
      <c r="A29" s="7" t="s">
        <v>53</v>
      </c>
      <c r="B29" s="7" t="s">
        <v>2</v>
      </c>
      <c r="C29" s="7" t="s">
        <v>5</v>
      </c>
      <c r="D29" s="7" t="s">
        <v>15</v>
      </c>
      <c r="E29" s="19" t="n">
        <v>-0.0311243056714194</v>
      </c>
      <c r="F29" s="19" t="n">
        <v>0.326228007613156</v>
      </c>
      <c r="G29" s="20" t="n">
        <v>19</v>
      </c>
      <c r="H29" s="21" t="n">
        <f aca="false">IF(F29&gt;0,E29/F29,"")</f>
        <v>-0.0954066019626582</v>
      </c>
      <c r="I29" s="21" t="n">
        <f aca="false">IF(H29="","",TDIST(ABS(H29),G29-1,2))</f>
        <v>0.925046001501889</v>
      </c>
    </row>
    <row r="30" customFormat="false" ht="15" hidden="false" customHeight="false" outlineLevel="0" collapsed="false">
      <c r="A30" s="7" t="s">
        <v>53</v>
      </c>
      <c r="B30" s="7" t="s">
        <v>3</v>
      </c>
      <c r="C30" s="7" t="s">
        <v>4</v>
      </c>
      <c r="D30" s="7" t="s">
        <v>15</v>
      </c>
      <c r="E30" s="19" t="n">
        <v>0.107020674277477</v>
      </c>
      <c r="F30" s="19" t="n">
        <v>0.263686452599824</v>
      </c>
      <c r="G30" s="20" t="n">
        <v>19</v>
      </c>
      <c r="H30" s="21" t="n">
        <f aca="false">IF(F30&gt;0,E30/F30,"")</f>
        <v>0.405863377592227</v>
      </c>
      <c r="I30" s="21" t="n">
        <f aca="false">IF(H30="","",TDIST(ABS(H30),G30-1,2))</f>
        <v>0.689627018199535</v>
      </c>
    </row>
    <row r="31" customFormat="false" ht="15" hidden="false" customHeight="false" outlineLevel="0" collapsed="false">
      <c r="A31" s="7" t="s">
        <v>53</v>
      </c>
      <c r="B31" s="7" t="s">
        <v>3</v>
      </c>
      <c r="C31" s="7" t="s">
        <v>5</v>
      </c>
      <c r="D31" s="7" t="s">
        <v>15</v>
      </c>
      <c r="E31" s="19" t="n">
        <v>-0.190013904724112</v>
      </c>
      <c r="F31" s="19" t="n">
        <v>0.352097687896939</v>
      </c>
      <c r="G31" s="20" t="n">
        <v>19</v>
      </c>
      <c r="H31" s="21" t="n">
        <f aca="false">IF(F31&gt;0,E31/F31,"")</f>
        <v>-0.539662460889915</v>
      </c>
      <c r="I31" s="21" t="n">
        <f aca="false">IF(H31="","",TDIST(ABS(H31),G31-1,2))</f>
        <v>0.5960434909735</v>
      </c>
    </row>
    <row r="32" customFormat="false" ht="15" hidden="false" customHeight="false" outlineLevel="0" collapsed="false">
      <c r="A32" s="7" t="s">
        <v>53</v>
      </c>
      <c r="B32" s="7" t="s">
        <v>2</v>
      </c>
      <c r="C32" s="7" t="s">
        <v>4</v>
      </c>
      <c r="D32" s="7" t="s">
        <v>54</v>
      </c>
      <c r="E32" s="19" t="n">
        <v>-0.235790738077206</v>
      </c>
      <c r="F32" s="19" t="n">
        <v>0.385018751140093</v>
      </c>
      <c r="G32" s="20" t="n">
        <v>19</v>
      </c>
      <c r="H32" s="21" t="n">
        <f aca="false">IF(F32&gt;0,E32/F32,"")</f>
        <v>-0.612413648371663</v>
      </c>
      <c r="I32" s="21" t="n">
        <f aca="false">IF(H32="","",TDIST(ABS(H32),G32-1,2))</f>
        <v>0.547923490509392</v>
      </c>
    </row>
    <row r="33" customFormat="false" ht="15" hidden="false" customHeight="false" outlineLevel="0" collapsed="false">
      <c r="A33" s="7" t="s">
        <v>53</v>
      </c>
      <c r="B33" s="7" t="s">
        <v>2</v>
      </c>
      <c r="C33" s="7" t="s">
        <v>5</v>
      </c>
      <c r="D33" s="7" t="s">
        <v>54</v>
      </c>
      <c r="E33" s="19" t="n">
        <v>-0.807416406102331</v>
      </c>
      <c r="F33" s="19" t="n">
        <v>0.5473237602691</v>
      </c>
      <c r="G33" s="20" t="n">
        <v>19</v>
      </c>
      <c r="H33" s="21" t="n">
        <f aca="false">IF(F33&gt;0,E33/F33,"")</f>
        <v>-1.47520802989688</v>
      </c>
      <c r="I33" s="21" t="n">
        <f aca="false">IF(H33="","",TDIST(ABS(H33),G33-1,2))</f>
        <v>0.157434397341846</v>
      </c>
    </row>
    <row r="34" customFormat="false" ht="15" hidden="false" customHeight="false" outlineLevel="0" collapsed="false">
      <c r="A34" s="7" t="s">
        <v>53</v>
      </c>
      <c r="B34" s="7" t="s">
        <v>3</v>
      </c>
      <c r="C34" s="7" t="s">
        <v>4</v>
      </c>
      <c r="D34" s="7" t="s">
        <v>54</v>
      </c>
      <c r="E34" s="19" t="n">
        <v>-0.506257818553431</v>
      </c>
      <c r="F34" s="19" t="n">
        <v>0.216756246187918</v>
      </c>
      <c r="G34" s="20" t="n">
        <v>19</v>
      </c>
      <c r="H34" s="21" t="n">
        <f aca="false">IF(F34&gt;0,E34/F34,"")</f>
        <v>-2.33560890381229</v>
      </c>
      <c r="I34" s="21" t="n">
        <f aca="false">IF(H34="","",TDIST(ABS(H34),G34-1,2))</f>
        <v>0.0312840200503582</v>
      </c>
    </row>
    <row r="35" customFormat="false" ht="15" hidden="false" customHeight="false" outlineLevel="0" collapsed="false">
      <c r="A35" s="7" t="s">
        <v>53</v>
      </c>
      <c r="B35" s="7" t="s">
        <v>3</v>
      </c>
      <c r="C35" s="7" t="s">
        <v>5</v>
      </c>
      <c r="D35" s="7" t="s">
        <v>54</v>
      </c>
      <c r="E35" s="19" t="n">
        <v>-0.509260009864936</v>
      </c>
      <c r="F35" s="19" t="n">
        <v>0.34694457521451</v>
      </c>
      <c r="G35" s="20" t="n">
        <v>19</v>
      </c>
      <c r="H35" s="21" t="n">
        <f aca="false">IF(F35&gt;0,E35/F35,"")</f>
        <v>-1.46784254963511</v>
      </c>
      <c r="I35" s="21" t="n">
        <f aca="false">IF(H35="","",TDIST(ABS(H35),G35-1,2))</f>
        <v>0.159404278606933</v>
      </c>
    </row>
    <row r="36" customFormat="false" ht="15" hidden="false" customHeight="false" outlineLevel="0" collapsed="false">
      <c r="A36" s="7" t="s">
        <v>53</v>
      </c>
      <c r="B36" s="7" t="s">
        <v>2</v>
      </c>
      <c r="C36" s="7" t="s">
        <v>4</v>
      </c>
      <c r="D36" s="7" t="s">
        <v>18</v>
      </c>
      <c r="E36" s="19" t="n">
        <v>-0.638018227562646</v>
      </c>
      <c r="F36" s="19" t="n">
        <v>0.250422182321156</v>
      </c>
      <c r="G36" s="20" t="n">
        <v>19</v>
      </c>
      <c r="H36" s="21" t="n">
        <f aca="false">IF(F36&gt;0,E36/F36,"")</f>
        <v>-2.54777041573903</v>
      </c>
      <c r="I36" s="21" t="n">
        <f aca="false">IF(H36="","",TDIST(ABS(H36),G36-1,2))</f>
        <v>0.020193671249591</v>
      </c>
    </row>
    <row r="37" customFormat="false" ht="15" hidden="false" customHeight="false" outlineLevel="0" collapsed="false">
      <c r="A37" s="7" t="s">
        <v>53</v>
      </c>
      <c r="B37" s="7" t="s">
        <v>2</v>
      </c>
      <c r="C37" s="7" t="s">
        <v>5</v>
      </c>
      <c r="D37" s="7" t="s">
        <v>18</v>
      </c>
      <c r="E37" s="19" t="n">
        <v>0.0192656806376263</v>
      </c>
      <c r="F37" s="19" t="n">
        <v>0.463000310263943</v>
      </c>
      <c r="G37" s="20" t="n">
        <v>19</v>
      </c>
      <c r="H37" s="21" t="n">
        <f aca="false">IF(F37&gt;0,E37/F37,"")</f>
        <v>0.0416105134500741</v>
      </c>
      <c r="I37" s="21" t="n">
        <f aca="false">IF(H37="","",TDIST(ABS(H37),G37-1,2))</f>
        <v>0.967267280274353</v>
      </c>
    </row>
    <row r="38" customFormat="false" ht="15" hidden="false" customHeight="false" outlineLevel="0" collapsed="false">
      <c r="A38" s="7" t="s">
        <v>53</v>
      </c>
      <c r="B38" s="7" t="s">
        <v>3</v>
      </c>
      <c r="C38" s="7" t="s">
        <v>4</v>
      </c>
      <c r="D38" s="7" t="s">
        <v>18</v>
      </c>
      <c r="E38" s="19" t="n">
        <v>-0.215119975083167</v>
      </c>
      <c r="F38" s="19" t="n">
        <v>0.15880189113298</v>
      </c>
      <c r="G38" s="20" t="n">
        <v>19</v>
      </c>
      <c r="H38" s="21" t="n">
        <f aca="false">IF(F38&gt;0,E38/F38,"")</f>
        <v>-1.35464366040217</v>
      </c>
      <c r="I38" s="21" t="n">
        <f aca="false">IF(H38="","",TDIST(ABS(H38),G38-1,2))</f>
        <v>0.192291670580383</v>
      </c>
    </row>
    <row r="39" customFormat="false" ht="15" hidden="false" customHeight="false" outlineLevel="0" collapsed="false">
      <c r="A39" s="7" t="s">
        <v>53</v>
      </c>
      <c r="B39" s="7" t="s">
        <v>3</v>
      </c>
      <c r="C39" s="7" t="s">
        <v>5</v>
      </c>
      <c r="D39" s="7" t="s">
        <v>18</v>
      </c>
      <c r="E39" s="19" t="n">
        <v>-0.168672572927065</v>
      </c>
      <c r="F39" s="19" t="n">
        <v>0.27981887768635</v>
      </c>
      <c r="G39" s="20" t="n">
        <v>19</v>
      </c>
      <c r="H39" s="21" t="n">
        <f aca="false">IF(F39&gt;0,E39/F39,"")</f>
        <v>-0.602791971441364</v>
      </c>
      <c r="I39" s="21" t="n">
        <f aca="false">IF(H39="","",TDIST(ABS(H39),G39-1,2))</f>
        <v>0.554166539964401</v>
      </c>
    </row>
    <row r="40" customFormat="false" ht="15" hidden="false" customHeight="false" outlineLevel="0" collapsed="false">
      <c r="A40" s="7" t="s">
        <v>53</v>
      </c>
      <c r="B40" s="7" t="s">
        <v>2</v>
      </c>
      <c r="C40" s="7" t="s">
        <v>4</v>
      </c>
      <c r="D40" s="7" t="s">
        <v>19</v>
      </c>
      <c r="E40" s="19" t="n">
        <v>-0.461847494739061</v>
      </c>
      <c r="F40" s="19" t="n">
        <v>0.145437124519392</v>
      </c>
      <c r="G40" s="20" t="n">
        <v>19</v>
      </c>
      <c r="H40" s="21" t="n">
        <f aca="false">IF(F40&gt;0,E40/F40,"")</f>
        <v>-3.17558186237023</v>
      </c>
      <c r="I40" s="21" t="n">
        <f aca="false">IF(H40="","",TDIST(ABS(H40),G40-1,2))</f>
        <v>0.00523598896335296</v>
      </c>
    </row>
    <row r="41" customFormat="false" ht="15" hidden="false" customHeight="false" outlineLevel="0" collapsed="false">
      <c r="A41" s="7" t="s">
        <v>53</v>
      </c>
      <c r="B41" s="7" t="s">
        <v>2</v>
      </c>
      <c r="C41" s="7" t="s">
        <v>5</v>
      </c>
      <c r="D41" s="7" t="s">
        <v>19</v>
      </c>
      <c r="E41" s="19" t="n">
        <v>-0.0590023933513617</v>
      </c>
      <c r="F41" s="19" t="n">
        <v>0.239820386433625</v>
      </c>
      <c r="G41" s="20" t="n">
        <v>19</v>
      </c>
      <c r="H41" s="21" t="n">
        <f aca="false">IF(F41&gt;0,E41/F41,"")</f>
        <v>-0.24602743006459</v>
      </c>
      <c r="I41" s="21" t="n">
        <f aca="false">IF(H41="","",TDIST(ABS(H41),G41-1,2))</f>
        <v>0.808444599493274</v>
      </c>
    </row>
    <row r="42" customFormat="false" ht="15" hidden="false" customHeight="false" outlineLevel="0" collapsed="false">
      <c r="A42" s="7" t="s">
        <v>53</v>
      </c>
      <c r="B42" s="7" t="s">
        <v>3</v>
      </c>
      <c r="C42" s="7" t="s">
        <v>4</v>
      </c>
      <c r="D42" s="7" t="s">
        <v>19</v>
      </c>
      <c r="E42" s="19" t="n">
        <v>-0.170897885867222</v>
      </c>
      <c r="F42" s="19" t="n">
        <v>0.201779675177174</v>
      </c>
      <c r="G42" s="20" t="n">
        <v>19</v>
      </c>
      <c r="H42" s="21" t="n">
        <f aca="false">IF(F42&gt;0,E42/F42,"")</f>
        <v>-0.846952923861949</v>
      </c>
      <c r="I42" s="21" t="n">
        <f aca="false">IF(H42="","",TDIST(ABS(H42),G42-1,2))</f>
        <v>0.408141551308727</v>
      </c>
    </row>
    <row r="43" customFormat="false" ht="15" hidden="false" customHeight="false" outlineLevel="0" collapsed="false">
      <c r="A43" s="7" t="s">
        <v>53</v>
      </c>
      <c r="B43" s="7" t="s">
        <v>3</v>
      </c>
      <c r="C43" s="7" t="s">
        <v>5</v>
      </c>
      <c r="D43" s="7" t="s">
        <v>19</v>
      </c>
      <c r="E43" s="19" t="n">
        <v>-0.195971922496273</v>
      </c>
      <c r="F43" s="19" t="n">
        <v>0.247343914008249</v>
      </c>
      <c r="G43" s="20" t="n">
        <v>19</v>
      </c>
      <c r="H43" s="21" t="n">
        <f aca="false">IF(F43&gt;0,E43/F43,"")</f>
        <v>-0.792305415243557</v>
      </c>
      <c r="I43" s="21" t="n">
        <f aca="false">IF(H43="","",TDIST(ABS(H43),G43-1,2))</f>
        <v>0.438500728998927</v>
      </c>
    </row>
    <row r="44" customFormat="false" ht="15" hidden="false" customHeight="false" outlineLevel="0" collapsed="false">
      <c r="A44" s="7" t="s">
        <v>53</v>
      </c>
      <c r="B44" s="7" t="s">
        <v>2</v>
      </c>
      <c r="C44" s="7" t="s">
        <v>4</v>
      </c>
      <c r="D44" s="7" t="s">
        <v>20</v>
      </c>
      <c r="E44" s="19" t="n">
        <v>-1.69014140441252</v>
      </c>
      <c r="F44" s="19" t="n">
        <v>0.309333620193861</v>
      </c>
      <c r="G44" s="20" t="n">
        <v>19</v>
      </c>
      <c r="H44" s="21" t="n">
        <f aca="false">IF(F44&gt;0,E44/F44,"")</f>
        <v>-5.46381412842644</v>
      </c>
      <c r="I44" s="21" t="n">
        <f aca="false">IF(H44="","",TDIST(ABS(H44),G44-1,2))</f>
        <v>3.4409426709874E-005</v>
      </c>
    </row>
    <row r="45" customFormat="false" ht="15" hidden="false" customHeight="false" outlineLevel="0" collapsed="false">
      <c r="A45" s="7" t="s">
        <v>53</v>
      </c>
      <c r="B45" s="7" t="s">
        <v>2</v>
      </c>
      <c r="C45" s="7" t="s">
        <v>5</v>
      </c>
      <c r="D45" s="7" t="s">
        <v>20</v>
      </c>
      <c r="E45" s="19" t="n">
        <v>-1.33843418142225</v>
      </c>
      <c r="F45" s="19" t="n">
        <v>0.358807633293879</v>
      </c>
      <c r="G45" s="20" t="n">
        <v>19</v>
      </c>
      <c r="H45" s="21" t="n">
        <f aca="false">IF(F45&gt;0,E45/F45,"")</f>
        <v>-3.73022772435284</v>
      </c>
      <c r="I45" s="21" t="n">
        <f aca="false">IF(H45="","",TDIST(ABS(H45),G45-1,2))</f>
        <v>0.00153196054412165</v>
      </c>
    </row>
    <row r="46" customFormat="false" ht="15" hidden="false" customHeight="false" outlineLevel="0" collapsed="false">
      <c r="A46" s="7" t="s">
        <v>53</v>
      </c>
      <c r="B46" s="7" t="s">
        <v>3</v>
      </c>
      <c r="C46" s="7" t="s">
        <v>4</v>
      </c>
      <c r="D46" s="7" t="s">
        <v>20</v>
      </c>
      <c r="E46" s="19" t="n">
        <v>-0.538877518606653</v>
      </c>
      <c r="F46" s="19" t="n">
        <v>0.204552050679195</v>
      </c>
      <c r="G46" s="20" t="n">
        <v>19</v>
      </c>
      <c r="H46" s="21" t="n">
        <f aca="false">IF(F46&gt;0,E46/F46,"")</f>
        <v>-2.63442735879383</v>
      </c>
      <c r="I46" s="21" t="n">
        <f aca="false">IF(H46="","",TDIST(ABS(H46),G46-1,2))</f>
        <v>0.0168334309151048</v>
      </c>
    </row>
    <row r="47" customFormat="false" ht="15" hidden="false" customHeight="false" outlineLevel="0" collapsed="false">
      <c r="A47" s="7" t="s">
        <v>53</v>
      </c>
      <c r="B47" s="7" t="s">
        <v>3</v>
      </c>
      <c r="C47" s="7" t="s">
        <v>5</v>
      </c>
      <c r="D47" s="7" t="s">
        <v>20</v>
      </c>
      <c r="E47" s="19" t="n">
        <v>-0.43006175578483</v>
      </c>
      <c r="F47" s="19" t="n">
        <v>0.229913775874617</v>
      </c>
      <c r="G47" s="20" t="n">
        <v>19</v>
      </c>
      <c r="H47" s="21" t="n">
        <f aca="false">IF(F47&gt;0,E47/F47,"")</f>
        <v>-1.87053496098191</v>
      </c>
      <c r="I47" s="21" t="n">
        <f aca="false">IF(H47="","",TDIST(ABS(H47),G47-1,2))</f>
        <v>0.0777602236957288</v>
      </c>
    </row>
    <row r="48" customFormat="false" ht="15" hidden="false" customHeight="false" outlineLevel="0" collapsed="false">
      <c r="A48" s="7" t="s">
        <v>53</v>
      </c>
      <c r="B48" s="7" t="s">
        <v>2</v>
      </c>
      <c r="C48" s="7" t="s">
        <v>4</v>
      </c>
      <c r="D48" s="7" t="s">
        <v>21</v>
      </c>
      <c r="E48" s="19" t="n">
        <v>-1.63643090090066</v>
      </c>
      <c r="F48" s="19" t="n">
        <v>0.346972543129476</v>
      </c>
      <c r="G48" s="20" t="n">
        <v>19</v>
      </c>
      <c r="H48" s="21" t="n">
        <f aca="false">IF(F48&gt;0,E48/F48,"")</f>
        <v>-4.71631238063125</v>
      </c>
      <c r="I48" s="21" t="n">
        <f aca="false">IF(H48="","",TDIST(ABS(H48),G48-1,2))</f>
        <v>0.000172186971896107</v>
      </c>
    </row>
    <row r="49" customFormat="false" ht="15" hidden="false" customHeight="false" outlineLevel="0" collapsed="false">
      <c r="A49" s="7" t="s">
        <v>53</v>
      </c>
      <c r="B49" s="7" t="s">
        <v>2</v>
      </c>
      <c r="C49" s="7" t="s">
        <v>5</v>
      </c>
      <c r="D49" s="7" t="s">
        <v>21</v>
      </c>
      <c r="E49" s="19" t="n">
        <v>-1.52470412069315</v>
      </c>
      <c r="F49" s="19" t="n">
        <v>0.392336120087187</v>
      </c>
      <c r="G49" s="20" t="n">
        <v>19</v>
      </c>
      <c r="H49" s="21" t="n">
        <f aca="false">IF(F49&gt;0,E49/F49,"")</f>
        <v>-3.88621909283888</v>
      </c>
      <c r="I49" s="21" t="n">
        <f aca="false">IF(H49="","",TDIST(ABS(H49),G49-1,2))</f>
        <v>0.00108214441888872</v>
      </c>
    </row>
    <row r="50" customFormat="false" ht="15" hidden="false" customHeight="false" outlineLevel="0" collapsed="false">
      <c r="A50" s="7" t="s">
        <v>53</v>
      </c>
      <c r="B50" s="7" t="s">
        <v>3</v>
      </c>
      <c r="C50" s="7" t="s">
        <v>4</v>
      </c>
      <c r="D50" s="7" t="s">
        <v>21</v>
      </c>
      <c r="E50" s="19" t="n">
        <v>-0.740643020132976</v>
      </c>
      <c r="F50" s="19" t="n">
        <v>0.150572457834292</v>
      </c>
      <c r="G50" s="20" t="n">
        <v>19</v>
      </c>
      <c r="H50" s="21" t="n">
        <f aca="false">IF(F50&gt;0,E50/F50,"")</f>
        <v>-4.91884791405923</v>
      </c>
      <c r="I50" s="21" t="n">
        <f aca="false">IF(H50="","",TDIST(ABS(H50),G50-1,2))</f>
        <v>0.000110702118436029</v>
      </c>
    </row>
    <row r="51" customFormat="false" ht="15" hidden="false" customHeight="false" outlineLevel="0" collapsed="false">
      <c r="A51" s="7" t="s">
        <v>53</v>
      </c>
      <c r="B51" s="7" t="s">
        <v>3</v>
      </c>
      <c r="C51" s="7" t="s">
        <v>5</v>
      </c>
      <c r="D51" s="7" t="s">
        <v>21</v>
      </c>
      <c r="E51" s="19" t="n">
        <v>-0.719251429685262</v>
      </c>
      <c r="F51" s="19" t="n">
        <v>0.182319411992637</v>
      </c>
      <c r="G51" s="20" t="n">
        <v>19</v>
      </c>
      <c r="H51" s="21" t="n">
        <f aca="false">IF(F51&gt;0,E51/F51,"")</f>
        <v>-3.94500740115544</v>
      </c>
      <c r="I51" s="21" t="n">
        <f aca="false">IF(H51="","",TDIST(ABS(H51),G51-1,2))</f>
        <v>0.00094927859000782</v>
      </c>
    </row>
    <row r="52" customFormat="false" ht="15" hidden="false" customHeight="false" outlineLevel="0" collapsed="false">
      <c r="A52" s="7" t="s">
        <v>53</v>
      </c>
      <c r="B52" s="7" t="s">
        <v>2</v>
      </c>
      <c r="C52" s="7" t="s">
        <v>4</v>
      </c>
      <c r="D52" s="7" t="s">
        <v>22</v>
      </c>
      <c r="E52" s="19" t="n">
        <v>1.63675401155623</v>
      </c>
      <c r="F52" s="19" t="n">
        <v>0.389756774661014</v>
      </c>
      <c r="G52" s="20" t="n">
        <v>19</v>
      </c>
      <c r="H52" s="21" t="n">
        <f aca="false">IF(F52&gt;0,E52/F52,"")</f>
        <v>4.19942414850844</v>
      </c>
      <c r="I52" s="21" t="n">
        <f aca="false">IF(H52="","",TDIST(ABS(H52),G52-1,2))</f>
        <v>0.000538907600724013</v>
      </c>
    </row>
    <row r="53" customFormat="false" ht="15" hidden="false" customHeight="false" outlineLevel="0" collapsed="false">
      <c r="A53" s="7" t="s">
        <v>53</v>
      </c>
      <c r="B53" s="7" t="s">
        <v>2</v>
      </c>
      <c r="C53" s="7" t="s">
        <v>5</v>
      </c>
      <c r="D53" s="7" t="s">
        <v>22</v>
      </c>
      <c r="E53" s="19" t="n">
        <v>1.78193169167931</v>
      </c>
      <c r="F53" s="19" t="n">
        <v>0.436162259088588</v>
      </c>
      <c r="G53" s="20" t="n">
        <v>19</v>
      </c>
      <c r="H53" s="21" t="n">
        <f aca="false">IF(F53&gt;0,E53/F53,"")</f>
        <v>4.08547886605976</v>
      </c>
      <c r="I53" s="21" t="n">
        <f aca="false">IF(H53="","",TDIST(ABS(H53),G53-1,2))</f>
        <v>0.000694295429055957</v>
      </c>
    </row>
    <row r="54" customFormat="false" ht="15" hidden="false" customHeight="false" outlineLevel="0" collapsed="false">
      <c r="A54" s="7" t="s">
        <v>53</v>
      </c>
      <c r="B54" s="7" t="s">
        <v>3</v>
      </c>
      <c r="C54" s="7" t="s">
        <v>4</v>
      </c>
      <c r="D54" s="7" t="s">
        <v>22</v>
      </c>
      <c r="E54" s="19" t="n">
        <v>1.24853569951067</v>
      </c>
      <c r="F54" s="19" t="n">
        <v>0.288823153651135</v>
      </c>
      <c r="G54" s="20" t="n">
        <v>19</v>
      </c>
      <c r="H54" s="21" t="n">
        <f aca="false">IF(F54&gt;0,E54/F54,"")</f>
        <v>4.3228379848617</v>
      </c>
      <c r="I54" s="21" t="n">
        <f aca="false">IF(H54="","",TDIST(ABS(H54),G54-1,2))</f>
        <v>0.000409818181846784</v>
      </c>
    </row>
    <row r="55" customFormat="false" ht="15" hidden="false" customHeight="false" outlineLevel="0" collapsed="false">
      <c r="A55" s="7" t="s">
        <v>53</v>
      </c>
      <c r="B55" s="7" t="s">
        <v>3</v>
      </c>
      <c r="C55" s="7" t="s">
        <v>5</v>
      </c>
      <c r="D55" s="7" t="s">
        <v>22</v>
      </c>
      <c r="E55" s="19" t="n">
        <v>1.27775175255652</v>
      </c>
      <c r="F55" s="19" t="n">
        <v>0.31045154987021</v>
      </c>
      <c r="G55" s="20" t="n">
        <v>19</v>
      </c>
      <c r="H55" s="21" t="n">
        <f aca="false">IF(F55&gt;0,E55/F55,"")</f>
        <v>4.11578474351539</v>
      </c>
      <c r="I55" s="21" t="n">
        <f aca="false">IF(H55="","",TDIST(ABS(H55),G55-1,2))</f>
        <v>0.000649025730847403</v>
      </c>
    </row>
    <row r="56" customFormat="false" ht="15" hidden="false" customHeight="false" outlineLevel="0" collapsed="false">
      <c r="A56" s="7" t="s">
        <v>53</v>
      </c>
      <c r="B56" s="7" t="s">
        <v>2</v>
      </c>
      <c r="C56" s="7" t="s">
        <v>4</v>
      </c>
      <c r="D56" s="7" t="s">
        <v>23</v>
      </c>
      <c r="E56" s="19" t="n">
        <v>-0.295658594403607</v>
      </c>
      <c r="F56" s="19" t="n">
        <v>0.545511297587596</v>
      </c>
      <c r="G56" s="20" t="n">
        <v>19</v>
      </c>
      <c r="H56" s="21" t="n">
        <f aca="false">IF(F56&gt;0,E56/F56,"")</f>
        <v>-0.541984365330457</v>
      </c>
      <c r="I56" s="21" t="n">
        <f aca="false">IF(H56="","",TDIST(ABS(H56),G56-1,2))</f>
        <v>0.594475828664802</v>
      </c>
    </row>
    <row r="57" customFormat="false" ht="15" hidden="false" customHeight="false" outlineLevel="0" collapsed="false">
      <c r="A57" s="7" t="s">
        <v>53</v>
      </c>
      <c r="B57" s="7" t="s">
        <v>2</v>
      </c>
      <c r="C57" s="7" t="s">
        <v>5</v>
      </c>
      <c r="D57" s="7" t="s">
        <v>23</v>
      </c>
      <c r="E57" s="19" t="n">
        <v>0.114939930040326</v>
      </c>
      <c r="F57" s="19" t="n">
        <v>0.571757730543757</v>
      </c>
      <c r="G57" s="20" t="n">
        <v>19</v>
      </c>
      <c r="H57" s="21" t="n">
        <f aca="false">IF(F57&gt;0,E57/F57,"")</f>
        <v>0.201029079101414</v>
      </c>
      <c r="I57" s="21" t="n">
        <f aca="false">IF(H57="","",TDIST(ABS(H57),G57-1,2))</f>
        <v>0.842929972233628</v>
      </c>
    </row>
    <row r="58" customFormat="false" ht="15" hidden="false" customHeight="false" outlineLevel="0" collapsed="false">
      <c r="A58" s="7" t="s">
        <v>53</v>
      </c>
      <c r="B58" s="7" t="s">
        <v>3</v>
      </c>
      <c r="C58" s="7" t="s">
        <v>4</v>
      </c>
      <c r="D58" s="7" t="s">
        <v>23</v>
      </c>
      <c r="E58" s="19" t="n">
        <v>0.424154790081881</v>
      </c>
      <c r="F58" s="19" t="n">
        <v>0.372323622087767</v>
      </c>
      <c r="G58" s="20" t="n">
        <v>19</v>
      </c>
      <c r="H58" s="21" t="n">
        <f aca="false">IF(F58&gt;0,E58/F58,"")</f>
        <v>1.13920999076953</v>
      </c>
      <c r="I58" s="21" t="n">
        <f aca="false">IF(H58="","",TDIST(ABS(H58),G58-1,2))</f>
        <v>0.269549934826909</v>
      </c>
    </row>
    <row r="59" customFormat="false" ht="15" hidden="false" customHeight="false" outlineLevel="0" collapsed="false">
      <c r="A59" s="7" t="s">
        <v>53</v>
      </c>
      <c r="B59" s="7" t="s">
        <v>3</v>
      </c>
      <c r="C59" s="7" t="s">
        <v>5</v>
      </c>
      <c r="D59" s="7" t="s">
        <v>23</v>
      </c>
      <c r="E59" s="19" t="n">
        <v>0.454656171707166</v>
      </c>
      <c r="F59" s="19" t="n">
        <v>0.471156854069608</v>
      </c>
      <c r="G59" s="20" t="n">
        <v>19</v>
      </c>
      <c r="H59" s="21" t="n">
        <f aca="false">IF(F59&gt;0,E59/F59,"")</f>
        <v>0.964978367140543</v>
      </c>
      <c r="I59" s="21" t="n">
        <f aca="false">IF(H59="","",TDIST(ABS(H59),G59-1,2))</f>
        <v>0.347342304187905</v>
      </c>
    </row>
    <row r="60" customFormat="false" ht="15" hidden="false" customHeight="false" outlineLevel="0" collapsed="false">
      <c r="A60" s="7" t="s">
        <v>53</v>
      </c>
      <c r="B60" s="7" t="s">
        <v>2</v>
      </c>
      <c r="C60" s="7" t="s">
        <v>4</v>
      </c>
      <c r="D60" s="7" t="s">
        <v>24</v>
      </c>
      <c r="E60" s="19" t="n">
        <v>0.17477467897425</v>
      </c>
      <c r="F60" s="19" t="n">
        <v>0.28964480104164</v>
      </c>
      <c r="G60" s="20" t="n">
        <v>19</v>
      </c>
      <c r="H60" s="21" t="n">
        <f aca="false">IF(F60&gt;0,E60/F60,"")</f>
        <v>0.603410378317561</v>
      </c>
      <c r="I60" s="21" t="n">
        <f aca="false">IF(H60="","",TDIST(ABS(H60),G60-1,2))</f>
        <v>0.553764151408767</v>
      </c>
    </row>
    <row r="61" customFormat="false" ht="15" hidden="false" customHeight="false" outlineLevel="0" collapsed="false">
      <c r="A61" s="7" t="s">
        <v>53</v>
      </c>
      <c r="B61" s="7" t="s">
        <v>2</v>
      </c>
      <c r="C61" s="7" t="s">
        <v>5</v>
      </c>
      <c r="D61" s="7" t="s">
        <v>24</v>
      </c>
      <c r="E61" s="19" t="n">
        <v>0.295400907559788</v>
      </c>
      <c r="F61" s="19" t="n">
        <v>0.451430915173945</v>
      </c>
      <c r="G61" s="20" t="n">
        <v>19</v>
      </c>
      <c r="H61" s="21" t="n">
        <f aca="false">IF(F61&gt;0,E61/F61,"")</f>
        <v>0.654365701662158</v>
      </c>
      <c r="I61" s="21" t="n">
        <f aca="false">IF(H61="","",TDIST(ABS(H61),G61-1,2))</f>
        <v>0.521150244952685</v>
      </c>
    </row>
    <row r="62" customFormat="false" ht="15" hidden="false" customHeight="false" outlineLevel="0" collapsed="false">
      <c r="A62" s="7" t="s">
        <v>53</v>
      </c>
      <c r="B62" s="7" t="s">
        <v>3</v>
      </c>
      <c r="C62" s="7" t="s">
        <v>4</v>
      </c>
      <c r="D62" s="7" t="s">
        <v>24</v>
      </c>
      <c r="E62" s="19" t="n">
        <v>0.502756456597856</v>
      </c>
      <c r="F62" s="19" t="n">
        <v>0.465756947969387</v>
      </c>
      <c r="G62" s="20" t="n">
        <v>19</v>
      </c>
      <c r="H62" s="21" t="n">
        <f aca="false">IF(F62&gt;0,E62/F62,"")</f>
        <v>1.07943952052627</v>
      </c>
      <c r="I62" s="21" t="n">
        <f aca="false">IF(H62="","",TDIST(ABS(H62),G62-1,2))</f>
        <v>0.294644315058055</v>
      </c>
    </row>
    <row r="63" customFormat="false" ht="15" hidden="false" customHeight="false" outlineLevel="0" collapsed="false">
      <c r="A63" s="7" t="s">
        <v>53</v>
      </c>
      <c r="B63" s="7" t="s">
        <v>3</v>
      </c>
      <c r="C63" s="7" t="s">
        <v>5</v>
      </c>
      <c r="D63" s="7" t="s">
        <v>24</v>
      </c>
      <c r="E63" s="19" t="n">
        <v>0.509605894253316</v>
      </c>
      <c r="F63" s="19" t="n">
        <v>0.572823559008723</v>
      </c>
      <c r="G63" s="20" t="n">
        <v>19</v>
      </c>
      <c r="H63" s="21" t="n">
        <f aca="false">IF(F63&gt;0,E63/F63,"")</f>
        <v>0.889638504280785</v>
      </c>
      <c r="I63" s="21" t="n">
        <f aca="false">IF(H63="","",TDIST(ABS(H63),G63-1,2))</f>
        <v>0.385395937003515</v>
      </c>
    </row>
    <row r="64" customFormat="false" ht="15" hidden="false" customHeight="false" outlineLevel="0" collapsed="false">
      <c r="A64" s="7" t="s">
        <v>53</v>
      </c>
      <c r="B64" s="7" t="s">
        <v>2</v>
      </c>
      <c r="C64" s="7" t="s">
        <v>4</v>
      </c>
      <c r="D64" s="7" t="s">
        <v>25</v>
      </c>
      <c r="E64" s="19" t="n">
        <v>0.0467751499796244</v>
      </c>
      <c r="F64" s="19" t="n">
        <v>0.316300904017924</v>
      </c>
      <c r="G64" s="20" t="n">
        <v>19</v>
      </c>
      <c r="H64" s="21" t="n">
        <f aca="false">IF(F64&gt;0,E64/F64,"")</f>
        <v>0.147881809332337</v>
      </c>
      <c r="I64" s="21" t="n">
        <f aca="false">IF(H64="","",TDIST(ABS(H64),G64-1,2))</f>
        <v>0.884080008073704</v>
      </c>
    </row>
    <row r="65" customFormat="false" ht="15" hidden="false" customHeight="false" outlineLevel="0" collapsed="false">
      <c r="A65" s="7" t="s">
        <v>53</v>
      </c>
      <c r="B65" s="7" t="s">
        <v>2</v>
      </c>
      <c r="C65" s="7" t="s">
        <v>5</v>
      </c>
      <c r="D65" s="7" t="s">
        <v>25</v>
      </c>
      <c r="E65" s="19" t="n">
        <v>0.341614798211081</v>
      </c>
      <c r="F65" s="19" t="n">
        <v>0.406179272207604</v>
      </c>
      <c r="G65" s="20" t="n">
        <v>19</v>
      </c>
      <c r="H65" s="21" t="n">
        <f aca="false">IF(F65&gt;0,E65/F65,"")</f>
        <v>0.841044389966991</v>
      </c>
      <c r="I65" s="21" t="n">
        <f aca="false">IF(H65="","",TDIST(ABS(H65),G65-1,2))</f>
        <v>0.411357166847747</v>
      </c>
    </row>
    <row r="66" customFormat="false" ht="15" hidden="false" customHeight="false" outlineLevel="0" collapsed="false">
      <c r="A66" s="7" t="s">
        <v>53</v>
      </c>
      <c r="B66" s="7" t="s">
        <v>3</v>
      </c>
      <c r="C66" s="7" t="s">
        <v>4</v>
      </c>
      <c r="D66" s="7" t="s">
        <v>25</v>
      </c>
      <c r="E66" s="19" t="n">
        <v>0.168329599041451</v>
      </c>
      <c r="F66" s="19" t="n">
        <v>0.328286834854482</v>
      </c>
      <c r="G66" s="20" t="n">
        <v>19</v>
      </c>
      <c r="H66" s="21" t="n">
        <f aca="false">IF(F66&gt;0,E66/F66,"")</f>
        <v>0.512751597596246</v>
      </c>
      <c r="I66" s="21" t="n">
        <f aca="false">IF(H66="","",TDIST(ABS(H66),G66-1,2))</f>
        <v>0.614360127486372</v>
      </c>
    </row>
    <row r="67" customFormat="false" ht="15" hidden="false" customHeight="false" outlineLevel="0" collapsed="false">
      <c r="A67" s="7" t="s">
        <v>53</v>
      </c>
      <c r="B67" s="7" t="s">
        <v>3</v>
      </c>
      <c r="C67" s="7" t="s">
        <v>5</v>
      </c>
      <c r="D67" s="7" t="s">
        <v>25</v>
      </c>
      <c r="E67" s="19" t="n">
        <v>0.28249976243616</v>
      </c>
      <c r="F67" s="19" t="n">
        <v>0.579719076949873</v>
      </c>
      <c r="G67" s="20" t="n">
        <v>19</v>
      </c>
      <c r="H67" s="21" t="n">
        <f aca="false">IF(F67&gt;0,E67/F67,"")</f>
        <v>0.487304581940793</v>
      </c>
      <c r="I67" s="21" t="n">
        <f aca="false">IF(H67="","",TDIST(ABS(H67),G67-1,2))</f>
        <v>0.63192417677186</v>
      </c>
    </row>
    <row r="68" customFormat="false" ht="15" hidden="false" customHeight="false" outlineLevel="0" collapsed="false">
      <c r="A68" s="7" t="s">
        <v>53</v>
      </c>
      <c r="B68" s="7" t="s">
        <v>2</v>
      </c>
      <c r="C68" s="7" t="s">
        <v>4</v>
      </c>
      <c r="D68" s="7" t="s">
        <v>26</v>
      </c>
      <c r="E68" s="19" t="n">
        <v>0.320021922403286</v>
      </c>
      <c r="F68" s="19" t="n">
        <v>0.425771979677386</v>
      </c>
      <c r="G68" s="20" t="n">
        <v>19</v>
      </c>
      <c r="H68" s="21" t="n">
        <f aca="false">IF(F68&gt;0,E68/F68,"")</f>
        <v>0.75162748531684</v>
      </c>
      <c r="I68" s="21" t="n">
        <f aca="false">IF(H68="","",TDIST(ABS(H68),G68-1,2))</f>
        <v>0.461990477014597</v>
      </c>
    </row>
    <row r="69" customFormat="false" ht="15" hidden="false" customHeight="false" outlineLevel="0" collapsed="false">
      <c r="A69" s="7" t="s">
        <v>53</v>
      </c>
      <c r="B69" s="7" t="s">
        <v>2</v>
      </c>
      <c r="C69" s="7" t="s">
        <v>5</v>
      </c>
      <c r="D69" s="7" t="s">
        <v>26</v>
      </c>
      <c r="E69" s="19" t="n">
        <v>0.487094761465053</v>
      </c>
      <c r="F69" s="19" t="n">
        <v>0.524952227187303</v>
      </c>
      <c r="G69" s="20" t="n">
        <v>19</v>
      </c>
      <c r="H69" s="21" t="n">
        <f aca="false">IF(F69&gt;0,E69/F69,"")</f>
        <v>0.927883979223995</v>
      </c>
      <c r="I69" s="21" t="n">
        <f aca="false">IF(H69="","",TDIST(ABS(H69),G69-1,2))</f>
        <v>0.365743787826068</v>
      </c>
    </row>
    <row r="70" customFormat="false" ht="15" hidden="false" customHeight="false" outlineLevel="0" collapsed="false">
      <c r="A70" s="7" t="s">
        <v>53</v>
      </c>
      <c r="B70" s="7" t="s">
        <v>3</v>
      </c>
      <c r="C70" s="7" t="s">
        <v>4</v>
      </c>
      <c r="D70" s="7" t="s">
        <v>26</v>
      </c>
      <c r="E70" s="19" t="n">
        <v>0.167593959068011</v>
      </c>
      <c r="F70" s="19" t="n">
        <v>0.266269382520258</v>
      </c>
      <c r="G70" s="20" t="n">
        <v>19</v>
      </c>
      <c r="H70" s="21" t="n">
        <f aca="false">IF(F70&gt;0,E70/F70,"")</f>
        <v>0.629415058846504</v>
      </c>
      <c r="I70" s="21" t="n">
        <f aca="false">IF(H70="","",TDIST(ABS(H70),G70-1,2))</f>
        <v>0.536984997077737</v>
      </c>
    </row>
    <row r="71" customFormat="false" ht="15" hidden="false" customHeight="false" outlineLevel="0" collapsed="false">
      <c r="A71" s="7" t="s">
        <v>53</v>
      </c>
      <c r="B71" s="7" t="s">
        <v>3</v>
      </c>
      <c r="C71" s="7" t="s">
        <v>5</v>
      </c>
      <c r="D71" s="7" t="s">
        <v>26</v>
      </c>
      <c r="E71" s="19" t="n">
        <v>0.197431106170696</v>
      </c>
      <c r="F71" s="19" t="n">
        <v>0.485399526716893</v>
      </c>
      <c r="G71" s="20" t="n">
        <v>19</v>
      </c>
      <c r="H71" s="21" t="n">
        <f aca="false">IF(F71&gt;0,E71/F71,"")</f>
        <v>0.406739387461015</v>
      </c>
      <c r="I71" s="21" t="n">
        <f aca="false">IF(H71="","",TDIST(ABS(H71),G71-1,2))</f>
        <v>0.688994963893084</v>
      </c>
    </row>
    <row r="72" customFormat="false" ht="15" hidden="false" customHeight="false" outlineLevel="0" collapsed="false">
      <c r="A72" s="7" t="s">
        <v>53</v>
      </c>
      <c r="B72" s="7" t="s">
        <v>2</v>
      </c>
      <c r="C72" s="7" t="s">
        <v>4</v>
      </c>
      <c r="D72" s="7" t="s">
        <v>27</v>
      </c>
      <c r="E72" s="19" t="n">
        <v>-0.125694396259859</v>
      </c>
      <c r="F72" s="19" t="n">
        <v>0.27664739323754</v>
      </c>
      <c r="G72" s="20" t="n">
        <v>19</v>
      </c>
      <c r="H72" s="21" t="n">
        <f aca="false">IF(F72&gt;0,E72/F72,"")</f>
        <v>-0.454348746210425</v>
      </c>
      <c r="I72" s="21" t="n">
        <f aca="false">IF(H72="","",TDIST(ABS(H72),G72-1,2))</f>
        <v>0.655009061935088</v>
      </c>
    </row>
    <row r="73" customFormat="false" ht="15" hidden="false" customHeight="false" outlineLevel="0" collapsed="false">
      <c r="A73" s="7" t="s">
        <v>53</v>
      </c>
      <c r="B73" s="7" t="s">
        <v>2</v>
      </c>
      <c r="C73" s="7" t="s">
        <v>5</v>
      </c>
      <c r="D73" s="7" t="s">
        <v>27</v>
      </c>
      <c r="E73" s="19" t="n">
        <v>0.171181551868389</v>
      </c>
      <c r="F73" s="19" t="n">
        <v>0.475609514884371</v>
      </c>
      <c r="G73" s="20" t="n">
        <v>19</v>
      </c>
      <c r="H73" s="21" t="n">
        <f aca="false">IF(F73&gt;0,E73/F73,"")</f>
        <v>0.359920368519133</v>
      </c>
      <c r="I73" s="21" t="n">
        <f aca="false">IF(H73="","",TDIST(ABS(H73),G73-1,2))</f>
        <v>0.723095027240378</v>
      </c>
    </row>
    <row r="74" customFormat="false" ht="15" hidden="false" customHeight="false" outlineLevel="0" collapsed="false">
      <c r="A74" s="7" t="s">
        <v>53</v>
      </c>
      <c r="B74" s="7" t="s">
        <v>3</v>
      </c>
      <c r="C74" s="7" t="s">
        <v>4</v>
      </c>
      <c r="D74" s="7" t="s">
        <v>27</v>
      </c>
      <c r="E74" s="19" t="n">
        <v>0.746990868850532</v>
      </c>
      <c r="F74" s="19" t="n">
        <v>0.379142432765575</v>
      </c>
      <c r="G74" s="20" t="n">
        <v>19</v>
      </c>
      <c r="H74" s="21" t="n">
        <f aca="false">IF(F74&gt;0,E74/F74,"")</f>
        <v>1.97021173125299</v>
      </c>
      <c r="I74" s="21" t="n">
        <f aca="false">IF(H74="","",TDIST(ABS(H74),G74-1,2))</f>
        <v>0.0643959600471629</v>
      </c>
    </row>
    <row r="75" customFormat="false" ht="15" hidden="false" customHeight="false" outlineLevel="0" collapsed="false">
      <c r="A75" s="7" t="s">
        <v>53</v>
      </c>
      <c r="B75" s="7" t="s">
        <v>3</v>
      </c>
      <c r="C75" s="7" t="s">
        <v>5</v>
      </c>
      <c r="D75" s="7" t="s">
        <v>27</v>
      </c>
      <c r="E75" s="19" t="n">
        <v>1.00954598596077</v>
      </c>
      <c r="F75" s="19" t="n">
        <v>0.484166849964603</v>
      </c>
      <c r="G75" s="20" t="n">
        <v>19</v>
      </c>
      <c r="H75" s="21" t="n">
        <f aca="false">IF(F75&gt;0,E75/F75,"")</f>
        <v>2.08512000777123</v>
      </c>
      <c r="I75" s="21" t="n">
        <f aca="false">IF(H75="","",TDIST(ABS(H75),G75-1,2))</f>
        <v>0.0515700674776934</v>
      </c>
    </row>
    <row r="76" customFormat="false" ht="15" hidden="false" customHeight="false" outlineLevel="0" collapsed="false">
      <c r="A76" s="7" t="s">
        <v>53</v>
      </c>
      <c r="B76" s="7" t="s">
        <v>2</v>
      </c>
      <c r="C76" s="7" t="s">
        <v>4</v>
      </c>
      <c r="D76" s="7" t="s">
        <v>28</v>
      </c>
      <c r="E76" s="19" t="n">
        <v>0.141372827071457</v>
      </c>
      <c r="F76" s="19" t="n">
        <v>0.402774751951917</v>
      </c>
      <c r="G76" s="20" t="n">
        <v>19</v>
      </c>
      <c r="H76" s="21" t="n">
        <f aca="false">IF(F76&gt;0,E76/F76,"")</f>
        <v>0.350997241972938</v>
      </c>
      <c r="I76" s="21" t="n">
        <f aca="false">IF(H76="","",TDIST(ABS(H76),G76-1,2))</f>
        <v>0.72966505483086</v>
      </c>
    </row>
    <row r="77" customFormat="false" ht="15" hidden="false" customHeight="false" outlineLevel="0" collapsed="false">
      <c r="A77" s="7" t="s">
        <v>53</v>
      </c>
      <c r="B77" s="7" t="s">
        <v>2</v>
      </c>
      <c r="C77" s="7" t="s">
        <v>5</v>
      </c>
      <c r="D77" s="7" t="s">
        <v>28</v>
      </c>
      <c r="E77" s="19" t="n">
        <v>0.491666083688646</v>
      </c>
      <c r="F77" s="19" t="n">
        <v>0.561853965828131</v>
      </c>
      <c r="G77" s="20" t="n">
        <v>19</v>
      </c>
      <c r="H77" s="21" t="n">
        <f aca="false">IF(F77&gt;0,E77/F77,"")</f>
        <v>0.875078069376918</v>
      </c>
      <c r="I77" s="21" t="n">
        <f aca="false">IF(H77="","",TDIST(ABS(H77),G77-1,2))</f>
        <v>0.393058658779208</v>
      </c>
    </row>
    <row r="78" customFormat="false" ht="15" hidden="false" customHeight="false" outlineLevel="0" collapsed="false">
      <c r="A78" s="7" t="s">
        <v>53</v>
      </c>
      <c r="B78" s="7" t="s">
        <v>3</v>
      </c>
      <c r="C78" s="7" t="s">
        <v>4</v>
      </c>
      <c r="D78" s="7" t="s">
        <v>28</v>
      </c>
      <c r="E78" s="19" t="n">
        <v>-0.144250861627782</v>
      </c>
      <c r="F78" s="19" t="n">
        <v>0.200304076370449</v>
      </c>
      <c r="G78" s="20" t="n">
        <v>19</v>
      </c>
      <c r="H78" s="21" t="n">
        <f aca="false">IF(F78&gt;0,E78/F78,"")</f>
        <v>-0.720159390870303</v>
      </c>
      <c r="I78" s="21" t="n">
        <f aca="false">IF(H78="","",TDIST(ABS(H78),G78-1,2))</f>
        <v>0.480674848544215</v>
      </c>
    </row>
    <row r="79" customFormat="false" ht="15" hidden="false" customHeight="false" outlineLevel="0" collapsed="false">
      <c r="A79" s="7" t="s">
        <v>53</v>
      </c>
      <c r="B79" s="7" t="s">
        <v>3</v>
      </c>
      <c r="C79" s="7" t="s">
        <v>5</v>
      </c>
      <c r="D79" s="7" t="s">
        <v>28</v>
      </c>
      <c r="E79" s="19" t="n">
        <v>0.248871760080924</v>
      </c>
      <c r="F79" s="19" t="n">
        <v>0.299117638263877</v>
      </c>
      <c r="G79" s="20" t="n">
        <v>19</v>
      </c>
      <c r="H79" s="21" t="n">
        <f aca="false">IF(F79&gt;0,E79/F79,"")</f>
        <v>0.832019674685225</v>
      </c>
      <c r="I79" s="21" t="n">
        <f aca="false">IF(H79="","",TDIST(ABS(H79),G79-1,2))</f>
        <v>0.416300105956864</v>
      </c>
    </row>
    <row r="80" customFormat="false" ht="15" hidden="false" customHeight="false" outlineLevel="0" collapsed="false">
      <c r="A80" s="7" t="s">
        <v>53</v>
      </c>
      <c r="B80" s="7" t="s">
        <v>2</v>
      </c>
      <c r="C80" s="7" t="s">
        <v>4</v>
      </c>
      <c r="D80" s="7" t="s">
        <v>29</v>
      </c>
      <c r="E80" s="19" t="n">
        <v>-0.680321914154376</v>
      </c>
      <c r="F80" s="19" t="n">
        <v>0.239372928457625</v>
      </c>
      <c r="G80" s="20" t="n">
        <v>19</v>
      </c>
      <c r="H80" s="21" t="n">
        <f aca="false">IF(F80&gt;0,E80/F80,"")</f>
        <v>-2.84210047701702</v>
      </c>
      <c r="I80" s="21" t="n">
        <f aca="false">IF(H80="","",TDIST(ABS(H80),G80-1,2))</f>
        <v>0.010813933684565</v>
      </c>
    </row>
    <row r="81" customFormat="false" ht="15" hidden="false" customHeight="false" outlineLevel="0" collapsed="false">
      <c r="A81" s="7" t="s">
        <v>53</v>
      </c>
      <c r="B81" s="7" t="s">
        <v>2</v>
      </c>
      <c r="C81" s="7" t="s">
        <v>5</v>
      </c>
      <c r="D81" s="7" t="s">
        <v>29</v>
      </c>
      <c r="E81" s="19" t="n">
        <v>-0.10217900029921</v>
      </c>
      <c r="F81" s="19" t="n">
        <v>0.481408797528295</v>
      </c>
      <c r="G81" s="20" t="n">
        <v>19</v>
      </c>
      <c r="H81" s="21" t="n">
        <f aca="false">IF(F81&gt;0,E81/F81,"")</f>
        <v>-0.212249964736477</v>
      </c>
      <c r="I81" s="21" t="n">
        <f aca="false">IF(H81="","",TDIST(ABS(H81),G81-1,2))</f>
        <v>0.834296997942693</v>
      </c>
    </row>
    <row r="82" customFormat="false" ht="15" hidden="false" customHeight="false" outlineLevel="0" collapsed="false">
      <c r="A82" s="7" t="s">
        <v>53</v>
      </c>
      <c r="B82" s="7" t="s">
        <v>3</v>
      </c>
      <c r="C82" s="7" t="s">
        <v>4</v>
      </c>
      <c r="D82" s="7" t="s">
        <v>29</v>
      </c>
      <c r="E82" s="19" t="n">
        <v>0.0073645720008158</v>
      </c>
      <c r="F82" s="19" t="n">
        <v>0.17493368345316</v>
      </c>
      <c r="G82" s="20" t="n">
        <v>19</v>
      </c>
      <c r="H82" s="21" t="n">
        <f aca="false">IF(F82&gt;0,E82/F82,"")</f>
        <v>0.0420992221477332</v>
      </c>
      <c r="I82" s="21" t="n">
        <f aca="false">IF(H82="","",TDIST(ABS(H82),G82-1,2))</f>
        <v>0.966883078089931</v>
      </c>
    </row>
    <row r="83" customFormat="false" ht="15" hidden="false" customHeight="false" outlineLevel="0" collapsed="false">
      <c r="A83" s="7" t="s">
        <v>53</v>
      </c>
      <c r="B83" s="7" t="s">
        <v>3</v>
      </c>
      <c r="C83" s="7" t="s">
        <v>5</v>
      </c>
      <c r="D83" s="7" t="s">
        <v>29</v>
      </c>
      <c r="E83" s="19" t="n">
        <v>0.835960565840102</v>
      </c>
      <c r="F83" s="19" t="n">
        <v>0.334806860241832</v>
      </c>
      <c r="G83" s="20" t="n">
        <v>19</v>
      </c>
      <c r="H83" s="21" t="n">
        <f aca="false">IF(F83&gt;0,E83/F83,"")</f>
        <v>2.49684419619206</v>
      </c>
      <c r="I83" s="21" t="n">
        <f aca="false">IF(H83="","",TDIST(ABS(H83),G83-1,2))</f>
        <v>0.0224548084601537</v>
      </c>
    </row>
    <row r="84" customFormat="false" ht="15" hidden="false" customHeight="false" outlineLevel="0" collapsed="false">
      <c r="A84" s="7" t="s">
        <v>53</v>
      </c>
      <c r="B84" s="7" t="s">
        <v>2</v>
      </c>
      <c r="C84" s="7" t="s">
        <v>4</v>
      </c>
      <c r="D84" s="7" t="s">
        <v>30</v>
      </c>
      <c r="E84" s="19" t="n">
        <v>0.516008286440989</v>
      </c>
      <c r="F84" s="19" t="n">
        <v>0.357797266816604</v>
      </c>
      <c r="G84" s="20" t="n">
        <v>19</v>
      </c>
      <c r="H84" s="21" t="n">
        <f aca="false">IF(F84&gt;0,E84/F84,"")</f>
        <v>1.44218062656549</v>
      </c>
      <c r="I84" s="21" t="n">
        <f aca="false">IF(H84="","",TDIST(ABS(H84),G84-1,2))</f>
        <v>0.16642594683492</v>
      </c>
    </row>
    <row r="85" customFormat="false" ht="15" hidden="false" customHeight="false" outlineLevel="0" collapsed="false">
      <c r="A85" s="7" t="s">
        <v>53</v>
      </c>
      <c r="B85" s="7" t="s">
        <v>2</v>
      </c>
      <c r="C85" s="7" t="s">
        <v>5</v>
      </c>
      <c r="D85" s="7" t="s">
        <v>30</v>
      </c>
      <c r="E85" s="19" t="n">
        <v>0.60440539718983</v>
      </c>
      <c r="F85" s="19" t="n">
        <v>0.463255209055243</v>
      </c>
      <c r="G85" s="20" t="n">
        <v>19</v>
      </c>
      <c r="H85" s="21" t="n">
        <f aca="false">IF(F85&gt;0,E85/F85,"")</f>
        <v>1.30469206902702</v>
      </c>
      <c r="I85" s="21" t="n">
        <f aca="false">IF(H85="","",TDIST(ABS(H85),G85-1,2))</f>
        <v>0.208432954872199</v>
      </c>
    </row>
    <row r="86" customFormat="false" ht="15" hidden="false" customHeight="false" outlineLevel="0" collapsed="false">
      <c r="A86" s="7" t="s">
        <v>53</v>
      </c>
      <c r="B86" s="7" t="s">
        <v>3</v>
      </c>
      <c r="C86" s="7" t="s">
        <v>4</v>
      </c>
      <c r="D86" s="7" t="s">
        <v>30</v>
      </c>
      <c r="E86" s="19" t="n">
        <v>-0.117912826324228</v>
      </c>
      <c r="F86" s="19" t="n">
        <v>0.294443151997624</v>
      </c>
      <c r="G86" s="20" t="n">
        <v>19</v>
      </c>
      <c r="H86" s="21" t="n">
        <f aca="false">IF(F86&gt;0,E86/F86,"")</f>
        <v>-0.400460413238543</v>
      </c>
      <c r="I86" s="21" t="n">
        <f aca="false">IF(H86="","",TDIST(ABS(H86),G86-1,2))</f>
        <v>0.693530519260301</v>
      </c>
    </row>
    <row r="87" customFormat="false" ht="15" hidden="false" customHeight="false" outlineLevel="0" collapsed="false">
      <c r="A87" s="7" t="s">
        <v>53</v>
      </c>
      <c r="B87" s="7" t="s">
        <v>3</v>
      </c>
      <c r="C87" s="7" t="s">
        <v>5</v>
      </c>
      <c r="D87" s="7" t="s">
        <v>30</v>
      </c>
      <c r="E87" s="19" t="n">
        <v>0.123430024016719</v>
      </c>
      <c r="F87" s="19" t="n">
        <v>0.54440873028233</v>
      </c>
      <c r="G87" s="20" t="n">
        <v>19</v>
      </c>
      <c r="H87" s="21" t="n">
        <f aca="false">IF(F87&gt;0,E87/F87,"")</f>
        <v>0.226723079831413</v>
      </c>
      <c r="I87" s="21" t="n">
        <f aca="false">IF(H87="","",TDIST(ABS(H87),G87-1,2))</f>
        <v>0.823193950434765</v>
      </c>
    </row>
    <row r="88" customFormat="false" ht="15" hidden="false" customHeight="false" outlineLevel="0" collapsed="false">
      <c r="A88" s="7" t="s">
        <v>53</v>
      </c>
      <c r="B88" s="7" t="s">
        <v>2</v>
      </c>
      <c r="C88" s="7" t="s">
        <v>4</v>
      </c>
      <c r="D88" s="7" t="s">
        <v>31</v>
      </c>
      <c r="E88" s="19" t="n">
        <v>0.863418153255788</v>
      </c>
      <c r="F88" s="19" t="n">
        <v>0.428158910818618</v>
      </c>
      <c r="G88" s="20" t="n">
        <v>19</v>
      </c>
      <c r="H88" s="21" t="n">
        <f aca="false">IF(F88&gt;0,E88/F88,"")</f>
        <v>2.01658340265528</v>
      </c>
      <c r="I88" s="21" t="n">
        <f aca="false">IF(H88="","",TDIST(ABS(H88),G88-1,2))</f>
        <v>0.0589096663714775</v>
      </c>
    </row>
    <row r="89" customFormat="false" ht="15" hidden="false" customHeight="false" outlineLevel="0" collapsed="false">
      <c r="A89" s="7" t="s">
        <v>53</v>
      </c>
      <c r="B89" s="7" t="s">
        <v>2</v>
      </c>
      <c r="C89" s="7" t="s">
        <v>5</v>
      </c>
      <c r="D89" s="7" t="s">
        <v>31</v>
      </c>
      <c r="E89" s="19" t="n">
        <v>1.09405701059669</v>
      </c>
      <c r="F89" s="19" t="n">
        <v>0.528813992135358</v>
      </c>
      <c r="G89" s="20" t="n">
        <v>19</v>
      </c>
      <c r="H89" s="21" t="n">
        <f aca="false">IF(F89&gt;0,E89/F89,"")</f>
        <v>2.06888816647773</v>
      </c>
      <c r="I89" s="21" t="n">
        <f aca="false">IF(H89="","",TDIST(ABS(H89),G89-1,2))</f>
        <v>0.0532292902847892</v>
      </c>
    </row>
    <row r="90" customFormat="false" ht="15" hidden="false" customHeight="false" outlineLevel="0" collapsed="false">
      <c r="A90" s="7" t="s">
        <v>53</v>
      </c>
      <c r="B90" s="7" t="s">
        <v>3</v>
      </c>
      <c r="C90" s="7" t="s">
        <v>4</v>
      </c>
      <c r="D90" s="7" t="s">
        <v>31</v>
      </c>
      <c r="E90" s="19" t="n">
        <v>0.758194077726048</v>
      </c>
      <c r="F90" s="19" t="n">
        <v>0.478742393337907</v>
      </c>
      <c r="G90" s="20" t="n">
        <v>19</v>
      </c>
      <c r="H90" s="21" t="n">
        <f aca="false">IF(F90&gt;0,E90/F90,"")</f>
        <v>1.58372036459887</v>
      </c>
      <c r="I90" s="21" t="n">
        <f aca="false">IF(H90="","",TDIST(ABS(H90),G90-1,2))</f>
        <v>0.130668821912196</v>
      </c>
    </row>
    <row r="91" customFormat="false" ht="15" hidden="false" customHeight="false" outlineLevel="0" collapsed="false">
      <c r="A91" s="7" t="s">
        <v>53</v>
      </c>
      <c r="B91" s="7" t="s">
        <v>3</v>
      </c>
      <c r="C91" s="7" t="s">
        <v>5</v>
      </c>
      <c r="D91" s="7" t="s">
        <v>31</v>
      </c>
      <c r="E91" s="19" t="n">
        <v>0.974337186381223</v>
      </c>
      <c r="F91" s="19" t="n">
        <v>0.689796749524979</v>
      </c>
      <c r="G91" s="20" t="n">
        <v>19</v>
      </c>
      <c r="H91" s="21" t="n">
        <f aca="false">IF(F91&gt;0,E91/F91,"")</f>
        <v>1.41249895284689</v>
      </c>
      <c r="I91" s="21" t="n">
        <f aca="false">IF(H91="","",TDIST(ABS(H91),G91-1,2))</f>
        <v>0.174859944106353</v>
      </c>
    </row>
    <row r="92" customFormat="false" ht="15" hidden="false" customHeight="false" outlineLevel="0" collapsed="false">
      <c r="A92" s="7" t="s">
        <v>55</v>
      </c>
      <c r="B92" s="7" t="s">
        <v>2</v>
      </c>
      <c r="C92" s="7" t="s">
        <v>4</v>
      </c>
      <c r="D92" s="7" t="s">
        <v>7</v>
      </c>
      <c r="E92" s="19" t="n">
        <v>0.0843737795118991</v>
      </c>
      <c r="F92" s="19" t="n">
        <v>0.253212724949441</v>
      </c>
      <c r="G92" s="20" t="n">
        <v>19</v>
      </c>
      <c r="H92" s="21" t="n">
        <f aca="false">IF(F92&gt;0,E92/F92,"")</f>
        <v>0.333213030777762</v>
      </c>
      <c r="I92" s="21" t="n">
        <f aca="false">IF(H92="","",TDIST(ABS(H92),G92-1,2))</f>
        <v>0.7428234104851</v>
      </c>
    </row>
    <row r="93" customFormat="false" ht="15" hidden="false" customHeight="false" outlineLevel="0" collapsed="false">
      <c r="A93" s="7" t="s">
        <v>55</v>
      </c>
      <c r="B93" s="7" t="s">
        <v>2</v>
      </c>
      <c r="C93" s="7" t="s">
        <v>5</v>
      </c>
      <c r="D93" s="7" t="s">
        <v>7</v>
      </c>
      <c r="E93" s="19" t="n">
        <v>-0.240067551993348</v>
      </c>
      <c r="F93" s="19" t="n">
        <v>0.314721838851047</v>
      </c>
      <c r="G93" s="20" t="n">
        <v>19</v>
      </c>
      <c r="H93" s="21" t="n">
        <f aca="false">IF(F93&gt;0,E93/F93,"")</f>
        <v>-0.762792797823504</v>
      </c>
      <c r="I93" s="21" t="n">
        <f aca="false">IF(H93="","",TDIST(ABS(H93),G93-1,2))</f>
        <v>0.455468052996829</v>
      </c>
    </row>
    <row r="94" customFormat="false" ht="15" hidden="false" customHeight="false" outlineLevel="0" collapsed="false">
      <c r="A94" s="7" t="s">
        <v>55</v>
      </c>
      <c r="B94" s="7" t="s">
        <v>3</v>
      </c>
      <c r="C94" s="7" t="s">
        <v>4</v>
      </c>
      <c r="D94" s="7" t="s">
        <v>7</v>
      </c>
      <c r="E94" s="19" t="n">
        <v>-0.0232009022753003</v>
      </c>
      <c r="F94" s="19" t="n">
        <v>0.103792535232634</v>
      </c>
      <c r="G94" s="20" t="n">
        <v>19</v>
      </c>
      <c r="H94" s="21" t="n">
        <f aca="false">IF(F94&gt;0,E94/F94,"")</f>
        <v>-0.223531511426127</v>
      </c>
      <c r="I94" s="21" t="n">
        <f aca="false">IF(H94="","",TDIST(ABS(H94),G94-1,2))</f>
        <v>0.825639151884215</v>
      </c>
    </row>
    <row r="95" customFormat="false" ht="15" hidden="false" customHeight="false" outlineLevel="0" collapsed="false">
      <c r="A95" s="7" t="s">
        <v>55</v>
      </c>
      <c r="B95" s="7" t="s">
        <v>3</v>
      </c>
      <c r="C95" s="7" t="s">
        <v>5</v>
      </c>
      <c r="D95" s="7" t="s">
        <v>7</v>
      </c>
      <c r="E95" s="19" t="n">
        <v>0.019721276708084</v>
      </c>
      <c r="F95" s="19" t="n">
        <v>0.15313701900272</v>
      </c>
      <c r="G95" s="20" t="n">
        <v>19</v>
      </c>
      <c r="H95" s="21" t="n">
        <f aca="false">IF(F95&gt;0,E95/F95,"")</f>
        <v>0.128781902877016</v>
      </c>
      <c r="I95" s="21" t="n">
        <f aca="false">IF(H95="","",TDIST(ABS(H95),G95-1,2))</f>
        <v>0.89895826097602</v>
      </c>
    </row>
    <row r="96" customFormat="false" ht="15" hidden="false" customHeight="false" outlineLevel="0" collapsed="false">
      <c r="A96" s="7" t="s">
        <v>55</v>
      </c>
      <c r="B96" s="7" t="s">
        <v>2</v>
      </c>
      <c r="C96" s="7" t="s">
        <v>4</v>
      </c>
      <c r="D96" s="7" t="s">
        <v>8</v>
      </c>
      <c r="E96" s="19" t="n">
        <v>-0.516391744391022</v>
      </c>
      <c r="F96" s="19" t="n">
        <v>0.180912079715586</v>
      </c>
      <c r="G96" s="20" t="n">
        <v>19</v>
      </c>
      <c r="H96" s="21" t="n">
        <f aca="false">IF(F96&gt;0,E96/F96,"")</f>
        <v>-2.85437957046785</v>
      </c>
      <c r="I96" s="21" t="n">
        <f aca="false">IF(H96="","",TDIST(ABS(H96),G96-1,2))</f>
        <v>0.0105320164694123</v>
      </c>
    </row>
    <row r="97" customFormat="false" ht="15" hidden="false" customHeight="false" outlineLevel="0" collapsed="false">
      <c r="A97" s="7" t="s">
        <v>55</v>
      </c>
      <c r="B97" s="7" t="s">
        <v>2</v>
      </c>
      <c r="C97" s="7" t="s">
        <v>5</v>
      </c>
      <c r="D97" s="7" t="s">
        <v>8</v>
      </c>
      <c r="E97" s="19" t="n">
        <v>-0.720214444147286</v>
      </c>
      <c r="F97" s="19" t="n">
        <v>0.339203254144775</v>
      </c>
      <c r="G97" s="20" t="n">
        <v>19</v>
      </c>
      <c r="H97" s="21" t="n">
        <f aca="false">IF(F97&gt;0,E97/F97,"")</f>
        <v>-2.12325334544076</v>
      </c>
      <c r="I97" s="21" t="n">
        <f aca="false">IF(H97="","",TDIST(ABS(H97),G97-1,2))</f>
        <v>0.0478552445545565</v>
      </c>
    </row>
    <row r="98" customFormat="false" ht="15" hidden="false" customHeight="false" outlineLevel="0" collapsed="false">
      <c r="A98" s="7" t="s">
        <v>55</v>
      </c>
      <c r="B98" s="7" t="s">
        <v>3</v>
      </c>
      <c r="C98" s="7" t="s">
        <v>4</v>
      </c>
      <c r="D98" s="7" t="s">
        <v>8</v>
      </c>
      <c r="E98" s="19" t="n">
        <v>-0.472602451424282</v>
      </c>
      <c r="F98" s="19" t="n">
        <v>0.173796025948111</v>
      </c>
      <c r="G98" s="20" t="n">
        <v>19</v>
      </c>
      <c r="H98" s="21" t="n">
        <f aca="false">IF(F98&gt;0,E98/F98,"")</f>
        <v>-2.71929377467689</v>
      </c>
      <c r="I98" s="21" t="n">
        <f aca="false">IF(H98="","",TDIST(ABS(H98),G98-1,2))</f>
        <v>0.0140629233304464</v>
      </c>
    </row>
    <row r="99" customFormat="false" ht="15" hidden="false" customHeight="false" outlineLevel="0" collapsed="false">
      <c r="A99" s="7" t="s">
        <v>55</v>
      </c>
      <c r="B99" s="7" t="s">
        <v>3</v>
      </c>
      <c r="C99" s="7" t="s">
        <v>5</v>
      </c>
      <c r="D99" s="7" t="s">
        <v>8</v>
      </c>
      <c r="E99" s="19" t="n">
        <v>-0.248776477228572</v>
      </c>
      <c r="F99" s="19" t="n">
        <v>0.251066185310074</v>
      </c>
      <c r="G99" s="20" t="n">
        <v>19</v>
      </c>
      <c r="H99" s="21" t="n">
        <f aca="false">IF(F99&gt;0,E99/F99,"")</f>
        <v>-0.99088006185033</v>
      </c>
      <c r="I99" s="21" t="n">
        <f aca="false">IF(H99="","",TDIST(ABS(H99),G99-1,2))</f>
        <v>0.334878227045003</v>
      </c>
    </row>
    <row r="100" customFormat="false" ht="15" hidden="false" customHeight="false" outlineLevel="0" collapsed="false">
      <c r="A100" s="7" t="s">
        <v>55</v>
      </c>
      <c r="B100" s="7" t="s">
        <v>2</v>
      </c>
      <c r="C100" s="7" t="s">
        <v>4</v>
      </c>
      <c r="D100" s="7" t="s">
        <v>9</v>
      </c>
      <c r="E100" s="19" t="n">
        <v>0.600765523902921</v>
      </c>
      <c r="F100" s="19" t="n">
        <v>0.315816650428904</v>
      </c>
      <c r="G100" s="20" t="n">
        <v>19</v>
      </c>
      <c r="H100" s="21" t="n">
        <f aca="false">IF(F100&gt;0,E100/F100,"")</f>
        <v>1.90226045107829</v>
      </c>
      <c r="I100" s="21" t="n">
        <f aca="false">IF(H100="","",TDIST(ABS(H100),G100-1,2))</f>
        <v>0.0732616733521531</v>
      </c>
    </row>
    <row r="101" customFormat="false" ht="15" hidden="false" customHeight="false" outlineLevel="0" collapsed="false">
      <c r="A101" s="7" t="s">
        <v>55</v>
      </c>
      <c r="B101" s="7" t="s">
        <v>2</v>
      </c>
      <c r="C101" s="7" t="s">
        <v>5</v>
      </c>
      <c r="D101" s="7" t="s">
        <v>9</v>
      </c>
      <c r="E101" s="19" t="n">
        <v>0.480146892153938</v>
      </c>
      <c r="F101" s="19" t="n">
        <v>0.374495574279849</v>
      </c>
      <c r="G101" s="20" t="n">
        <v>19</v>
      </c>
      <c r="H101" s="21" t="n">
        <f aca="false">IF(F101&gt;0,E101/F101,"")</f>
        <v>1.28211633228845</v>
      </c>
      <c r="I101" s="21" t="n">
        <f aca="false">IF(H101="","",TDIST(ABS(H101),G101-1,2))</f>
        <v>0.216069563457389</v>
      </c>
    </row>
    <row r="102" customFormat="false" ht="15" hidden="false" customHeight="false" outlineLevel="0" collapsed="false">
      <c r="A102" s="7" t="s">
        <v>55</v>
      </c>
      <c r="B102" s="7" t="s">
        <v>3</v>
      </c>
      <c r="C102" s="7" t="s">
        <v>4</v>
      </c>
      <c r="D102" s="7" t="s">
        <v>9</v>
      </c>
      <c r="E102" s="19" t="n">
        <v>0.449401549148981</v>
      </c>
      <c r="F102" s="19" t="n">
        <v>0.19428931361483</v>
      </c>
      <c r="G102" s="20" t="n">
        <v>19</v>
      </c>
      <c r="H102" s="21" t="n">
        <f aca="false">IF(F102&gt;0,E102/F102,"")</f>
        <v>2.31305335732411</v>
      </c>
      <c r="I102" s="21" t="n">
        <f aca="false">IF(H102="","",TDIST(ABS(H102),G102-1,2))</f>
        <v>0.0327505404354814</v>
      </c>
    </row>
    <row r="103" customFormat="false" ht="15" hidden="false" customHeight="false" outlineLevel="0" collapsed="false">
      <c r="A103" s="7" t="s">
        <v>55</v>
      </c>
      <c r="B103" s="7" t="s">
        <v>3</v>
      </c>
      <c r="C103" s="7" t="s">
        <v>5</v>
      </c>
      <c r="D103" s="7" t="s">
        <v>9</v>
      </c>
      <c r="E103" s="19" t="n">
        <v>0.268497753936656</v>
      </c>
      <c r="F103" s="19" t="n">
        <v>0.249943228441247</v>
      </c>
      <c r="G103" s="20" t="n">
        <v>19</v>
      </c>
      <c r="H103" s="21" t="n">
        <f aca="false">IF(F103&gt;0,E103/F103,"")</f>
        <v>1.07423495971915</v>
      </c>
      <c r="I103" s="21" t="n">
        <f aca="false">IF(H103="","",TDIST(ABS(H103),G103-1,2))</f>
        <v>0.296907488218065</v>
      </c>
    </row>
    <row r="104" customFormat="false" ht="15" hidden="false" customHeight="false" outlineLevel="0" collapsed="false">
      <c r="A104" s="7" t="s">
        <v>55</v>
      </c>
      <c r="B104" s="7" t="s">
        <v>2</v>
      </c>
      <c r="C104" s="7" t="s">
        <v>4</v>
      </c>
      <c r="D104" s="7" t="s">
        <v>12</v>
      </c>
      <c r="E104" s="19" t="n">
        <v>-1.09062568004863</v>
      </c>
      <c r="F104" s="19" t="n">
        <v>0.250708354620015</v>
      </c>
      <c r="G104" s="20" t="n">
        <v>19</v>
      </c>
      <c r="H104" s="21" t="n">
        <f aca="false">IF(F104&gt;0,E104/F104,"")</f>
        <v>-4.35017684871982</v>
      </c>
      <c r="I104" s="21" t="n">
        <f aca="false">IF(H104="","",TDIST(ABS(H104),G104-1,2))</f>
        <v>0.000385735745505021</v>
      </c>
    </row>
    <row r="105" customFormat="false" ht="15" hidden="false" customHeight="false" outlineLevel="0" collapsed="false">
      <c r="A105" s="7" t="s">
        <v>55</v>
      </c>
      <c r="B105" s="7" t="s">
        <v>2</v>
      </c>
      <c r="C105" s="7" t="s">
        <v>5</v>
      </c>
      <c r="D105" s="7" t="s">
        <v>12</v>
      </c>
      <c r="E105" s="19" t="n">
        <v>-1.26054589556765</v>
      </c>
      <c r="F105" s="19" t="n">
        <v>0.350632280137947</v>
      </c>
      <c r="G105" s="20" t="n">
        <v>19</v>
      </c>
      <c r="H105" s="21" t="n">
        <f aca="false">IF(F105&gt;0,E105/F105,"")</f>
        <v>-3.59506516362873</v>
      </c>
      <c r="I105" s="21" t="n">
        <f aca="false">IF(H105="","",TDIST(ABS(H105),G105-1,2))</f>
        <v>0.0020697951701572</v>
      </c>
    </row>
    <row r="106" customFormat="false" ht="15" hidden="false" customHeight="false" outlineLevel="0" collapsed="false">
      <c r="A106" s="7" t="s">
        <v>55</v>
      </c>
      <c r="B106" s="7" t="s">
        <v>3</v>
      </c>
      <c r="C106" s="7" t="s">
        <v>4</v>
      </c>
      <c r="D106" s="7" t="s">
        <v>12</v>
      </c>
      <c r="E106" s="19" t="n">
        <v>-0.841012155752143</v>
      </c>
      <c r="F106" s="19" t="n">
        <v>0.226474430286078</v>
      </c>
      <c r="G106" s="20" t="n">
        <v>19</v>
      </c>
      <c r="H106" s="21" t="n">
        <f aca="false">IF(F106&gt;0,E106/F106,"")</f>
        <v>-3.71349716914971</v>
      </c>
      <c r="I106" s="21" t="n">
        <f aca="false">IF(H106="","",TDIST(ABS(H106),G106-1,2))</f>
        <v>0.00159013101836721</v>
      </c>
    </row>
    <row r="107" customFormat="false" ht="15" hidden="false" customHeight="false" outlineLevel="0" collapsed="false">
      <c r="A107" s="7" t="s">
        <v>55</v>
      </c>
      <c r="B107" s="7" t="s">
        <v>3</v>
      </c>
      <c r="C107" s="7" t="s">
        <v>5</v>
      </c>
      <c r="D107" s="7" t="s">
        <v>12</v>
      </c>
      <c r="E107" s="19" t="n">
        <v>-0.798033123357749</v>
      </c>
      <c r="F107" s="19" t="n">
        <v>0.271531224025913</v>
      </c>
      <c r="G107" s="20" t="n">
        <v>19</v>
      </c>
      <c r="H107" s="21" t="n">
        <f aca="false">IF(F107&gt;0,E107/F107,"")</f>
        <v>-2.93901051792699</v>
      </c>
      <c r="I107" s="21" t="n">
        <f aca="false">IF(H107="","",TDIST(ABS(H107),G107-1,2))</f>
        <v>0.00877306880079758</v>
      </c>
    </row>
    <row r="108" customFormat="false" ht="15" hidden="false" customHeight="false" outlineLevel="0" collapsed="false">
      <c r="A108" s="7" t="s">
        <v>55</v>
      </c>
      <c r="B108" s="7" t="s">
        <v>2</v>
      </c>
      <c r="C108" s="7" t="s">
        <v>4</v>
      </c>
      <c r="D108" s="7" t="s">
        <v>13</v>
      </c>
      <c r="E108" s="19" t="n">
        <v>0.0578421912665828</v>
      </c>
      <c r="F108" s="19" t="n">
        <v>0.181643065326169</v>
      </c>
      <c r="G108" s="20" t="n">
        <v>19</v>
      </c>
      <c r="H108" s="21" t="n">
        <f aca="false">IF(F108&gt;0,E108/F108,"")</f>
        <v>0.318438753291892</v>
      </c>
      <c r="I108" s="21" t="n">
        <f aca="false">IF(H108="","",TDIST(ABS(H108),G108-1,2))</f>
        <v>0.753817310097572</v>
      </c>
    </row>
    <row r="109" customFormat="false" ht="15" hidden="false" customHeight="false" outlineLevel="0" collapsed="false">
      <c r="A109" s="7" t="s">
        <v>55</v>
      </c>
      <c r="B109" s="7" t="s">
        <v>2</v>
      </c>
      <c r="C109" s="7" t="s">
        <v>5</v>
      </c>
      <c r="D109" s="7" t="s">
        <v>13</v>
      </c>
      <c r="E109" s="19" t="n">
        <v>-0.179882992726927</v>
      </c>
      <c r="F109" s="19" t="n">
        <v>0.428403433898253</v>
      </c>
      <c r="G109" s="20" t="n">
        <v>19</v>
      </c>
      <c r="H109" s="21" t="n">
        <f aca="false">IF(F109&gt;0,E109/F109,"")</f>
        <v>-0.419891575308076</v>
      </c>
      <c r="I109" s="21" t="n">
        <f aca="false">IF(H109="","",TDIST(ABS(H109),G109-1,2))</f>
        <v>0.67953400271097</v>
      </c>
    </row>
    <row r="110" customFormat="false" ht="15" hidden="false" customHeight="false" outlineLevel="0" collapsed="false">
      <c r="A110" s="7" t="s">
        <v>55</v>
      </c>
      <c r="B110" s="7" t="s">
        <v>3</v>
      </c>
      <c r="C110" s="7" t="s">
        <v>4</v>
      </c>
      <c r="D110" s="7" t="s">
        <v>13</v>
      </c>
      <c r="E110" s="19" t="n">
        <v>-0.104192747096421</v>
      </c>
      <c r="F110" s="19" t="n">
        <v>0.273222956878318</v>
      </c>
      <c r="G110" s="20" t="n">
        <v>19</v>
      </c>
      <c r="H110" s="21" t="n">
        <f aca="false">IF(F110&gt;0,E110/F110,"")</f>
        <v>-0.381346971304551</v>
      </c>
      <c r="I110" s="21" t="n">
        <f aca="false">IF(H110="","",TDIST(ABS(H110),G110-1,2))</f>
        <v>0.707409819724575</v>
      </c>
    </row>
    <row r="111" customFormat="false" ht="15" hidden="false" customHeight="false" outlineLevel="0" collapsed="false">
      <c r="A111" s="7" t="s">
        <v>55</v>
      </c>
      <c r="B111" s="7" t="s">
        <v>3</v>
      </c>
      <c r="C111" s="7" t="s">
        <v>5</v>
      </c>
      <c r="D111" s="7" t="s">
        <v>13</v>
      </c>
      <c r="E111" s="19" t="n">
        <v>0.300480168900605</v>
      </c>
      <c r="F111" s="19" t="n">
        <v>0.401775933407585</v>
      </c>
      <c r="G111" s="20" t="n">
        <v>19</v>
      </c>
      <c r="H111" s="21" t="n">
        <f aca="false">IF(F111&gt;0,E111/F111,"")</f>
        <v>0.747879959738106</v>
      </c>
      <c r="I111" s="21" t="n">
        <f aca="false">IF(H111="","",TDIST(ABS(H111),G111-1,2))</f>
        <v>0.46419228913015</v>
      </c>
    </row>
    <row r="112" customFormat="false" ht="15" hidden="false" customHeight="false" outlineLevel="0" collapsed="false">
      <c r="A112" s="7" t="s">
        <v>55</v>
      </c>
      <c r="B112" s="7" t="s">
        <v>2</v>
      </c>
      <c r="C112" s="7" t="s">
        <v>4</v>
      </c>
      <c r="D112" s="7" t="s">
        <v>14</v>
      </c>
      <c r="E112" s="19" t="n">
        <v>1.17499945956053</v>
      </c>
      <c r="F112" s="19" t="n">
        <v>0.365030120002911</v>
      </c>
      <c r="G112" s="20" t="n">
        <v>19</v>
      </c>
      <c r="H112" s="21" t="n">
        <f aca="false">IF(F112&gt;0,E112/F112,"")</f>
        <v>3.21891097521255</v>
      </c>
      <c r="I112" s="21" t="n">
        <f aca="false">IF(H112="","",TDIST(ABS(H112),G112-1,2))</f>
        <v>0.00476033540784118</v>
      </c>
    </row>
    <row r="113" customFormat="false" ht="15" hidden="false" customHeight="false" outlineLevel="0" collapsed="false">
      <c r="A113" s="7" t="s">
        <v>55</v>
      </c>
      <c r="B113" s="7" t="s">
        <v>2</v>
      </c>
      <c r="C113" s="7" t="s">
        <v>5</v>
      </c>
      <c r="D113" s="7" t="s">
        <v>14</v>
      </c>
      <c r="E113" s="19" t="n">
        <v>1.0204783435743</v>
      </c>
      <c r="F113" s="19" t="n">
        <v>0.405752811297972</v>
      </c>
      <c r="G113" s="20" t="n">
        <v>19</v>
      </c>
      <c r="H113" s="21" t="n">
        <f aca="false">IF(F113&gt;0,E113/F113,"")</f>
        <v>2.51502470262588</v>
      </c>
      <c r="I113" s="21" t="n">
        <f aca="false">IF(H113="","",TDIST(ABS(H113),G113-1,2))</f>
        <v>0.0216214841947332</v>
      </c>
    </row>
    <row r="114" customFormat="false" ht="15" hidden="false" customHeight="false" outlineLevel="0" collapsed="false">
      <c r="A114" s="7" t="s">
        <v>55</v>
      </c>
      <c r="B114" s="7" t="s">
        <v>3</v>
      </c>
      <c r="C114" s="7" t="s">
        <v>4</v>
      </c>
      <c r="D114" s="7" t="s">
        <v>14</v>
      </c>
      <c r="E114" s="19" t="n">
        <v>0.817811253476842</v>
      </c>
      <c r="F114" s="19" t="n">
        <v>0.264946282312537</v>
      </c>
      <c r="G114" s="20" t="n">
        <v>19</v>
      </c>
      <c r="H114" s="21" t="n">
        <f aca="false">IF(F114&gt;0,E114/F114,"")</f>
        <v>3.08670590256531</v>
      </c>
      <c r="I114" s="21" t="n">
        <f aca="false">IF(H114="","",TDIST(ABS(H114),G114-1,2))</f>
        <v>0.00636158191538388</v>
      </c>
    </row>
    <row r="115" customFormat="false" ht="15" hidden="false" customHeight="false" outlineLevel="0" collapsed="false">
      <c r="A115" s="7" t="s">
        <v>55</v>
      </c>
      <c r="B115" s="7" t="s">
        <v>3</v>
      </c>
      <c r="C115" s="7" t="s">
        <v>5</v>
      </c>
      <c r="D115" s="7" t="s">
        <v>14</v>
      </c>
      <c r="E115" s="19" t="n">
        <v>0.817754400065833</v>
      </c>
      <c r="F115" s="19" t="n">
        <v>0.315566919335207</v>
      </c>
      <c r="G115" s="20" t="n">
        <v>19</v>
      </c>
      <c r="H115" s="21" t="n">
        <f aca="false">IF(F115&gt;0,E115/F115,"")</f>
        <v>2.5913818906892</v>
      </c>
      <c r="I115" s="21" t="n">
        <f aca="false">IF(H115="","",TDIST(ABS(H115),G115-1,2))</f>
        <v>0.0184301361192945</v>
      </c>
    </row>
    <row r="116" customFormat="false" ht="15" hidden="false" customHeight="false" outlineLevel="0" collapsed="false">
      <c r="A116" s="7" t="s">
        <v>55</v>
      </c>
      <c r="B116" s="7" t="s">
        <v>2</v>
      </c>
      <c r="C116" s="7" t="s">
        <v>4</v>
      </c>
      <c r="D116" s="7" t="s">
        <v>15</v>
      </c>
      <c r="E116" s="19" t="n">
        <v>0.0265315882453163</v>
      </c>
      <c r="F116" s="19" t="n">
        <v>0.310843764534935</v>
      </c>
      <c r="G116" s="20" t="n">
        <v>19</v>
      </c>
      <c r="H116" s="21" t="n">
        <f aca="false">IF(F116&gt;0,E116/F116,"")</f>
        <v>0.0853534517091284</v>
      </c>
      <c r="I116" s="21" t="n">
        <f aca="false">IF(H116="","",TDIST(ABS(H116),G116-1,2))</f>
        <v>0.932922617097503</v>
      </c>
    </row>
    <row r="117" customFormat="false" ht="15" hidden="false" customHeight="false" outlineLevel="0" collapsed="false">
      <c r="A117" s="7" t="s">
        <v>55</v>
      </c>
      <c r="B117" s="7" t="s">
        <v>2</v>
      </c>
      <c r="C117" s="7" t="s">
        <v>5</v>
      </c>
      <c r="D117" s="7" t="s">
        <v>15</v>
      </c>
      <c r="E117" s="19" t="n">
        <v>-0.0601845592664216</v>
      </c>
      <c r="F117" s="19" t="n">
        <v>0.438421406001031</v>
      </c>
      <c r="G117" s="20" t="n">
        <v>19</v>
      </c>
      <c r="H117" s="21" t="n">
        <f aca="false">IF(F117&gt;0,E117/F117,"")</f>
        <v>-0.137275594764823</v>
      </c>
      <c r="I117" s="21" t="n">
        <f aca="false">IF(H117="","",TDIST(ABS(H117),G117-1,2))</f>
        <v>0.892336825272325</v>
      </c>
    </row>
    <row r="118" customFormat="false" ht="15" hidden="false" customHeight="false" outlineLevel="0" collapsed="false">
      <c r="A118" s="7" t="s">
        <v>55</v>
      </c>
      <c r="B118" s="7" t="s">
        <v>3</v>
      </c>
      <c r="C118" s="7" t="s">
        <v>4</v>
      </c>
      <c r="D118" s="7" t="s">
        <v>15</v>
      </c>
      <c r="E118" s="19" t="n">
        <v>0.0809918448211202</v>
      </c>
      <c r="F118" s="19" t="n">
        <v>0.266141835731685</v>
      </c>
      <c r="G118" s="20" t="n">
        <v>19</v>
      </c>
      <c r="H118" s="21" t="n">
        <f aca="false">IF(F118&gt;0,E118/F118,"")</f>
        <v>0.304318351898547</v>
      </c>
      <c r="I118" s="21" t="n">
        <f aca="false">IF(H118="","",TDIST(ABS(H118),G118-1,2))</f>
        <v>0.764375539337075</v>
      </c>
    </row>
    <row r="119" customFormat="false" ht="15" hidden="false" customHeight="false" outlineLevel="0" collapsed="false">
      <c r="A119" s="7" t="s">
        <v>55</v>
      </c>
      <c r="B119" s="7" t="s">
        <v>3</v>
      </c>
      <c r="C119" s="7" t="s">
        <v>5</v>
      </c>
      <c r="D119" s="7" t="s">
        <v>15</v>
      </c>
      <c r="E119" s="19" t="n">
        <v>-0.280758892192521</v>
      </c>
      <c r="F119" s="19" t="n">
        <v>0.366667972125731</v>
      </c>
      <c r="G119" s="20" t="n">
        <v>19</v>
      </c>
      <c r="H119" s="21" t="n">
        <f aca="false">IF(F119&gt;0,E119/F119,"")</f>
        <v>-0.765703343449502</v>
      </c>
      <c r="I119" s="21" t="n">
        <f aca="false">IF(H119="","",TDIST(ABS(H119),G119-1,2))</f>
        <v>0.453777084966936</v>
      </c>
    </row>
    <row r="120" customFormat="false" ht="15" hidden="false" customHeight="false" outlineLevel="0" collapsed="false">
      <c r="A120" s="7" t="s">
        <v>55</v>
      </c>
      <c r="B120" s="7" t="s">
        <v>2</v>
      </c>
      <c r="C120" s="7" t="s">
        <v>4</v>
      </c>
      <c r="D120" s="7" t="s">
        <v>54</v>
      </c>
      <c r="E120" s="19" t="n">
        <v>-1.15853608003437</v>
      </c>
      <c r="F120" s="19" t="n">
        <v>0.423128827845002</v>
      </c>
      <c r="G120" s="20" t="n">
        <v>19</v>
      </c>
      <c r="H120" s="21" t="n">
        <f aca="false">IF(F120&gt;0,E120/F120,"")</f>
        <v>-2.73802209585862</v>
      </c>
      <c r="I120" s="21" t="n">
        <f aca="false">IF(H120="","",TDIST(ABS(H120),G120-1,2))</f>
        <v>0.0135131205921936</v>
      </c>
    </row>
    <row r="121" customFormat="false" ht="15" hidden="false" customHeight="false" outlineLevel="0" collapsed="false">
      <c r="A121" s="7" t="s">
        <v>55</v>
      </c>
      <c r="B121" s="7" t="s">
        <v>2</v>
      </c>
      <c r="C121" s="7" t="s">
        <v>5</v>
      </c>
      <c r="D121" s="7" t="s">
        <v>54</v>
      </c>
      <c r="E121" s="19" t="n">
        <v>-1.68381281661868</v>
      </c>
      <c r="F121" s="19" t="n">
        <v>0.483596159572709</v>
      </c>
      <c r="G121" s="20" t="n">
        <v>19</v>
      </c>
      <c r="H121" s="21" t="n">
        <f aca="false">IF(F121&gt;0,E121/F121,"")</f>
        <v>-3.48185729619203</v>
      </c>
      <c r="I121" s="21" t="n">
        <f aca="false">IF(H121="","",TDIST(ABS(H121),G121-1,2))</f>
        <v>0.00266180192568822</v>
      </c>
    </row>
    <row r="122" customFormat="false" ht="15" hidden="false" customHeight="false" outlineLevel="0" collapsed="false">
      <c r="A122" s="7" t="s">
        <v>55</v>
      </c>
      <c r="B122" s="7" t="s">
        <v>3</v>
      </c>
      <c r="C122" s="7" t="s">
        <v>4</v>
      </c>
      <c r="D122" s="7" t="s">
        <v>54</v>
      </c>
      <c r="E122" s="19" t="n">
        <v>-0.949601734630513</v>
      </c>
      <c r="F122" s="19" t="n">
        <v>0.352884132371222</v>
      </c>
      <c r="G122" s="20" t="n">
        <v>19</v>
      </c>
      <c r="H122" s="21" t="n">
        <f aca="false">IF(F122&gt;0,E122/F122,"")</f>
        <v>-2.69097317652006</v>
      </c>
      <c r="I122" s="21" t="n">
        <f aca="false">IF(H122="","",TDIST(ABS(H122),G122-1,2))</f>
        <v>0.014935130544126</v>
      </c>
    </row>
    <row r="123" customFormat="false" ht="15" hidden="false" customHeight="false" outlineLevel="0" collapsed="false">
      <c r="A123" s="7" t="s">
        <v>55</v>
      </c>
      <c r="B123" s="7" t="s">
        <v>3</v>
      </c>
      <c r="C123" s="7" t="s">
        <v>5</v>
      </c>
      <c r="D123" s="7" t="s">
        <v>54</v>
      </c>
      <c r="E123" s="19" t="n">
        <v>-0.954127676929892</v>
      </c>
      <c r="F123" s="19" t="n">
        <v>0.380483607539896</v>
      </c>
      <c r="G123" s="20" t="n">
        <v>19</v>
      </c>
      <c r="H123" s="21" t="n">
        <f aca="false">IF(F123&gt;0,E123/F123,"")</f>
        <v>-2.50767091675519</v>
      </c>
      <c r="I123" s="21" t="n">
        <f aca="false">IF(H123="","",TDIST(ABS(H123),G123-1,2))</f>
        <v>0.0219549789226601</v>
      </c>
    </row>
    <row r="124" customFormat="false" ht="15" hidden="false" customHeight="false" outlineLevel="0" collapsed="false">
      <c r="A124" s="7" t="s">
        <v>55</v>
      </c>
      <c r="B124" s="7" t="s">
        <v>2</v>
      </c>
      <c r="C124" s="7" t="s">
        <v>4</v>
      </c>
      <c r="D124" s="7" t="s">
        <v>35</v>
      </c>
      <c r="E124" s="19" t="n">
        <v>0.651428403683671</v>
      </c>
      <c r="F124" s="19" t="n">
        <v>0.606877384188638</v>
      </c>
      <c r="G124" s="20" t="n">
        <v>19</v>
      </c>
      <c r="H124" s="21" t="n">
        <f aca="false">IF(F124&gt;0,E124/F124,"")</f>
        <v>1.07341024835617</v>
      </c>
      <c r="I124" s="21" t="n">
        <f aca="false">IF(H124="","",TDIST(ABS(H124),G124-1,2))</f>
        <v>0.29726726399686</v>
      </c>
    </row>
    <row r="125" customFormat="false" ht="15" hidden="false" customHeight="false" outlineLevel="0" collapsed="false">
      <c r="A125" s="7" t="s">
        <v>55</v>
      </c>
      <c r="B125" s="7" t="s">
        <v>2</v>
      </c>
      <c r="C125" s="7" t="s">
        <v>5</v>
      </c>
      <c r="D125" s="7" t="s">
        <v>35</v>
      </c>
      <c r="E125" s="19" t="n">
        <v>1.12236822966749</v>
      </c>
      <c r="F125" s="19" t="n">
        <v>0.730962365298606</v>
      </c>
      <c r="G125" s="20" t="n">
        <v>19</v>
      </c>
      <c r="H125" s="21" t="n">
        <f aca="false">IF(F125&gt;0,E125/F125,"")</f>
        <v>1.5354665068276</v>
      </c>
      <c r="I125" s="21" t="n">
        <f aca="false">IF(H125="","",TDIST(ABS(H125),G125-1,2))</f>
        <v>0.14206004993984</v>
      </c>
    </row>
    <row r="126" customFormat="false" ht="15" hidden="false" customHeight="false" outlineLevel="0" collapsed="false">
      <c r="A126" s="7" t="s">
        <v>55</v>
      </c>
      <c r="B126" s="7" t="s">
        <v>3</v>
      </c>
      <c r="C126" s="7" t="s">
        <v>4</v>
      </c>
      <c r="D126" s="7" t="s">
        <v>35</v>
      </c>
      <c r="E126" s="19" t="n">
        <v>-0.535603263504171</v>
      </c>
      <c r="F126" s="19" t="n">
        <v>0.63036099435303</v>
      </c>
      <c r="G126" s="20" t="n">
        <v>19</v>
      </c>
      <c r="H126" s="21" t="n">
        <f aca="false">IF(F126&gt;0,E126/F126,"")</f>
        <v>-0.849677039509538</v>
      </c>
      <c r="I126" s="21" t="n">
        <f aca="false">IF(H126="","",TDIST(ABS(H126),G126-1,2))</f>
        <v>0.406664485679928</v>
      </c>
    </row>
    <row r="127" customFormat="false" ht="15" hidden="false" customHeight="false" outlineLevel="0" collapsed="false">
      <c r="A127" s="7" t="s">
        <v>55</v>
      </c>
      <c r="B127" s="7" t="s">
        <v>3</v>
      </c>
      <c r="C127" s="7" t="s">
        <v>5</v>
      </c>
      <c r="D127" s="7" t="s">
        <v>35</v>
      </c>
      <c r="E127" s="19" t="n">
        <v>-0.545925571585527</v>
      </c>
      <c r="F127" s="19" t="n">
        <v>0.691585919848942</v>
      </c>
      <c r="G127" s="20" t="n">
        <v>19</v>
      </c>
      <c r="H127" s="21" t="n">
        <f aca="false">IF(F127&gt;0,E127/F127,"")</f>
        <v>-0.789382137370248</v>
      </c>
      <c r="I127" s="21" t="n">
        <f aca="false">IF(H127="","",TDIST(ABS(H127),G127-1,2))</f>
        <v>0.44016360303207</v>
      </c>
    </row>
    <row r="128" customFormat="false" ht="15" hidden="false" customHeight="false" outlineLevel="0" collapsed="false">
      <c r="A128" s="7" t="s">
        <v>55</v>
      </c>
      <c r="B128" s="7" t="s">
        <v>2</v>
      </c>
      <c r="C128" s="7" t="s">
        <v>4</v>
      </c>
      <c r="D128" s="7" t="s">
        <v>36</v>
      </c>
      <c r="E128" s="19" t="n">
        <v>0.105944973557466</v>
      </c>
      <c r="F128" s="19" t="n">
        <v>0.613705036058699</v>
      </c>
      <c r="G128" s="20" t="n">
        <v>19</v>
      </c>
      <c r="H128" s="21" t="n">
        <f aca="false">IF(F128&gt;0,E128/F128,"")</f>
        <v>0.172631748694551</v>
      </c>
      <c r="I128" s="21" t="n">
        <f aca="false">IF(H128="","",TDIST(ABS(H128),G128-1,2))</f>
        <v>0.864867164997696</v>
      </c>
    </row>
    <row r="129" customFormat="false" ht="15" hidden="false" customHeight="false" outlineLevel="0" collapsed="false">
      <c r="A129" s="7" t="s">
        <v>55</v>
      </c>
      <c r="B129" s="7" t="s">
        <v>2</v>
      </c>
      <c r="C129" s="7" t="s">
        <v>5</v>
      </c>
      <c r="D129" s="7" t="s">
        <v>36</v>
      </c>
      <c r="E129" s="19" t="n">
        <v>0.788767325376105</v>
      </c>
      <c r="F129" s="19" t="n">
        <v>0.666791312547625</v>
      </c>
      <c r="G129" s="20" t="n">
        <v>19</v>
      </c>
      <c r="H129" s="21" t="n">
        <f aca="false">IF(F129&gt;0,E129/F129,"")</f>
        <v>1.18292981707042</v>
      </c>
      <c r="I129" s="21" t="n">
        <f aca="false">IF(H129="","",TDIST(ABS(H129),G129-1,2))</f>
        <v>0.252226511238714</v>
      </c>
    </row>
    <row r="130" customFormat="false" ht="15" hidden="false" customHeight="false" outlineLevel="0" collapsed="false">
      <c r="A130" s="7" t="s">
        <v>55</v>
      </c>
      <c r="B130" s="7" t="s">
        <v>3</v>
      </c>
      <c r="C130" s="7" t="s">
        <v>4</v>
      </c>
      <c r="D130" s="7" t="s">
        <v>36</v>
      </c>
      <c r="E130" s="19" t="n">
        <v>0.57838212330111</v>
      </c>
      <c r="F130" s="19" t="n">
        <v>0.534555160513705</v>
      </c>
      <c r="G130" s="20" t="n">
        <v>19</v>
      </c>
      <c r="H130" s="21" t="n">
        <f aca="false">IF(F130&gt;0,E130/F130,"")</f>
        <v>1.08198772741299</v>
      </c>
      <c r="I130" s="21" t="n">
        <f aca="false">IF(H130="","",TDIST(ABS(H130),G130-1,2))</f>
        <v>0.29354082686117</v>
      </c>
    </row>
    <row r="131" customFormat="false" ht="15" hidden="false" customHeight="false" outlineLevel="0" collapsed="false">
      <c r="A131" s="7" t="s">
        <v>55</v>
      </c>
      <c r="B131" s="7" t="s">
        <v>3</v>
      </c>
      <c r="C131" s="7" t="s">
        <v>5</v>
      </c>
      <c r="D131" s="7" t="s">
        <v>36</v>
      </c>
      <c r="E131" s="19" t="n">
        <v>0.681736462614401</v>
      </c>
      <c r="F131" s="19" t="n">
        <v>0.541894403301027</v>
      </c>
      <c r="G131" s="20" t="n">
        <v>19</v>
      </c>
      <c r="H131" s="21" t="n">
        <f aca="false">IF(F131&gt;0,E131/F131,"")</f>
        <v>1.25806145710586</v>
      </c>
      <c r="I131" s="21" t="n">
        <f aca="false">IF(H131="","",TDIST(ABS(H131),G131-1,2))</f>
        <v>0.22444516165296</v>
      </c>
    </row>
    <row r="132" customFormat="false" ht="15" hidden="false" customHeight="false" outlineLevel="0" collapsed="false">
      <c r="A132" s="7" t="s">
        <v>55</v>
      </c>
      <c r="B132" s="7" t="s">
        <v>2</v>
      </c>
      <c r="C132" s="7" t="s">
        <v>4</v>
      </c>
      <c r="D132" s="7" t="s">
        <v>37</v>
      </c>
      <c r="E132" s="19" t="n">
        <v>-0.19397277544919</v>
      </c>
      <c r="F132" s="19" t="n">
        <v>0.616931419382084</v>
      </c>
      <c r="G132" s="20" t="n">
        <v>19</v>
      </c>
      <c r="H132" s="21" t="n">
        <f aca="false">IF(F132&gt;0,E132/F132,"")</f>
        <v>-0.314415459085342</v>
      </c>
      <c r="I132" s="21" t="n">
        <f aca="false">IF(H132="","",TDIST(ABS(H132),G132-1,2))</f>
        <v>0.756820663204775</v>
      </c>
    </row>
    <row r="133" customFormat="false" ht="15" hidden="false" customHeight="false" outlineLevel="0" collapsed="false">
      <c r="A133" s="7" t="s">
        <v>55</v>
      </c>
      <c r="B133" s="7" t="s">
        <v>2</v>
      </c>
      <c r="C133" s="7" t="s">
        <v>5</v>
      </c>
      <c r="D133" s="7" t="s">
        <v>37</v>
      </c>
      <c r="E133" s="19" t="n">
        <v>0.131482783468786</v>
      </c>
      <c r="F133" s="19" t="n">
        <v>0.533726737490456</v>
      </c>
      <c r="G133" s="20" t="n">
        <v>19</v>
      </c>
      <c r="H133" s="21" t="n">
        <f aca="false">IF(F133&gt;0,E133/F133,"")</f>
        <v>0.246348504268324</v>
      </c>
      <c r="I133" s="21" t="n">
        <f aca="false">IF(H133="","",TDIST(ABS(H133),G133-1,2))</f>
        <v>0.808199891645994</v>
      </c>
    </row>
    <row r="134" customFormat="false" ht="15" hidden="false" customHeight="false" outlineLevel="0" collapsed="false">
      <c r="A134" s="7" t="s">
        <v>55</v>
      </c>
      <c r="B134" s="7" t="s">
        <v>3</v>
      </c>
      <c r="C134" s="7" t="s">
        <v>4</v>
      </c>
      <c r="D134" s="7" t="s">
        <v>37</v>
      </c>
      <c r="E134" s="19" t="n">
        <v>0.0694830345252725</v>
      </c>
      <c r="F134" s="19" t="n">
        <v>0.32228418656753</v>
      </c>
      <c r="G134" s="20" t="n">
        <v>19</v>
      </c>
      <c r="H134" s="21" t="n">
        <f aca="false">IF(F134&gt;0,E134/F134,"")</f>
        <v>0.215595543998909</v>
      </c>
      <c r="I134" s="21" t="n">
        <f aca="false">IF(H134="","",TDIST(ABS(H134),G134-1,2))</f>
        <v>0.831727156379366</v>
      </c>
    </row>
    <row r="135" customFormat="false" ht="15" hidden="false" customHeight="false" outlineLevel="0" collapsed="false">
      <c r="A135" s="7" t="s">
        <v>55</v>
      </c>
      <c r="B135" s="7" t="s">
        <v>3</v>
      </c>
      <c r="C135" s="7" t="s">
        <v>5</v>
      </c>
      <c r="D135" s="7" t="s">
        <v>37</v>
      </c>
      <c r="E135" s="19" t="n">
        <v>0.137557260680861</v>
      </c>
      <c r="F135" s="19" t="n">
        <v>0.321180849432628</v>
      </c>
      <c r="G135" s="20" t="n">
        <v>19</v>
      </c>
      <c r="H135" s="21" t="n">
        <f aca="false">IF(F135&gt;0,E135/F135,"")</f>
        <v>0.428285998134256</v>
      </c>
      <c r="I135" s="21" t="n">
        <f aca="false">IF(H135="","",TDIST(ABS(H135),G135-1,2))</f>
        <v>0.673523901775467</v>
      </c>
    </row>
    <row r="136" customFormat="false" ht="15" hidden="false" customHeight="false" outlineLevel="0" collapsed="false">
      <c r="A136" s="7" t="s">
        <v>55</v>
      </c>
      <c r="B136" s="7" t="s">
        <v>2</v>
      </c>
      <c r="C136" s="7" t="s">
        <v>4</v>
      </c>
      <c r="D136" s="7" t="s">
        <v>38</v>
      </c>
      <c r="E136" s="19" t="n">
        <v>1.47782194351367</v>
      </c>
      <c r="F136" s="19" t="n">
        <v>0.888280264874478</v>
      </c>
      <c r="G136" s="20" t="n">
        <v>19</v>
      </c>
      <c r="H136" s="21" t="n">
        <f aca="false">IF(F136&gt;0,E136/F136,"")</f>
        <v>1.66368881754059</v>
      </c>
      <c r="I136" s="21" t="n">
        <f aca="false">IF(H136="","",TDIST(ABS(H136),G136-1,2))</f>
        <v>0.113486878989223</v>
      </c>
    </row>
    <row r="137" customFormat="false" ht="15" hidden="false" customHeight="false" outlineLevel="0" collapsed="false">
      <c r="A137" s="7" t="s">
        <v>55</v>
      </c>
      <c r="B137" s="7" t="s">
        <v>2</v>
      </c>
      <c r="C137" s="7" t="s">
        <v>5</v>
      </c>
      <c r="D137" s="7" t="s">
        <v>38</v>
      </c>
      <c r="E137" s="19" t="n">
        <v>1.72785965849473</v>
      </c>
      <c r="F137" s="19" t="n">
        <v>0.908163812151684</v>
      </c>
      <c r="G137" s="20" t="n">
        <v>19</v>
      </c>
      <c r="H137" s="21" t="n">
        <f aca="false">IF(F137&gt;0,E137/F137,"")</f>
        <v>1.90258589405909</v>
      </c>
      <c r="I137" s="21" t="n">
        <f aca="false">IF(H137="","",TDIST(ABS(H137),G137-1,2))</f>
        <v>0.0732167475379811</v>
      </c>
    </row>
    <row r="138" customFormat="false" ht="15" hidden="false" customHeight="false" outlineLevel="0" collapsed="false">
      <c r="A138" s="7" t="s">
        <v>55</v>
      </c>
      <c r="B138" s="7" t="s">
        <v>3</v>
      </c>
      <c r="C138" s="7" t="s">
        <v>4</v>
      </c>
      <c r="D138" s="7" t="s">
        <v>38</v>
      </c>
      <c r="E138" s="19" t="n">
        <v>1.22212265210933</v>
      </c>
      <c r="F138" s="19" t="n">
        <v>0.422196141223078</v>
      </c>
      <c r="G138" s="20" t="n">
        <v>19</v>
      </c>
      <c r="H138" s="21" t="n">
        <f aca="false">IF(F138&gt;0,E138/F138,"")</f>
        <v>2.89467982480586</v>
      </c>
      <c r="I138" s="21" t="n">
        <f aca="false">IF(H138="","",TDIST(ABS(H138),G138-1,2))</f>
        <v>0.00965568517725379</v>
      </c>
    </row>
    <row r="139" customFormat="false" ht="15" hidden="false" customHeight="false" outlineLevel="0" collapsed="false">
      <c r="A139" s="7" t="s">
        <v>55</v>
      </c>
      <c r="B139" s="7" t="s">
        <v>3</v>
      </c>
      <c r="C139" s="7" t="s">
        <v>5</v>
      </c>
      <c r="D139" s="7" t="s">
        <v>38</v>
      </c>
      <c r="E139" s="19" t="n">
        <v>1.24885012789902</v>
      </c>
      <c r="F139" s="19" t="n">
        <v>0.448058826915025</v>
      </c>
      <c r="G139" s="20" t="n">
        <v>19</v>
      </c>
      <c r="H139" s="21" t="n">
        <f aca="false">IF(F139&gt;0,E139/F139,"")</f>
        <v>2.78724589915481</v>
      </c>
      <c r="I139" s="21" t="n">
        <f aca="false">IF(H139="","",TDIST(ABS(H139),G139-1,2))</f>
        <v>0.0121645035145547</v>
      </c>
    </row>
    <row r="140" customFormat="false" ht="15" hidden="false" customHeight="false" outlineLevel="0" collapsed="false">
      <c r="A140" s="7" t="s">
        <v>55</v>
      </c>
      <c r="B140" s="7" t="s">
        <v>2</v>
      </c>
      <c r="C140" s="7" t="s">
        <v>4</v>
      </c>
      <c r="D140" s="7" t="s">
        <v>39</v>
      </c>
      <c r="E140" s="19" t="n">
        <v>1.08630180356801</v>
      </c>
      <c r="F140" s="19" t="n">
        <v>0.387056547103893</v>
      </c>
      <c r="G140" s="20" t="n">
        <v>19</v>
      </c>
      <c r="H140" s="21" t="n">
        <f aca="false">IF(F140&gt;0,E140/F140,"")</f>
        <v>2.80657131805712</v>
      </c>
      <c r="I140" s="21" t="n">
        <f aca="false">IF(H140="","",TDIST(ABS(H140),G140-1,2))</f>
        <v>0.011671170312073</v>
      </c>
    </row>
    <row r="141" customFormat="false" ht="15" hidden="false" customHeight="false" outlineLevel="0" collapsed="false">
      <c r="A141" s="7" t="s">
        <v>55</v>
      </c>
      <c r="B141" s="7" t="s">
        <v>2</v>
      </c>
      <c r="C141" s="7" t="s">
        <v>5</v>
      </c>
      <c r="D141" s="7" t="s">
        <v>39</v>
      </c>
      <c r="E141" s="19" t="n">
        <v>1.25433566871241</v>
      </c>
      <c r="F141" s="19" t="n">
        <v>0.440926793639613</v>
      </c>
      <c r="G141" s="20" t="n">
        <v>19</v>
      </c>
      <c r="H141" s="21" t="n">
        <f aca="false">IF(F141&gt;0,E141/F141,"")</f>
        <v>2.84477080278688</v>
      </c>
      <c r="I141" s="21" t="n">
        <f aca="false">IF(H141="","",TDIST(ABS(H141),G141-1,2))</f>
        <v>0.0107520135500005</v>
      </c>
    </row>
    <row r="142" customFormat="false" ht="15" hidden="false" customHeight="false" outlineLevel="0" collapsed="false">
      <c r="A142" s="7" t="s">
        <v>55</v>
      </c>
      <c r="B142" s="7" t="s">
        <v>3</v>
      </c>
      <c r="C142" s="7" t="s">
        <v>4</v>
      </c>
      <c r="D142" s="7" t="s">
        <v>39</v>
      </c>
      <c r="E142" s="19" t="n">
        <v>0.729252952519137</v>
      </c>
      <c r="F142" s="19" t="n">
        <v>0.359811004533382</v>
      </c>
      <c r="G142" s="20" t="n">
        <v>19</v>
      </c>
      <c r="H142" s="21" t="n">
        <f aca="false">IF(F142&gt;0,E142/F142,"")</f>
        <v>2.02676667286722</v>
      </c>
      <c r="I142" s="21" t="n">
        <f aca="false">IF(H142="","",TDIST(ABS(H142),G142-1,2))</f>
        <v>0.0577626719221974</v>
      </c>
    </row>
    <row r="143" customFormat="false" ht="15" hidden="false" customHeight="false" outlineLevel="0" collapsed="false">
      <c r="A143" s="7" t="s">
        <v>55</v>
      </c>
      <c r="B143" s="7" t="s">
        <v>3</v>
      </c>
      <c r="C143" s="7" t="s">
        <v>5</v>
      </c>
      <c r="D143" s="7" t="s">
        <v>39</v>
      </c>
      <c r="E143" s="19" t="n">
        <v>0.790514837463947</v>
      </c>
      <c r="F143" s="19" t="n">
        <v>0.472810954938509</v>
      </c>
      <c r="G143" s="20" t="n">
        <v>19</v>
      </c>
      <c r="H143" s="21" t="n">
        <f aca="false">IF(F143&gt;0,E143/F143,"")</f>
        <v>1.67194695725009</v>
      </c>
      <c r="I143" s="21" t="n">
        <f aca="false">IF(H143="","",TDIST(ABS(H143),G143-1,2))</f>
        <v>0.111827556677522</v>
      </c>
    </row>
    <row r="144" customFormat="false" ht="15" hidden="false" customHeight="false" outlineLevel="0" collapsed="false">
      <c r="A144" s="7" t="s">
        <v>55</v>
      </c>
      <c r="B144" s="7" t="s">
        <v>2</v>
      </c>
      <c r="C144" s="7" t="s">
        <v>4</v>
      </c>
      <c r="D144" s="7" t="s">
        <v>40</v>
      </c>
      <c r="E144" s="19" t="n">
        <v>0.926381782551109</v>
      </c>
      <c r="F144" s="19" t="n">
        <v>0.392880696124696</v>
      </c>
      <c r="G144" s="20" t="n">
        <v>19</v>
      </c>
      <c r="H144" s="21" t="n">
        <f aca="false">IF(F144&gt;0,E144/F144,"")</f>
        <v>2.35792135294193</v>
      </c>
      <c r="I144" s="21" t="n">
        <f aca="false">IF(H144="","",TDIST(ABS(H144),G144-1,2))</f>
        <v>0.0298935917696218</v>
      </c>
    </row>
    <row r="145" customFormat="false" ht="15" hidden="false" customHeight="false" outlineLevel="0" collapsed="false">
      <c r="A145" s="7" t="s">
        <v>55</v>
      </c>
      <c r="B145" s="7" t="s">
        <v>2</v>
      </c>
      <c r="C145" s="7" t="s">
        <v>5</v>
      </c>
      <c r="D145" s="7" t="s">
        <v>40</v>
      </c>
      <c r="E145" s="19" t="n">
        <v>1.23422510363899</v>
      </c>
      <c r="F145" s="19" t="n">
        <v>0.486789716875302</v>
      </c>
      <c r="G145" s="20" t="n">
        <v>19</v>
      </c>
      <c r="H145" s="21" t="n">
        <f aca="false">IF(F145&gt;0,E145/F145,"")</f>
        <v>2.53543791261957</v>
      </c>
      <c r="I145" s="21" t="n">
        <f aca="false">IF(H145="","",TDIST(ABS(H145),G145-1,2))</f>
        <v>0.0207206178575813</v>
      </c>
    </row>
    <row r="146" customFormat="false" ht="15" hidden="false" customHeight="false" outlineLevel="0" collapsed="false">
      <c r="A146" s="7" t="s">
        <v>55</v>
      </c>
      <c r="B146" s="7" t="s">
        <v>3</v>
      </c>
      <c r="C146" s="7" t="s">
        <v>4</v>
      </c>
      <c r="D146" s="7" t="s">
        <v>40</v>
      </c>
      <c r="E146" s="19" t="n">
        <v>0.735476320200512</v>
      </c>
      <c r="F146" s="19" t="n">
        <v>0.494957598823187</v>
      </c>
      <c r="G146" s="20" t="n">
        <v>19</v>
      </c>
      <c r="H146" s="21" t="n">
        <f aca="false">IF(F146&gt;0,E146/F146,"")</f>
        <v>1.48593803176107</v>
      </c>
      <c r="I146" s="21" t="n">
        <f aca="false">IF(H146="","",TDIST(ABS(H146),G146-1,2))</f>
        <v>0.154600533594261</v>
      </c>
    </row>
    <row r="147" customFormat="false" ht="15" hidden="false" customHeight="false" outlineLevel="0" collapsed="false">
      <c r="A147" s="7" t="s">
        <v>55</v>
      </c>
      <c r="B147" s="7" t="s">
        <v>3</v>
      </c>
      <c r="C147" s="7" t="s">
        <v>5</v>
      </c>
      <c r="D147" s="7" t="s">
        <v>40</v>
      </c>
      <c r="E147" s="19" t="n">
        <v>1.08880589382001</v>
      </c>
      <c r="F147" s="19" t="n">
        <v>0.463767020328934</v>
      </c>
      <c r="G147" s="20" t="n">
        <v>19</v>
      </c>
      <c r="H147" s="21" t="n">
        <f aca="false">IF(F147&gt;0,E147/F147,"")</f>
        <v>2.34774325489499</v>
      </c>
      <c r="I147" s="21" t="n">
        <f aca="false">IF(H147="","",TDIST(ABS(H147),G147-1,2))</f>
        <v>0.0305205578259928</v>
      </c>
    </row>
    <row r="148" customFormat="false" ht="15" hidden="false" customHeight="false" outlineLevel="0" collapsed="false">
      <c r="A148" s="7" t="s">
        <v>55</v>
      </c>
      <c r="B148" s="7" t="s">
        <v>2</v>
      </c>
      <c r="C148" s="7" t="s">
        <v>4</v>
      </c>
      <c r="D148" s="7" t="s">
        <v>41</v>
      </c>
      <c r="E148" s="19" t="n">
        <v>0.647793518084166</v>
      </c>
      <c r="F148" s="19" t="n">
        <v>0.536538207168305</v>
      </c>
      <c r="G148" s="20" t="n">
        <v>19</v>
      </c>
      <c r="H148" s="21" t="n">
        <f aca="false">IF(F148&gt;0,E148/F148,"")</f>
        <v>1.20735766703928</v>
      </c>
      <c r="I148" s="21" t="n">
        <f aca="false">IF(H148="","",TDIST(ABS(H148),G148-1,2))</f>
        <v>0.242920878649568</v>
      </c>
    </row>
    <row r="149" customFormat="false" ht="15" hidden="false" customHeight="false" outlineLevel="0" collapsed="false">
      <c r="A149" s="7" t="s">
        <v>55</v>
      </c>
      <c r="B149" s="7" t="s">
        <v>2</v>
      </c>
      <c r="C149" s="7" t="s">
        <v>5</v>
      </c>
      <c r="D149" s="7" t="s">
        <v>41</v>
      </c>
      <c r="E149" s="19" t="n">
        <v>1.05943079099534</v>
      </c>
      <c r="F149" s="19" t="n">
        <v>0.549753121169842</v>
      </c>
      <c r="G149" s="20" t="n">
        <v>19</v>
      </c>
      <c r="H149" s="21" t="n">
        <f aca="false">IF(F149&gt;0,E149/F149,"")</f>
        <v>1.92710282161006</v>
      </c>
      <c r="I149" s="21" t="n">
        <f aca="false">IF(H149="","",TDIST(ABS(H149),G149-1,2))</f>
        <v>0.069901830180506</v>
      </c>
    </row>
    <row r="150" customFormat="false" ht="15" hidden="false" customHeight="false" outlineLevel="0" collapsed="false">
      <c r="A150" s="7" t="s">
        <v>55</v>
      </c>
      <c r="B150" s="7" t="s">
        <v>3</v>
      </c>
      <c r="C150" s="7" t="s">
        <v>4</v>
      </c>
      <c r="D150" s="7" t="s">
        <v>41</v>
      </c>
      <c r="E150" s="19" t="n">
        <v>0.406908052886598</v>
      </c>
      <c r="F150" s="19" t="n">
        <v>0.394748153292105</v>
      </c>
      <c r="G150" s="20" t="n">
        <v>19</v>
      </c>
      <c r="H150" s="21" t="n">
        <f aca="false">IF(F150&gt;0,E150/F150,"")</f>
        <v>1.03080419627827</v>
      </c>
      <c r="I150" s="21" t="n">
        <f aca="false">IF(H150="","",TDIST(ABS(H150),G150-1,2))</f>
        <v>0.316285264997001</v>
      </c>
    </row>
    <row r="151" customFormat="false" ht="15" hidden="false" customHeight="false" outlineLevel="0" collapsed="false">
      <c r="A151" s="7" t="s">
        <v>55</v>
      </c>
      <c r="B151" s="7" t="s">
        <v>3</v>
      </c>
      <c r="C151" s="7" t="s">
        <v>5</v>
      </c>
      <c r="D151" s="7" t="s">
        <v>41</v>
      </c>
      <c r="E151" s="19" t="n">
        <v>1.07163820344201</v>
      </c>
      <c r="F151" s="19" t="n">
        <v>0.558179009990983</v>
      </c>
      <c r="G151" s="20" t="n">
        <v>19</v>
      </c>
      <c r="H151" s="21" t="n">
        <f aca="false">IF(F151&gt;0,E151/F151,"")</f>
        <v>1.91988266176352</v>
      </c>
      <c r="I151" s="21" t="n">
        <f aca="false">IF(H151="","",TDIST(ABS(H151),G151-1,2))</f>
        <v>0.0708639185321491</v>
      </c>
    </row>
    <row r="152" customFormat="false" ht="15" hidden="false" customHeight="false" outlineLevel="0" collapsed="false">
      <c r="A152" s="7" t="s">
        <v>55</v>
      </c>
      <c r="B152" s="7" t="s">
        <v>2</v>
      </c>
      <c r="C152" s="7" t="s">
        <v>4</v>
      </c>
      <c r="D152" s="7" t="s">
        <v>42</v>
      </c>
      <c r="E152" s="19" t="n">
        <v>1.78876576594538</v>
      </c>
      <c r="F152" s="19" t="n">
        <v>0.478003845170253</v>
      </c>
      <c r="G152" s="20" t="n">
        <v>19</v>
      </c>
      <c r="H152" s="21" t="n">
        <f aca="false">IF(F152&gt;0,E152/F152,"")</f>
        <v>3.74215769186598</v>
      </c>
      <c r="I152" s="21" t="n">
        <f aca="false">IF(H152="","",TDIST(ABS(H152),G152-1,2))</f>
        <v>0.00149178154814901</v>
      </c>
    </row>
    <row r="153" customFormat="false" ht="15" hidden="false" customHeight="false" outlineLevel="0" collapsed="false">
      <c r="A153" s="7" t="s">
        <v>55</v>
      </c>
      <c r="B153" s="7" t="s">
        <v>2</v>
      </c>
      <c r="C153" s="7" t="s">
        <v>5</v>
      </c>
      <c r="D153" s="7" t="s">
        <v>42</v>
      </c>
      <c r="E153" s="19" t="n">
        <v>1.98006565932455</v>
      </c>
      <c r="F153" s="19" t="n">
        <v>0.733519116057534</v>
      </c>
      <c r="G153" s="20" t="n">
        <v>19</v>
      </c>
      <c r="H153" s="21" t="n">
        <f aca="false">IF(F153&gt;0,E153/F153,"")</f>
        <v>2.6994056677989</v>
      </c>
      <c r="I153" s="21" t="n">
        <f aca="false">IF(H153="","",TDIST(ABS(H153),G153-1,2))</f>
        <v>0.0146701687391722</v>
      </c>
    </row>
    <row r="154" customFormat="false" ht="15" hidden="false" customHeight="false" outlineLevel="0" collapsed="false">
      <c r="A154" s="7" t="s">
        <v>55</v>
      </c>
      <c r="B154" s="7" t="s">
        <v>3</v>
      </c>
      <c r="C154" s="7" t="s">
        <v>4</v>
      </c>
      <c r="D154" s="7" t="s">
        <v>42</v>
      </c>
      <c r="E154" s="19" t="n">
        <v>1.21103138885481</v>
      </c>
      <c r="F154" s="19" t="n">
        <v>0.58534269999599</v>
      </c>
      <c r="G154" s="20" t="n">
        <v>19</v>
      </c>
      <c r="H154" s="21" t="n">
        <f aca="false">IF(F154&gt;0,E154/F154,"")</f>
        <v>2.06892712399609</v>
      </c>
      <c r="I154" s="21" t="n">
        <f aca="false">IF(H154="","",TDIST(ABS(H154),G154-1,2))</f>
        <v>0.0532252507910224</v>
      </c>
    </row>
    <row r="155" customFormat="false" ht="15" hidden="false" customHeight="false" outlineLevel="0" collapsed="false">
      <c r="A155" s="7" t="s">
        <v>55</v>
      </c>
      <c r="B155" s="7" t="s">
        <v>3</v>
      </c>
      <c r="C155" s="7" t="s">
        <v>5</v>
      </c>
      <c r="D155" s="7" t="s">
        <v>42</v>
      </c>
      <c r="E155" s="19" t="n">
        <v>1.48712224209648</v>
      </c>
      <c r="F155" s="19" t="n">
        <v>0.714171925538343</v>
      </c>
      <c r="G155" s="20" t="n">
        <v>19</v>
      </c>
      <c r="H155" s="21" t="n">
        <f aca="false">IF(F155&gt;0,E155/F155,"")</f>
        <v>2.08230285862258</v>
      </c>
      <c r="I155" s="21" t="n">
        <f aca="false">IF(H155="","",TDIST(ABS(H155),G155-1,2))</f>
        <v>0.0518546301516093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2026-10-20T12:54:14Z</dcterms:created>
  <dc:creator>openpyxl</dc:creator>
  <dc:description/>
  <dc:language>en-US</dc:language>
  <cp:lastModifiedBy/>
  <dcterms:modified xsi:type="dcterms:W3CDTF">2026-10-20T12:54:14Z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