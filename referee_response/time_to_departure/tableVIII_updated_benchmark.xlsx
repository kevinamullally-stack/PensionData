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VIII" sheetId="1" state="visible" r:id="rId3"/>
    <sheet name="Estima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<sst xmlns="http://schemas.openxmlformats.org/spreadsheetml/2006/main" count="352" uniqueCount="45">
  <si>
    <t xml:space="preserve">Table VIII: Exogenous Shock - Conflicted CIOs During the Loglisci Case, Peer- and Benchmark-Adjusted Returns</t>
  </si>
  <si>
    <t xml:space="preserve">This table reports results of tests that use a natural shock to CIOs' susceptibility of being conflicted. Specifically, we compare the impact of Conflicted CIO during the period of March 2009 to March 2014 when the case surrounding former NY Common Fund CIO David Loglisci was still unsettled. Columns (1)-(3) are the published specifications; columns (4) and (5) replace year fixed effects with fiscal-year-end date fixed effects. Panel A uses Peer-Adjusted Return; its columns (1)-(3) reproduce the published Table VIII. Panel B uses Benchmark-Adjusted Return computed as the plan's return minus the updated policy benchmark (the benchmark return reported in the plan's financial report or, where none is stated, an inferred value graded A or B). Shock Period is an indicator variable equal to 1 if a plan fiscal year ends between March 2009 and March 2014 and 0 otherwise; it is a function of the fiscal-year-end date, so it is absorbed in columns (4) and (5), and in the benchmark-adjusted sample it is also absorbed by the year fixed effects in columns (1) and (3). The other independent variables are as defined in Table I. The standard errors are double clustered by plan and year. Coefficients marked with ***, **, and * are significant at the 1%, 5%, and 10% level, respectively. The last rows of each panel report t-statistics and the F-test p-value with standard errors clustered by plan only: in Panel B, column (1), the two-way clustered variance of Conflicted + Interaction is not positive definite, and the standard adjustment for that case yields an artificially small standard error (p = 0.006); clustered by plan, p = 0.41.</t>
  </si>
  <si>
    <t xml:space="preserve">(1)</t>
  </si>
  <si>
    <t xml:space="preserve">(2)</t>
  </si>
  <si>
    <t xml:space="preserve">(3)</t>
  </si>
  <si>
    <t xml:space="preserve">(4)</t>
  </si>
  <si>
    <t xml:space="preserve">(5)</t>
  </si>
  <si>
    <t xml:space="preserve">Panel A. Peer-Adjusted Return</t>
  </si>
  <si>
    <t xml:space="preserve">Peer-adj. Ret (t)</t>
  </si>
  <si>
    <t xml:space="preserve">Conflicted CIO (0/1)</t>
  </si>
  <si>
    <t xml:space="preserve">Conflicted x Shock Period (0/1)</t>
  </si>
  <si>
    <t xml:space="preserve">Shock Period (0/1)</t>
  </si>
  <si>
    <t xml:space="preserve">absorbed</t>
  </si>
  <si>
    <t xml:space="preserve">Controls</t>
  </si>
  <si>
    <t xml:space="preserve">YES</t>
  </si>
  <si>
    <t xml:space="preserve">Plan FE</t>
  </si>
  <si>
    <t xml:space="preserve">NO</t>
  </si>
  <si>
    <t xml:space="preserve">Year FE</t>
  </si>
  <si>
    <t xml:space="preserve">Fiscal-Year-End FE</t>
  </si>
  <si>
    <t xml:space="preserve">Observations</t>
  </si>
  <si>
    <t xml:space="preserve">Adj. R-squared</t>
  </si>
  <si>
    <t xml:space="preserve">Conflicted + Interaction</t>
  </si>
  <si>
    <t xml:space="preserve">F-Test of Sum ≠ 0 (p-value)</t>
  </si>
  <si>
    <t xml:space="preserve">t, Conflicted CIO (clustered by plan)</t>
  </si>
  <si>
    <t xml:space="preserve">t, Conflicted x Shock Period (clustered by plan)</t>
  </si>
  <si>
    <t xml:space="preserve">p, F-Test of Sum ≠ 0 (clustered by plan)</t>
  </si>
  <si>
    <t xml:space="preserve">Panel B. Benchmark-Adjusted Return (updated benchmark)</t>
  </si>
  <si>
    <t xml:space="preserve">Bench-adj. Ret (t)</t>
  </si>
  <si>
    <t xml:space="preserve">Coefficients and observations match reghdfe; two-way clustered t-statistics and p-values can differ slightly (Panel A reproduces the published t-statistics to within 0.05). Use the attached Stata code for the exact figures.</t>
  </si>
  <si>
    <t xml:space="preserve">Estimates behind the table. Blue = regression output (coefficient, SE, minimum cluster count). t and p are formulas; p uses the t distribution with (clusters - 1) df.</t>
  </si>
  <si>
    <t xml:space="preserve">Panel</t>
  </si>
  <si>
    <t xml:space="preserve">Dependent variable</t>
  </si>
  <si>
    <t xml:space="preserve">Column</t>
  </si>
  <si>
    <t xml:space="preserve">Term</t>
  </si>
  <si>
    <t xml:space="preserve">Coefficient</t>
  </si>
  <si>
    <t xml:space="preserve">SE</t>
  </si>
  <si>
    <t xml:space="preserve">Clusters (min)</t>
  </si>
  <si>
    <t xml:space="preserve">t</t>
  </si>
  <si>
    <t xml:space="preserve">p</t>
  </si>
  <si>
    <t xml:space="preserve">A</t>
  </si>
  <si>
    <t xml:space="preserve">peer_adj_ret100</t>
  </si>
  <si>
    <t xml:space="preserve">A (plan-clustered)</t>
  </si>
  <si>
    <t xml:space="preserve">B</t>
  </si>
  <si>
    <t xml:space="preserve">b_AB</t>
  </si>
  <si>
    <t xml:space="preserve">B (plan-clustered)</t>
  </si>
</sst>
</file>

<file path=xl/styles.xml><?xml version="1.0" encoding="utf-8"?>
<styleSheet xmlns="http://schemas.openxmlformats.org/spreadsheetml/2006/main">
  <numFmts count="6">
    <numFmt numFmtId="164" formatCode="General"/>
    <numFmt numFmtId="165" formatCode="@"/>
    <numFmt numFmtId="166" formatCode="#,##0"/>
    <numFmt numFmtId="167" formatCode="0.000"/>
    <numFmt numFmtId="168" formatCode="0.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7" fontId="6"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6" min="2" style="0" width="14"/>
  </cols>
  <sheetData>
    <row r="1" customFormat="false" ht="15" hidden="false" customHeight="false" outlineLevel="0" collapsed="false">
      <c r="A1" s="1" t="s">
        <v>0</v>
      </c>
    </row>
    <row r="2" customFormat="false" ht="223.5" hidden="false" customHeight="true" outlineLevel="0" collapsed="false">
      <c r="A2" s="2" t="s">
        <v>1</v>
      </c>
      <c r="B2" s="2"/>
      <c r="C2" s="2"/>
      <c r="D2" s="2"/>
      <c r="E2" s="2"/>
      <c r="F2" s="2"/>
    </row>
    <row r="4" customFormat="false" ht="15" hidden="false" customHeight="false" outlineLevel="0" collapsed="false">
      <c r="A4" s="3"/>
      <c r="B4" s="3" t="s">
        <v>2</v>
      </c>
      <c r="C4" s="3" t="s">
        <v>3</v>
      </c>
      <c r="D4" s="3" t="s">
        <v>4</v>
      </c>
      <c r="E4" s="3" t="s">
        <v>5</v>
      </c>
      <c r="F4" s="3" t="s">
        <v>6</v>
      </c>
    </row>
    <row r="5" customFormat="false" ht="15" hidden="false" customHeight="true" outlineLevel="0" collapsed="false">
      <c r="A5" s="1" t="s">
        <v>7</v>
      </c>
      <c r="B5" s="4" t="s">
        <v>8</v>
      </c>
      <c r="C5" s="4"/>
      <c r="D5" s="4"/>
      <c r="E5" s="4"/>
      <c r="F5" s="4"/>
    </row>
    <row r="6" customFormat="false" ht="15" hidden="false" customHeight="false" outlineLevel="0" collapsed="false">
      <c r="A6" s="5" t="s">
        <v>9</v>
      </c>
      <c r="B6" s="6" t="str">
        <f aca="false">IF(Estimates!I4="","",TEXT(Estimates!E4,"0.000")&amp;IF(Estimates!I4&lt;0.01,"***",IF(Estimates!I4&lt;0.05,"**",IF(Estimates!I4&lt;0.1,"*",""))))</f>
        <v>-0.913***</v>
      </c>
      <c r="C6" s="6" t="str">
        <f aca="false">IF(Estimates!I5="","",TEXT(Estimates!E5,"0.000")&amp;IF(Estimates!I5&lt;0.01,"***",IF(Estimates!I5&lt;0.05,"**",IF(Estimates!I5&lt;0.1,"*",""))))</f>
        <v>-0.968***</v>
      </c>
      <c r="D6" s="6" t="str">
        <f aca="false">IF(Estimates!I6="","",TEXT(Estimates!E6,"0.000")&amp;IF(Estimates!I6&lt;0.01,"***",IF(Estimates!I6&lt;0.05,"**",IF(Estimates!I6&lt;0.1,"*",""))))</f>
        <v>-1.010***</v>
      </c>
      <c r="E6" s="6" t="str">
        <f aca="false">IF(Estimates!I7="","",TEXT(Estimates!E7,"0.000")&amp;IF(Estimates!I7&lt;0.01,"***",IF(Estimates!I7&lt;0.05,"**",IF(Estimates!I7&lt;0.1,"*",""))))</f>
        <v>-0.802***</v>
      </c>
      <c r="F6" s="6" t="str">
        <f aca="false">IF(Estimates!I8="","",TEXT(Estimates!E8,"0.000")&amp;IF(Estimates!I8&lt;0.01,"***",IF(Estimates!I8&lt;0.05,"**",IF(Estimates!I8&lt;0.1,"*",""))))</f>
        <v>-1.006***</v>
      </c>
    </row>
    <row r="7" customFormat="false" ht="15" hidden="false" customHeight="false" outlineLevel="0" collapsed="false">
      <c r="B7" s="6" t="str">
        <f aca="false">IF(Estimates!H4="","","("&amp;TEXT(Estimates!H4,"0.00")&amp;")")</f>
        <v>(-4.34)</v>
      </c>
      <c r="C7" s="6" t="str">
        <f aca="false">IF(Estimates!H5="","","("&amp;TEXT(Estimates!H5,"0.00")&amp;")")</f>
        <v>(-3.10)</v>
      </c>
      <c r="D7" s="6" t="str">
        <f aca="false">IF(Estimates!H6="","","("&amp;TEXT(Estimates!H6,"0.00")&amp;")")</f>
        <v>(-3.14)</v>
      </c>
      <c r="E7" s="6" t="str">
        <f aca="false">IF(Estimates!H7="","","("&amp;TEXT(Estimates!H7,"0.00")&amp;")")</f>
        <v>(-3.40)</v>
      </c>
      <c r="F7" s="6" t="str">
        <f aca="false">IF(Estimates!H8="","","("&amp;TEXT(Estimates!H8,"0.00")&amp;")")</f>
        <v>(-2.99)</v>
      </c>
    </row>
    <row r="8" customFormat="false" ht="15" hidden="false" customHeight="false" outlineLevel="0" collapsed="false">
      <c r="A8" s="5" t="s">
        <v>10</v>
      </c>
      <c r="B8" s="6" t="str">
        <f aca="false">IF(Estimates!I9="","",TEXT(Estimates!E9,"0.000")&amp;IF(Estimates!I9&lt;0.01,"***",IF(Estimates!I9&lt;0.05,"**",IF(Estimates!I9&lt;0.1,"*",""))))</f>
        <v>1.009**</v>
      </c>
      <c r="C8" s="6" t="str">
        <f aca="false">IF(Estimates!I10="","",TEXT(Estimates!E10,"0.000")&amp;IF(Estimates!I10&lt;0.01,"***",IF(Estimates!I10&lt;0.05,"**",IF(Estimates!I10&lt;0.1,"*",""))))</f>
        <v>0.891*</v>
      </c>
      <c r="D8" s="6" t="str">
        <f aca="false">IF(Estimates!I11="","",TEXT(Estimates!E11,"0.000")&amp;IF(Estimates!I11&lt;0.01,"***",IF(Estimates!I11&lt;0.05,"**",IF(Estimates!I11&lt;0.1,"*",""))))</f>
        <v>0.908*</v>
      </c>
      <c r="E8" s="6" t="str">
        <f aca="false">IF(Estimates!I12="","",TEXT(Estimates!E12,"0.000")&amp;IF(Estimates!I12&lt;0.01,"***",IF(Estimates!I12&lt;0.05,"**",IF(Estimates!I12&lt;0.1,"*",""))))</f>
        <v>0.915**</v>
      </c>
      <c r="F8" s="6" t="str">
        <f aca="false">IF(Estimates!I13="","",TEXT(Estimates!E13,"0.000")&amp;IF(Estimates!I13&lt;0.01,"***",IF(Estimates!I13&lt;0.05,"**",IF(Estimates!I13&lt;0.1,"*",""))))</f>
        <v>0.872*</v>
      </c>
    </row>
    <row r="9" customFormat="false" ht="15" hidden="false" customHeight="false" outlineLevel="0" collapsed="false">
      <c r="B9" s="6" t="str">
        <f aca="false">IF(Estimates!H9="","","("&amp;TEXT(Estimates!H9,"0.00")&amp;")")</f>
        <v>(2.72)</v>
      </c>
      <c r="C9" s="6" t="str">
        <f aca="false">IF(Estimates!H10="","","("&amp;TEXT(Estimates!H10,"0.00")&amp;")")</f>
        <v>(2.00)</v>
      </c>
      <c r="D9" s="6" t="str">
        <f aca="false">IF(Estimates!H11="","","("&amp;TEXT(Estimates!H11,"0.00")&amp;")")</f>
        <v>(2.04)</v>
      </c>
      <c r="E9" s="6" t="str">
        <f aca="false">IF(Estimates!H12="","","("&amp;TEXT(Estimates!H12,"0.00")&amp;")")</f>
        <v>(2.23)</v>
      </c>
      <c r="F9" s="6" t="str">
        <f aca="false">IF(Estimates!H13="","","("&amp;TEXT(Estimates!H13,"0.00")&amp;")")</f>
        <v>(1.77)</v>
      </c>
    </row>
    <row r="10" customFormat="false" ht="15" hidden="false" customHeight="false" outlineLevel="0" collapsed="false">
      <c r="A10" s="5" t="s">
        <v>11</v>
      </c>
      <c r="B10" s="6" t="str">
        <f aca="false">IF(Estimates!I14="","",TEXT(Estimates!E14,"0.000")&amp;IF(Estimates!I14&lt;0.01,"***",IF(Estimates!I14&lt;0.05,"**",IF(Estimates!I14&lt;0.1,"*",""))))</f>
        <v>-0.077</v>
      </c>
      <c r="C10" s="6" t="str">
        <f aca="false">IF(Estimates!I15="","",TEXT(Estimates!E15,"0.000")&amp;IF(Estimates!I15&lt;0.01,"***",IF(Estimates!I15&lt;0.05,"**",IF(Estimates!I15&lt;0.1,"*",""))))</f>
        <v>-0.826***</v>
      </c>
      <c r="D10" s="6" t="str">
        <f aca="false">IF(Estimates!I16="","",TEXT(Estimates!E16,"0.000")&amp;IF(Estimates!I16&lt;0.01,"***",IF(Estimates!I16&lt;0.05,"**",IF(Estimates!I16&lt;0.1,"*",""))))</f>
        <v>-0.129</v>
      </c>
      <c r="E10" s="7" t="s">
        <v>12</v>
      </c>
      <c r="F10" s="7" t="s">
        <v>12</v>
      </c>
    </row>
    <row r="11" customFormat="false" ht="15" hidden="false" customHeight="false" outlineLevel="0" collapsed="false">
      <c r="B11" s="6" t="str">
        <f aca="false">IF(Estimates!H14="","","("&amp;TEXT(Estimates!H14,"0.00")&amp;")")</f>
        <v>(-0.49)</v>
      </c>
      <c r="C11" s="6" t="str">
        <f aca="false">IF(Estimates!H15="","","("&amp;TEXT(Estimates!H15,"0.00")&amp;")")</f>
        <v>(-3.45)</v>
      </c>
      <c r="D11" s="6" t="str">
        <f aca="false">IF(Estimates!H16="","","("&amp;TEXT(Estimates!H16,"0.00")&amp;")")</f>
        <v>(-0.61)</v>
      </c>
    </row>
    <row r="13" customFormat="false" ht="15" hidden="false" customHeight="false" outlineLevel="0" collapsed="false">
      <c r="A13" s="5" t="s">
        <v>13</v>
      </c>
      <c r="B13" s="8" t="s">
        <v>14</v>
      </c>
      <c r="C13" s="8" t="s">
        <v>14</v>
      </c>
      <c r="D13" s="8" t="s">
        <v>14</v>
      </c>
      <c r="E13" s="8" t="s">
        <v>14</v>
      </c>
      <c r="F13" s="8" t="s">
        <v>14</v>
      </c>
    </row>
    <row r="14" customFormat="false" ht="15" hidden="false" customHeight="false" outlineLevel="0" collapsed="false">
      <c r="A14" s="5" t="s">
        <v>15</v>
      </c>
      <c r="B14" s="8" t="s">
        <v>16</v>
      </c>
      <c r="C14" s="8" t="s">
        <v>14</v>
      </c>
      <c r="D14" s="8" t="s">
        <v>14</v>
      </c>
      <c r="E14" s="8" t="s">
        <v>16</v>
      </c>
      <c r="F14" s="8" t="s">
        <v>14</v>
      </c>
    </row>
    <row r="15" customFormat="false" ht="15" hidden="false" customHeight="false" outlineLevel="0" collapsed="false">
      <c r="A15" s="5" t="s">
        <v>17</v>
      </c>
      <c r="B15" s="8" t="s">
        <v>14</v>
      </c>
      <c r="C15" s="8" t="s">
        <v>16</v>
      </c>
      <c r="D15" s="8" t="s">
        <v>14</v>
      </c>
      <c r="E15" s="8" t="s">
        <v>16</v>
      </c>
      <c r="F15" s="8" t="s">
        <v>16</v>
      </c>
    </row>
    <row r="16" customFormat="false" ht="15" hidden="false" customHeight="false" outlineLevel="0" collapsed="false">
      <c r="A16" s="5" t="s">
        <v>18</v>
      </c>
      <c r="B16" s="8" t="s">
        <v>16</v>
      </c>
      <c r="C16" s="8" t="s">
        <v>16</v>
      </c>
      <c r="D16" s="8" t="s">
        <v>16</v>
      </c>
      <c r="E16" s="8" t="s">
        <v>14</v>
      </c>
      <c r="F16" s="8" t="s">
        <v>14</v>
      </c>
    </row>
    <row r="17" customFormat="false" ht="15" hidden="false" customHeight="false" outlineLevel="0" collapsed="false">
      <c r="A17" s="5" t="s">
        <v>19</v>
      </c>
      <c r="B17" s="9" t="n">
        <v>1566</v>
      </c>
      <c r="C17" s="9" t="n">
        <v>1565</v>
      </c>
      <c r="D17" s="9" t="n">
        <v>1565</v>
      </c>
      <c r="E17" s="9" t="n">
        <v>1561</v>
      </c>
      <c r="F17" s="9" t="n">
        <v>1560</v>
      </c>
    </row>
    <row r="18" customFormat="false" ht="15" hidden="false" customHeight="false" outlineLevel="0" collapsed="false">
      <c r="A18" s="5" t="s">
        <v>20</v>
      </c>
      <c r="B18" s="10" t="n">
        <v>0.064297917698964</v>
      </c>
      <c r="C18" s="10" t="n">
        <v>0.095559801002565</v>
      </c>
      <c r="D18" s="10" t="n">
        <v>0.0899255405421779</v>
      </c>
      <c r="E18" s="10" t="n">
        <v>0.0710154695589269</v>
      </c>
      <c r="F18" s="10" t="n">
        <v>0.0808862608592426</v>
      </c>
    </row>
    <row r="19" customFormat="false" ht="15" hidden="false" customHeight="false" outlineLevel="0" collapsed="false">
      <c r="A19" s="5" t="s">
        <v>21</v>
      </c>
      <c r="B19" s="10" t="n">
        <f aca="false">Estimates!E17</f>
        <v>0.09605052977366</v>
      </c>
      <c r="C19" s="10" t="n">
        <f aca="false">Estimates!E18</f>
        <v>-0.077815597730114</v>
      </c>
      <c r="D19" s="10" t="n">
        <f aca="false">Estimates!E19</f>
        <v>-0.101454221171156</v>
      </c>
      <c r="E19" s="10" t="n">
        <f aca="false">Estimates!E20</f>
        <v>0.113129495260769</v>
      </c>
      <c r="F19" s="10" t="n">
        <f aca="false">Estimates!E21</f>
        <v>-0.133792454536665</v>
      </c>
    </row>
    <row r="20" customFormat="false" ht="15" hidden="false" customHeight="false" outlineLevel="0" collapsed="false">
      <c r="A20" s="5" t="s">
        <v>22</v>
      </c>
      <c r="B20" s="10" t="n">
        <f aca="false">Estimates!I17</f>
        <v>0.665198327638914</v>
      </c>
      <c r="C20" s="10" t="n">
        <f aca="false">Estimates!I18</f>
        <v>0.78283134736938</v>
      </c>
      <c r="D20" s="10" t="n">
        <f aca="false">Estimates!I19</f>
        <v>0.723731190536467</v>
      </c>
      <c r="E20" s="10" t="n">
        <f aca="false">Estimates!I20</f>
        <v>0.662255645588364</v>
      </c>
      <c r="F20" s="10" t="n">
        <f aca="false">Estimates!I21</f>
        <v>0.678498775596817</v>
      </c>
    </row>
    <row r="21" customFormat="false" ht="15" hidden="false" customHeight="false" outlineLevel="0" collapsed="false">
      <c r="A21" s="11" t="s">
        <v>23</v>
      </c>
      <c r="B21" s="12" t="n">
        <f aca="false">Estimates!H22</f>
        <v>-4.70192461882116</v>
      </c>
      <c r="C21" s="12" t="n">
        <f aca="false">Estimates!H23</f>
        <v>-4.1447049641162</v>
      </c>
      <c r="D21" s="12" t="n">
        <f aca="false">Estimates!H24</f>
        <v>-4.22277853296041</v>
      </c>
      <c r="E21" s="12" t="n">
        <f aca="false">Estimates!H25</f>
        <v>-3.98406269825754</v>
      </c>
      <c r="F21" s="12" t="n">
        <f aca="false">Estimates!H26</f>
        <v>-4.13263636269235</v>
      </c>
    </row>
    <row r="22" customFormat="false" ht="15" hidden="false" customHeight="false" outlineLevel="0" collapsed="false">
      <c r="A22" s="11" t="s">
        <v>24</v>
      </c>
      <c r="B22" s="12" t="n">
        <f aca="false">Estimates!H27</f>
        <v>3.27477575774475</v>
      </c>
      <c r="C22" s="12" t="n">
        <f aca="false">Estimates!H28</f>
        <v>2.61848759116094</v>
      </c>
      <c r="D22" s="12" t="n">
        <f aca="false">Estimates!H29</f>
        <v>2.56249749462949</v>
      </c>
      <c r="E22" s="12" t="n">
        <f aca="false">Estimates!H30</f>
        <v>2.94912375648042</v>
      </c>
      <c r="F22" s="12" t="n">
        <f aca="false">Estimates!H31</f>
        <v>2.37229600399593</v>
      </c>
    </row>
    <row r="23" customFormat="false" ht="15" hidden="false" customHeight="false" outlineLevel="0" collapsed="false">
      <c r="A23" s="13" t="s">
        <v>25</v>
      </c>
      <c r="B23" s="14" t="n">
        <f aca="false">Estimates!I32</f>
        <v>0.655796966836816</v>
      </c>
      <c r="C23" s="14" t="n">
        <f aca="false">Estimates!I33</f>
        <v>0.789419301201423</v>
      </c>
      <c r="D23" s="14" t="n">
        <f aca="false">Estimates!I34</f>
        <v>0.733283460025388</v>
      </c>
      <c r="E23" s="14" t="n">
        <f aca="false">Estimates!I35</f>
        <v>0.6013946236593</v>
      </c>
      <c r="F23" s="14" t="n">
        <f aca="false">Estimates!I36</f>
        <v>0.668113666422857</v>
      </c>
    </row>
    <row r="25" customFormat="false" ht="15" hidden="false" customHeight="true" outlineLevel="0" collapsed="false">
      <c r="A25" s="1" t="s">
        <v>26</v>
      </c>
      <c r="B25" s="4" t="s">
        <v>27</v>
      </c>
      <c r="C25" s="4"/>
      <c r="D25" s="4"/>
      <c r="E25" s="4"/>
      <c r="F25" s="4"/>
    </row>
    <row r="26" customFormat="false" ht="15" hidden="false" customHeight="false" outlineLevel="0" collapsed="false">
      <c r="A26" s="5" t="s">
        <v>9</v>
      </c>
      <c r="B26" s="6" t="str">
        <f aca="false">IF(Estimates!I37="","",TEXT(Estimates!E37,"0.000")&amp;IF(Estimates!I37&lt;0.01,"***",IF(Estimates!I37&lt;0.05,"**",IF(Estimates!I37&lt;0.1,"*",""))))</f>
        <v>-0.563***</v>
      </c>
      <c r="C26" s="6" t="str">
        <f aca="false">IF(Estimates!I38="","",TEXT(Estimates!E38,"0.000")&amp;IF(Estimates!I38&lt;0.01,"***",IF(Estimates!I38&lt;0.05,"**",IF(Estimates!I38&lt;0.1,"*",""))))</f>
        <v>-0.363*</v>
      </c>
      <c r="D26" s="6" t="str">
        <f aca="false">IF(Estimates!I39="","",TEXT(Estimates!E39,"0.000")&amp;IF(Estimates!I39&lt;0.01,"***",IF(Estimates!I39&lt;0.05,"**",IF(Estimates!I39&lt;0.1,"*",""))))</f>
        <v>-0.407*</v>
      </c>
      <c r="E26" s="6" t="str">
        <f aca="false">IF(Estimates!I40="","",TEXT(Estimates!E40,"0.000")&amp;IF(Estimates!I40&lt;0.01,"***",IF(Estimates!I40&lt;0.05,"**",IF(Estimates!I40&lt;0.1,"*",""))))</f>
        <v>-0.616***</v>
      </c>
      <c r="F26" s="6" t="str">
        <f aca="false">IF(Estimates!I41="","",TEXT(Estimates!E41,"0.000")&amp;IF(Estimates!I41&lt;0.01,"***",IF(Estimates!I41&lt;0.05,"**",IF(Estimates!I41&lt;0.1,"*",""))))</f>
        <v>-0.475**</v>
      </c>
    </row>
    <row r="27" customFormat="false" ht="15" hidden="false" customHeight="false" outlineLevel="0" collapsed="false">
      <c r="B27" s="6" t="str">
        <f aca="false">IF(Estimates!H37="","","("&amp;TEXT(Estimates!H37,"0.00")&amp;")")</f>
        <v>(-3.13)</v>
      </c>
      <c r="C27" s="6" t="str">
        <f aca="false">IF(Estimates!H38="","","("&amp;TEXT(Estimates!H38,"0.00")&amp;")")</f>
        <v>(-1.96)</v>
      </c>
      <c r="D27" s="6" t="str">
        <f aca="false">IF(Estimates!H39="","","("&amp;TEXT(Estimates!H39,"0.00")&amp;")")</f>
        <v>(-1.92)</v>
      </c>
      <c r="E27" s="6" t="str">
        <f aca="false">IF(Estimates!H40="","","("&amp;TEXT(Estimates!H40,"0.00")&amp;")")</f>
        <v>(-3.63)</v>
      </c>
      <c r="F27" s="6" t="str">
        <f aca="false">IF(Estimates!H41="","","("&amp;TEXT(Estimates!H41,"0.00")&amp;")")</f>
        <v>(-2.34)</v>
      </c>
    </row>
    <row r="28" customFormat="false" ht="15" hidden="false" customHeight="false" outlineLevel="0" collapsed="false">
      <c r="A28" s="5" t="s">
        <v>10</v>
      </c>
      <c r="B28" s="6" t="str">
        <f aca="false">IF(Estimates!I42="","",TEXT(Estimates!E42,"0.000")&amp;IF(Estimates!I42&lt;0.01,"***",IF(Estimates!I42&lt;0.05,"**",IF(Estimates!I42&lt;0.1,"*",""))))</f>
        <v>0.425**</v>
      </c>
      <c r="C28" s="6" t="str">
        <f aca="false">IF(Estimates!I43="","",TEXT(Estimates!E43,"0.000")&amp;IF(Estimates!I43&lt;0.01,"***",IF(Estimates!I43&lt;0.05,"**",IF(Estimates!I43&lt;0.1,"*",""))))</f>
        <v>0.392</v>
      </c>
      <c r="D28" s="6" t="str">
        <f aca="false">IF(Estimates!I44="","",TEXT(Estimates!E44,"0.000")&amp;IF(Estimates!I44&lt;0.01,"***",IF(Estimates!I44&lt;0.05,"**",IF(Estimates!I44&lt;0.1,"*",""))))</f>
        <v>0.315</v>
      </c>
      <c r="E28" s="6" t="str">
        <f aca="false">IF(Estimates!I45="","",TEXT(Estimates!E45,"0.000")&amp;IF(Estimates!I45&lt;0.01,"***",IF(Estimates!I45&lt;0.05,"**",IF(Estimates!I45&lt;0.1,"*",""))))</f>
        <v>0.611***</v>
      </c>
      <c r="F28" s="6" t="str">
        <f aca="false">IF(Estimates!I46="","",TEXT(Estimates!E46,"0.000")&amp;IF(Estimates!I46&lt;0.01,"***",IF(Estimates!I46&lt;0.05,"**",IF(Estimates!I46&lt;0.1,"*",""))))</f>
        <v>0.522</v>
      </c>
    </row>
    <row r="29" customFormat="false" ht="15" hidden="false" customHeight="false" outlineLevel="0" collapsed="false">
      <c r="B29" s="6" t="str">
        <f aca="false">IF(Estimates!H42="","","("&amp;TEXT(Estimates!H42,"0.00")&amp;")")</f>
        <v>(2.69)</v>
      </c>
      <c r="C29" s="6" t="str">
        <f aca="false">IF(Estimates!H43="","","("&amp;TEXT(Estimates!H43,"0.00")&amp;")")</f>
        <v>(1.10)</v>
      </c>
      <c r="D29" s="6" t="str">
        <f aca="false">IF(Estimates!H44="","","("&amp;TEXT(Estimates!H44,"0.00")&amp;")")</f>
        <v>(1.02)</v>
      </c>
      <c r="E29" s="6" t="str">
        <f aca="false">IF(Estimates!H45="","","("&amp;TEXT(Estimates!H45,"0.00")&amp;")")</f>
        <v>(3.61)</v>
      </c>
      <c r="F29" s="6" t="str">
        <f aca="false">IF(Estimates!H46="","","("&amp;TEXT(Estimates!H46,"0.00")&amp;")")</f>
        <v>(1.72)</v>
      </c>
    </row>
    <row r="30" customFormat="false" ht="15" hidden="false" customHeight="false" outlineLevel="0" collapsed="false">
      <c r="A30" s="5" t="s">
        <v>11</v>
      </c>
      <c r="B30" s="7" t="s">
        <v>12</v>
      </c>
      <c r="C30" s="6" t="str">
        <f aca="false">IF(Estimates!I47="","",TEXT(Estimates!E47,"0.000")&amp;IF(Estimates!I47&lt;0.01,"***",IF(Estimates!I47&lt;0.05,"**",IF(Estimates!I47&lt;0.1,"*",""))))</f>
        <v>-0.564</v>
      </c>
      <c r="D30" s="7" t="s">
        <v>12</v>
      </c>
      <c r="E30" s="7" t="s">
        <v>12</v>
      </c>
      <c r="F30" s="7" t="s">
        <v>12</v>
      </c>
    </row>
    <row r="31" customFormat="false" ht="15" hidden="false" customHeight="false" outlineLevel="0" collapsed="false">
      <c r="C31" s="6" t="str">
        <f aca="false">IF(Estimates!H47="","","("&amp;TEXT(Estimates!H47,"0.00")&amp;")")</f>
        <v>(-1.17)</v>
      </c>
    </row>
    <row r="33" customFormat="false" ht="15" hidden="false" customHeight="false" outlineLevel="0" collapsed="false">
      <c r="A33" s="5" t="s">
        <v>13</v>
      </c>
      <c r="B33" s="8" t="s">
        <v>14</v>
      </c>
      <c r="C33" s="8" t="s">
        <v>14</v>
      </c>
      <c r="D33" s="8" t="s">
        <v>14</v>
      </c>
      <c r="E33" s="8" t="s">
        <v>14</v>
      </c>
      <c r="F33" s="8" t="s">
        <v>14</v>
      </c>
    </row>
    <row r="34" customFormat="false" ht="15" hidden="false" customHeight="false" outlineLevel="0" collapsed="false">
      <c r="A34" s="5" t="s">
        <v>15</v>
      </c>
      <c r="B34" s="8" t="s">
        <v>16</v>
      </c>
      <c r="C34" s="8" t="s">
        <v>14</v>
      </c>
      <c r="D34" s="8" t="s">
        <v>14</v>
      </c>
      <c r="E34" s="8" t="s">
        <v>16</v>
      </c>
      <c r="F34" s="8" t="s">
        <v>14</v>
      </c>
    </row>
    <row r="35" customFormat="false" ht="15" hidden="false" customHeight="false" outlineLevel="0" collapsed="false">
      <c r="A35" s="5" t="s">
        <v>17</v>
      </c>
      <c r="B35" s="8" t="s">
        <v>14</v>
      </c>
      <c r="C35" s="8" t="s">
        <v>16</v>
      </c>
      <c r="D35" s="8" t="s">
        <v>14</v>
      </c>
      <c r="E35" s="8" t="s">
        <v>16</v>
      </c>
      <c r="F35" s="8" t="s">
        <v>16</v>
      </c>
    </row>
    <row r="36" customFormat="false" ht="15" hidden="false" customHeight="false" outlineLevel="0" collapsed="false">
      <c r="A36" s="5" t="s">
        <v>18</v>
      </c>
      <c r="B36" s="8" t="s">
        <v>16</v>
      </c>
      <c r="C36" s="8" t="s">
        <v>16</v>
      </c>
      <c r="D36" s="8" t="s">
        <v>16</v>
      </c>
      <c r="E36" s="8" t="s">
        <v>14</v>
      </c>
      <c r="F36" s="8" t="s">
        <v>14</v>
      </c>
    </row>
    <row r="37" customFormat="false" ht="15" hidden="false" customHeight="false" outlineLevel="0" collapsed="false">
      <c r="A37" s="5" t="s">
        <v>19</v>
      </c>
      <c r="B37" s="9" t="n">
        <v>1395</v>
      </c>
      <c r="C37" s="9" t="n">
        <v>1394</v>
      </c>
      <c r="D37" s="9" t="n">
        <v>1394</v>
      </c>
      <c r="E37" s="9" t="n">
        <v>1388</v>
      </c>
      <c r="F37" s="9" t="n">
        <v>1387</v>
      </c>
    </row>
    <row r="38" customFormat="false" ht="15" hidden="false" customHeight="false" outlineLevel="0" collapsed="false">
      <c r="A38" s="5" t="s">
        <v>20</v>
      </c>
      <c r="B38" s="10" t="n">
        <v>0.136739892666722</v>
      </c>
      <c r="C38" s="10" t="n">
        <v>0.0345251402050512</v>
      </c>
      <c r="D38" s="10" t="n">
        <v>0.133870425042058</v>
      </c>
      <c r="E38" s="10" t="n">
        <v>0.172337333463841</v>
      </c>
      <c r="F38" s="10" t="n">
        <v>0.169219224301025</v>
      </c>
    </row>
    <row r="39" customFormat="false" ht="15" hidden="false" customHeight="false" outlineLevel="0" collapsed="false">
      <c r="A39" s="5" t="s">
        <v>21</v>
      </c>
      <c r="B39" s="10" t="n">
        <f aca="false">Estimates!E48</f>
        <v>-0.13828392096982</v>
      </c>
      <c r="C39" s="10" t="n">
        <f aca="false">Estimates!E49</f>
        <v>0.029359120737159</v>
      </c>
      <c r="D39" s="10" t="n">
        <f aca="false">Estimates!E50</f>
        <v>-0.0923511491734098</v>
      </c>
      <c r="E39" s="10" t="n">
        <f aca="false">Estimates!E51</f>
        <v>-0.00487538410832933</v>
      </c>
      <c r="F39" s="10" t="n">
        <f aca="false">Estimates!E52</f>
        <v>0.0465083878715877</v>
      </c>
    </row>
    <row r="40" customFormat="false" ht="15" hidden="false" customHeight="false" outlineLevel="0" collapsed="false">
      <c r="A40" s="5" t="s">
        <v>22</v>
      </c>
      <c r="B40" s="10" t="n">
        <f aca="false">Estimates!I48</f>
        <v>0.00643193687374832</v>
      </c>
      <c r="C40" s="10" t="n">
        <f aca="false">Estimates!I49</f>
        <v>0.894172544100646</v>
      </c>
      <c r="D40" s="10" t="n">
        <f aca="false">Estimates!I50</f>
        <v>0.629196631831307</v>
      </c>
      <c r="E40" s="10" t="n">
        <f aca="false">Estimates!I51</f>
        <v>0.947435058888054</v>
      </c>
      <c r="F40" s="10" t="n">
        <f aca="false">Estimates!I52</f>
        <v>0.787199900508623</v>
      </c>
    </row>
    <row r="41" customFormat="false" ht="15" hidden="false" customHeight="false" outlineLevel="0" collapsed="false">
      <c r="A41" s="11" t="s">
        <v>23</v>
      </c>
      <c r="B41" s="12" t="n">
        <f aca="false">Estimates!H53</f>
        <v>-3.65550928359577</v>
      </c>
      <c r="C41" s="12" t="n">
        <f aca="false">Estimates!H54</f>
        <v>-2.02435388706196</v>
      </c>
      <c r="D41" s="12" t="n">
        <f aca="false">Estimates!H55</f>
        <v>-2.17772397791669</v>
      </c>
      <c r="E41" s="12" t="n">
        <f aca="false">Estimates!H56</f>
        <v>-3.81147308254355</v>
      </c>
      <c r="F41" s="12" t="n">
        <f aca="false">Estimates!H57</f>
        <v>-2.46444670086329</v>
      </c>
    </row>
    <row r="42" customFormat="false" ht="15" hidden="false" customHeight="false" outlineLevel="0" collapsed="false">
      <c r="A42" s="11" t="s">
        <v>24</v>
      </c>
      <c r="B42" s="12" t="n">
        <f aca="false">Estimates!H58</f>
        <v>2.06669266565963</v>
      </c>
      <c r="C42" s="12" t="n">
        <f aca="false">Estimates!H59</f>
        <v>1.58507858939596</v>
      </c>
      <c r="D42" s="12" t="n">
        <f aca="false">Estimates!H60</f>
        <v>1.35885817071351</v>
      </c>
      <c r="E42" s="12" t="n">
        <f aca="false">Estimates!H61</f>
        <v>2.61140531831639</v>
      </c>
      <c r="F42" s="12" t="n">
        <f aca="false">Estimates!H62</f>
        <v>2.19099211080265</v>
      </c>
    </row>
    <row r="43" customFormat="false" ht="15" hidden="false" customHeight="false" outlineLevel="0" collapsed="false">
      <c r="A43" s="13" t="s">
        <v>25</v>
      </c>
      <c r="B43" s="14" t="n">
        <f aca="false">Estimates!I63</f>
        <v>0.406345901982561</v>
      </c>
      <c r="C43" s="14" t="n">
        <f aca="false">Estimates!I64</f>
        <v>0.891333079944032</v>
      </c>
      <c r="D43" s="14" t="n">
        <f aca="false">Estimates!I65</f>
        <v>0.654813031534472</v>
      </c>
      <c r="E43" s="14" t="n">
        <f aca="false">Estimates!I66</f>
        <v>0.977988805166748</v>
      </c>
      <c r="F43" s="14" t="n">
        <f aca="false">Estimates!I67</f>
        <v>0.823994975675292</v>
      </c>
    </row>
    <row r="45" customFormat="false" ht="30" hidden="false" customHeight="true" outlineLevel="0" collapsed="false">
      <c r="A45" s="15" t="s">
        <v>28</v>
      </c>
      <c r="B45" s="15"/>
      <c r="C45" s="15"/>
      <c r="D45" s="15"/>
      <c r="E45" s="15"/>
      <c r="F45" s="15"/>
    </row>
  </sheetData>
  <mergeCells count="4">
    <mergeCell ref="A2:F2"/>
    <mergeCell ref="B5:F5"/>
    <mergeCell ref="B25:F25"/>
    <mergeCell ref="A45:F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0"/>
    <col collapsed="false" customWidth="true" hidden="false" outlineLevel="0" max="4" min="4" style="0" width="40"/>
  </cols>
  <sheetData>
    <row r="1" customFormat="false" ht="15" hidden="false" customHeight="false" outlineLevel="0" collapsed="false">
      <c r="A1" s="11" t="s">
        <v>29</v>
      </c>
    </row>
    <row r="3" customFormat="false" ht="15" hidden="false" customHeight="false" outlineLevel="0" collapsed="false">
      <c r="A3" s="1" t="s">
        <v>30</v>
      </c>
      <c r="B3" s="1" t="s">
        <v>31</v>
      </c>
      <c r="C3" s="1" t="s">
        <v>32</v>
      </c>
      <c r="D3" s="1" t="s">
        <v>33</v>
      </c>
      <c r="E3" s="1" t="s">
        <v>34</v>
      </c>
      <c r="F3" s="1" t="s">
        <v>35</v>
      </c>
      <c r="G3" s="1" t="s">
        <v>36</v>
      </c>
      <c r="H3" s="1" t="s">
        <v>37</v>
      </c>
      <c r="I3" s="1" t="s">
        <v>38</v>
      </c>
    </row>
    <row r="4" customFormat="false" ht="15" hidden="false" customHeight="false" outlineLevel="0" collapsed="false">
      <c r="A4" s="5" t="s">
        <v>39</v>
      </c>
      <c r="B4" s="5" t="s">
        <v>40</v>
      </c>
      <c r="C4" s="5" t="s">
        <v>2</v>
      </c>
      <c r="D4" s="5" t="s">
        <v>9</v>
      </c>
      <c r="E4" s="16" t="n">
        <v>-0.912758120552716</v>
      </c>
      <c r="F4" s="16" t="n">
        <v>0.210240742633248</v>
      </c>
      <c r="G4" s="17" t="n">
        <v>19</v>
      </c>
      <c r="H4" s="18" t="n">
        <f aca="false">IF(F4&gt;0,E4/F4,"")</f>
        <v>-4.34149018463547</v>
      </c>
      <c r="I4" s="18" t="n">
        <f aca="false">IF(H4="","",TDIST(ABS(H4),G4-1,2))</f>
        <v>0.000393228561178736</v>
      </c>
    </row>
    <row r="5" customFormat="false" ht="15" hidden="false" customHeight="false" outlineLevel="0" collapsed="false">
      <c r="A5" s="5" t="s">
        <v>39</v>
      </c>
      <c r="B5" s="5" t="s">
        <v>40</v>
      </c>
      <c r="C5" s="5" t="s">
        <v>3</v>
      </c>
      <c r="D5" s="5" t="s">
        <v>9</v>
      </c>
      <c r="E5" s="16" t="n">
        <v>-0.968468795525488</v>
      </c>
      <c r="F5" s="16" t="n">
        <v>0.31223020398184</v>
      </c>
      <c r="G5" s="17" t="n">
        <v>19</v>
      </c>
      <c r="H5" s="18" t="n">
        <f aca="false">IF(F5&gt;0,E5/F5,"")</f>
        <v>-3.10177805726257</v>
      </c>
      <c r="I5" s="18" t="n">
        <f aca="false">IF(H5="","",TDIST(ABS(H5),G5-1,2))</f>
        <v>0.00615533116806044</v>
      </c>
    </row>
    <row r="6" customFormat="false" ht="15" hidden="false" customHeight="false" outlineLevel="0" collapsed="false">
      <c r="A6" s="5" t="s">
        <v>39</v>
      </c>
      <c r="B6" s="5" t="s">
        <v>40</v>
      </c>
      <c r="C6" s="5" t="s">
        <v>4</v>
      </c>
      <c r="D6" s="5" t="s">
        <v>9</v>
      </c>
      <c r="E6" s="16" t="n">
        <v>-1.00950405721581</v>
      </c>
      <c r="F6" s="16" t="n">
        <v>0.321786293268814</v>
      </c>
      <c r="G6" s="17" t="n">
        <v>19</v>
      </c>
      <c r="H6" s="18" t="n">
        <f aca="false">IF(F6&gt;0,E6/F6,"")</f>
        <v>-3.13718787385541</v>
      </c>
      <c r="I6" s="18" t="n">
        <f aca="false">IF(H6="","",TDIST(ABS(H6),G6-1,2))</f>
        <v>0.00569610741928006</v>
      </c>
    </row>
    <row r="7" customFormat="false" ht="15" hidden="false" customHeight="false" outlineLevel="0" collapsed="false">
      <c r="A7" s="5" t="s">
        <v>39</v>
      </c>
      <c r="B7" s="5" t="s">
        <v>40</v>
      </c>
      <c r="C7" s="5" t="s">
        <v>5</v>
      </c>
      <c r="D7" s="5" t="s">
        <v>9</v>
      </c>
      <c r="E7" s="16" t="n">
        <v>-0.801917420553658</v>
      </c>
      <c r="F7" s="16" t="n">
        <v>0.235949905078366</v>
      </c>
      <c r="G7" s="17" t="n">
        <v>19</v>
      </c>
      <c r="H7" s="18" t="n">
        <f aca="false">IF(F7&gt;0,E7/F7,"")</f>
        <v>-3.39867659742146</v>
      </c>
      <c r="I7" s="18" t="n">
        <f aca="false">IF(H7="","",TDIST(ABS(H7),G7-1,2))</f>
        <v>0.00320087686418681</v>
      </c>
    </row>
    <row r="8" customFormat="false" ht="15" hidden="false" customHeight="false" outlineLevel="0" collapsed="false">
      <c r="A8" s="5" t="s">
        <v>39</v>
      </c>
      <c r="B8" s="5" t="s">
        <v>40</v>
      </c>
      <c r="C8" s="5" t="s">
        <v>6</v>
      </c>
      <c r="D8" s="5" t="s">
        <v>9</v>
      </c>
      <c r="E8" s="16" t="n">
        <v>-1.00609214401015</v>
      </c>
      <c r="F8" s="16" t="n">
        <v>0.336315372138933</v>
      </c>
      <c r="G8" s="17" t="n">
        <v>19</v>
      </c>
      <c r="H8" s="18" t="n">
        <f aca="false">IF(F8&gt;0,E8/F8,"")</f>
        <v>-2.9915139995282</v>
      </c>
      <c r="I8" s="18" t="n">
        <f aca="false">IF(H8="","",TDIST(ABS(H8),G8-1,2))</f>
        <v>0.00782851295991762</v>
      </c>
    </row>
    <row r="9" customFormat="false" ht="15" hidden="false" customHeight="false" outlineLevel="0" collapsed="false">
      <c r="A9" s="5" t="s">
        <v>39</v>
      </c>
      <c r="B9" s="5" t="s">
        <v>40</v>
      </c>
      <c r="C9" s="5" t="s">
        <v>2</v>
      </c>
      <c r="D9" s="5" t="s">
        <v>10</v>
      </c>
      <c r="E9" s="16" t="n">
        <v>1.00880865032638</v>
      </c>
      <c r="F9" s="16" t="n">
        <v>0.371039248864098</v>
      </c>
      <c r="G9" s="17" t="n">
        <v>19</v>
      </c>
      <c r="H9" s="18" t="n">
        <f aca="false">IF(F9&gt;0,E9/F9,"")</f>
        <v>2.71887314728765</v>
      </c>
      <c r="I9" s="18" t="n">
        <f aca="false">IF(H9="","",TDIST(ABS(H9),G9-1,2))</f>
        <v>0.014075513950478</v>
      </c>
    </row>
    <row r="10" customFormat="false" ht="15" hidden="false" customHeight="false" outlineLevel="0" collapsed="false">
      <c r="A10" s="5" t="s">
        <v>39</v>
      </c>
      <c r="B10" s="5" t="s">
        <v>40</v>
      </c>
      <c r="C10" s="5" t="s">
        <v>3</v>
      </c>
      <c r="D10" s="5" t="s">
        <v>10</v>
      </c>
      <c r="E10" s="16" t="n">
        <v>0.890653197795374</v>
      </c>
      <c r="F10" s="16" t="n">
        <v>0.444591147394613</v>
      </c>
      <c r="G10" s="17" t="n">
        <v>19</v>
      </c>
      <c r="H10" s="18" t="n">
        <f aca="false">IF(F10&gt;0,E10/F10,"")</f>
        <v>2.00330843970863</v>
      </c>
      <c r="I10" s="18" t="n">
        <f aca="false">IF(H10="","",TDIST(ABS(H10),G10-1,2))</f>
        <v>0.0604356613442219</v>
      </c>
    </row>
    <row r="11" customFormat="false" ht="15" hidden="false" customHeight="false" outlineLevel="0" collapsed="false">
      <c r="A11" s="5" t="s">
        <v>39</v>
      </c>
      <c r="B11" s="5" t="s">
        <v>40</v>
      </c>
      <c r="C11" s="5" t="s">
        <v>4</v>
      </c>
      <c r="D11" s="5" t="s">
        <v>10</v>
      </c>
      <c r="E11" s="16" t="n">
        <v>0.908049836044649</v>
      </c>
      <c r="F11" s="16" t="n">
        <v>0.446161477064922</v>
      </c>
      <c r="G11" s="17" t="n">
        <v>19</v>
      </c>
      <c r="H11" s="18" t="n">
        <f aca="false">IF(F11&gt;0,E11/F11,"")</f>
        <v>2.03524930484421</v>
      </c>
      <c r="I11" s="18" t="n">
        <f aca="false">IF(H11="","",TDIST(ABS(H11),G11-1,2))</f>
        <v>0.0568226368961022</v>
      </c>
    </row>
    <row r="12" customFormat="false" ht="15" hidden="false" customHeight="false" outlineLevel="0" collapsed="false">
      <c r="A12" s="5" t="s">
        <v>39</v>
      </c>
      <c r="B12" s="5" t="s">
        <v>40</v>
      </c>
      <c r="C12" s="5" t="s">
        <v>5</v>
      </c>
      <c r="D12" s="5" t="s">
        <v>10</v>
      </c>
      <c r="E12" s="16" t="n">
        <v>0.915046915814427</v>
      </c>
      <c r="F12" s="16" t="n">
        <v>0.410803657714527</v>
      </c>
      <c r="G12" s="17" t="n">
        <v>19</v>
      </c>
      <c r="H12" s="18" t="n">
        <f aca="false">IF(F12&gt;0,E12/F12,"")</f>
        <v>2.22745561932242</v>
      </c>
      <c r="I12" s="18" t="n">
        <f aca="false">IF(H12="","",TDIST(ABS(H12),G12-1,2))</f>
        <v>0.0389151394015735</v>
      </c>
    </row>
    <row r="13" customFormat="false" ht="15" hidden="false" customHeight="false" outlineLevel="0" collapsed="false">
      <c r="A13" s="5" t="s">
        <v>39</v>
      </c>
      <c r="B13" s="5" t="s">
        <v>40</v>
      </c>
      <c r="C13" s="5" t="s">
        <v>6</v>
      </c>
      <c r="D13" s="5" t="s">
        <v>10</v>
      </c>
      <c r="E13" s="16" t="n">
        <v>0.87229968947349</v>
      </c>
      <c r="F13" s="16" t="n">
        <v>0.493453016657689</v>
      </c>
      <c r="G13" s="17" t="n">
        <v>19</v>
      </c>
      <c r="H13" s="18" t="n">
        <f aca="false">IF(F13&gt;0,E13/F13,"")</f>
        <v>1.767746188648</v>
      </c>
      <c r="I13" s="18" t="n">
        <f aca="false">IF(H13="","",TDIST(ABS(H13),G13-1,2))</f>
        <v>0.0940505228448442</v>
      </c>
    </row>
    <row r="14" customFormat="false" ht="15" hidden="false" customHeight="false" outlineLevel="0" collapsed="false">
      <c r="A14" s="5" t="s">
        <v>39</v>
      </c>
      <c r="B14" s="5" t="s">
        <v>40</v>
      </c>
      <c r="C14" s="5" t="s">
        <v>2</v>
      </c>
      <c r="D14" s="5" t="s">
        <v>11</v>
      </c>
      <c r="E14" s="16" t="n">
        <v>-0.0774483433201047</v>
      </c>
      <c r="F14" s="16" t="n">
        <v>0.158374554342351</v>
      </c>
      <c r="G14" s="17" t="n">
        <v>19</v>
      </c>
      <c r="H14" s="18" t="n">
        <f aca="false">IF(F14&gt;0,E14/F14,"")</f>
        <v>-0.489020118425641</v>
      </c>
      <c r="I14" s="18" t="n">
        <f aca="false">IF(H14="","",TDIST(ABS(H14),G14-1,2))</f>
        <v>0.630732802910139</v>
      </c>
    </row>
    <row r="15" customFormat="false" ht="15" hidden="false" customHeight="false" outlineLevel="0" collapsed="false">
      <c r="A15" s="5" t="s">
        <v>39</v>
      </c>
      <c r="B15" s="5" t="s">
        <v>40</v>
      </c>
      <c r="C15" s="5" t="s">
        <v>3</v>
      </c>
      <c r="D15" s="5" t="s">
        <v>11</v>
      </c>
      <c r="E15" s="16" t="n">
        <v>-0.825583865498023</v>
      </c>
      <c r="F15" s="16" t="n">
        <v>0.238994465348956</v>
      </c>
      <c r="G15" s="17" t="n">
        <v>19</v>
      </c>
      <c r="H15" s="18" t="n">
        <f aca="false">IF(F15&gt;0,E15/F15,"")</f>
        <v>-3.45440579258849</v>
      </c>
      <c r="I15" s="18" t="n">
        <f aca="false">IF(H15="","",TDIST(ABS(H15),G15-1,2))</f>
        <v>0.00282896411057902</v>
      </c>
    </row>
    <row r="16" customFormat="false" ht="15" hidden="false" customHeight="false" outlineLevel="0" collapsed="false">
      <c r="A16" s="5" t="s">
        <v>39</v>
      </c>
      <c r="B16" s="5" t="s">
        <v>40</v>
      </c>
      <c r="C16" s="5" t="s">
        <v>4</v>
      </c>
      <c r="D16" s="5" t="s">
        <v>11</v>
      </c>
      <c r="E16" s="16" t="n">
        <v>-0.128602651436436</v>
      </c>
      <c r="F16" s="16" t="n">
        <v>0.211120156863325</v>
      </c>
      <c r="G16" s="17" t="n">
        <v>19</v>
      </c>
      <c r="H16" s="18" t="n">
        <f aca="false">IF(F16&gt;0,E16/F16,"")</f>
        <v>-0.609144353372621</v>
      </c>
      <c r="I16" s="18" t="n">
        <f aca="false">IF(H16="","",TDIST(ABS(H16),G16-1,2))</f>
        <v>0.550040544415218</v>
      </c>
    </row>
    <row r="17" customFormat="false" ht="15" hidden="false" customHeight="false" outlineLevel="0" collapsed="false">
      <c r="A17" s="5" t="s">
        <v>39</v>
      </c>
      <c r="B17" s="5" t="s">
        <v>40</v>
      </c>
      <c r="C17" s="5" t="s">
        <v>2</v>
      </c>
      <c r="D17" s="5" t="s">
        <v>21</v>
      </c>
      <c r="E17" s="16" t="n">
        <v>0.09605052977366</v>
      </c>
      <c r="F17" s="16" t="n">
        <v>0.218313049697424</v>
      </c>
      <c r="G17" s="17" t="n">
        <v>19</v>
      </c>
      <c r="H17" s="18" t="n">
        <f aca="false">IF(F17&gt;0,E17/F17,"")</f>
        <v>0.439966964442958</v>
      </c>
      <c r="I17" s="18" t="n">
        <f aca="false">IF(H17="","",TDIST(ABS(H17),G17-1,2))</f>
        <v>0.665198327638914</v>
      </c>
    </row>
    <row r="18" customFormat="false" ht="15" hidden="false" customHeight="false" outlineLevel="0" collapsed="false">
      <c r="A18" s="5" t="s">
        <v>39</v>
      </c>
      <c r="B18" s="5" t="s">
        <v>40</v>
      </c>
      <c r="C18" s="5" t="s">
        <v>3</v>
      </c>
      <c r="D18" s="5" t="s">
        <v>21</v>
      </c>
      <c r="E18" s="16" t="n">
        <v>-0.077815597730114</v>
      </c>
      <c r="F18" s="16" t="n">
        <v>0.278125257227781</v>
      </c>
      <c r="G18" s="17" t="n">
        <v>19</v>
      </c>
      <c r="H18" s="18" t="n">
        <f aca="false">IF(F18&gt;0,E18/F18,"")</f>
        <v>-0.279786160040777</v>
      </c>
      <c r="I18" s="18" t="n">
        <f aca="false">IF(H18="","",TDIST(ABS(H18),G18-1,2))</f>
        <v>0.78283134736938</v>
      </c>
    </row>
    <row r="19" customFormat="false" ht="15" hidden="false" customHeight="false" outlineLevel="0" collapsed="false">
      <c r="A19" s="5" t="s">
        <v>39</v>
      </c>
      <c r="B19" s="5" t="s">
        <v>40</v>
      </c>
      <c r="C19" s="5" t="s">
        <v>4</v>
      </c>
      <c r="D19" s="5" t="s">
        <v>21</v>
      </c>
      <c r="E19" s="16" t="n">
        <v>-0.101454221171156</v>
      </c>
      <c r="F19" s="16" t="n">
        <v>0.282558953988158</v>
      </c>
      <c r="G19" s="17" t="n">
        <v>19</v>
      </c>
      <c r="H19" s="18" t="n">
        <f aca="false">IF(F19&gt;0,E19/F19,"")</f>
        <v>-0.359055056437559</v>
      </c>
      <c r="I19" s="18" t="n">
        <f aca="false">IF(H19="","",TDIST(ABS(H19),G19-1,2))</f>
        <v>0.723731190536467</v>
      </c>
    </row>
    <row r="20" customFormat="false" ht="15" hidden="false" customHeight="false" outlineLevel="0" collapsed="false">
      <c r="A20" s="5" t="s">
        <v>39</v>
      </c>
      <c r="B20" s="5" t="s">
        <v>40</v>
      </c>
      <c r="C20" s="5" t="s">
        <v>5</v>
      </c>
      <c r="D20" s="5" t="s">
        <v>21</v>
      </c>
      <c r="E20" s="16" t="n">
        <v>0.113129495260769</v>
      </c>
      <c r="F20" s="16" t="n">
        <v>0.254732724130722</v>
      </c>
      <c r="G20" s="17" t="n">
        <v>19</v>
      </c>
      <c r="H20" s="18" t="n">
        <f aca="false">IF(F20&gt;0,E20/F20,"")</f>
        <v>0.444110569801445</v>
      </c>
      <c r="I20" s="18" t="n">
        <f aca="false">IF(H20="","",TDIST(ABS(H20),G20-1,2))</f>
        <v>0.662255645588364</v>
      </c>
    </row>
    <row r="21" customFormat="false" ht="15" hidden="false" customHeight="false" outlineLevel="0" collapsed="false">
      <c r="A21" s="5" t="s">
        <v>39</v>
      </c>
      <c r="B21" s="5" t="s">
        <v>40</v>
      </c>
      <c r="C21" s="5" t="s">
        <v>6</v>
      </c>
      <c r="D21" s="5" t="s">
        <v>21</v>
      </c>
      <c r="E21" s="16" t="n">
        <v>-0.133792454536665</v>
      </c>
      <c r="F21" s="16" t="n">
        <v>0.317543917869804</v>
      </c>
      <c r="G21" s="17" t="n">
        <v>19</v>
      </c>
      <c r="H21" s="18" t="n">
        <f aca="false">IF(F21&gt;0,E21/F21,"")</f>
        <v>-0.421335276815225</v>
      </c>
      <c r="I21" s="18" t="n">
        <f aca="false">IF(H21="","",TDIST(ABS(H21),G21-1,2))</f>
        <v>0.678498775596817</v>
      </c>
    </row>
    <row r="22" customFormat="false" ht="15" hidden="false" customHeight="false" outlineLevel="0" collapsed="false">
      <c r="A22" s="5" t="s">
        <v>41</v>
      </c>
      <c r="B22" s="5" t="s">
        <v>40</v>
      </c>
      <c r="C22" s="5" t="s">
        <v>2</v>
      </c>
      <c r="D22" s="5" t="s">
        <v>23</v>
      </c>
      <c r="E22" s="16" t="n">
        <v>-0.912758120552716</v>
      </c>
      <c r="F22" s="16" t="n">
        <v>0.194124362797964</v>
      </c>
      <c r="G22" s="17" t="n">
        <v>131</v>
      </c>
      <c r="H22" s="18" t="n">
        <f aca="false">IF(F22&gt;0,E22/F22,"")</f>
        <v>-4.70192461882116</v>
      </c>
      <c r="I22" s="18" t="n">
        <f aca="false">IF(H22="","",TDIST(ABS(H22),G22-1,2))</f>
        <v>6.48290943040331E-006</v>
      </c>
    </row>
    <row r="23" customFormat="false" ht="15" hidden="false" customHeight="false" outlineLevel="0" collapsed="false">
      <c r="A23" s="5" t="s">
        <v>41</v>
      </c>
      <c r="B23" s="5" t="s">
        <v>40</v>
      </c>
      <c r="C23" s="5" t="s">
        <v>3</v>
      </c>
      <c r="D23" s="5" t="s">
        <v>23</v>
      </c>
      <c r="E23" s="16" t="n">
        <v>-0.968468795525488</v>
      </c>
      <c r="F23" s="16" t="n">
        <v>0.233664109728013</v>
      </c>
      <c r="G23" s="17" t="n">
        <v>130</v>
      </c>
      <c r="H23" s="18" t="n">
        <f aca="false">IF(F23&gt;0,E23/F23,"")</f>
        <v>-4.1447049641162</v>
      </c>
      <c r="I23" s="18" t="n">
        <f aca="false">IF(H23="","",TDIST(ABS(H23),G23-1,2))</f>
        <v>6.11916811152816E-005</v>
      </c>
    </row>
    <row r="24" customFormat="false" ht="15" hidden="false" customHeight="false" outlineLevel="0" collapsed="false">
      <c r="A24" s="5" t="s">
        <v>41</v>
      </c>
      <c r="B24" s="5" t="s">
        <v>40</v>
      </c>
      <c r="C24" s="5" t="s">
        <v>4</v>
      </c>
      <c r="D24" s="5" t="s">
        <v>23</v>
      </c>
      <c r="E24" s="16" t="n">
        <v>-1.00950405721581</v>
      </c>
      <c r="F24" s="16" t="n">
        <v>0.2390615679549</v>
      </c>
      <c r="G24" s="17" t="n">
        <v>130</v>
      </c>
      <c r="H24" s="18" t="n">
        <f aca="false">IF(F24&gt;0,E24/F24,"")</f>
        <v>-4.22277853296041</v>
      </c>
      <c r="I24" s="18" t="n">
        <f aca="false">IF(H24="","",TDIST(ABS(H24),G24-1,2))</f>
        <v>4.5224786684449E-005</v>
      </c>
    </row>
    <row r="25" customFormat="false" ht="15" hidden="false" customHeight="false" outlineLevel="0" collapsed="false">
      <c r="A25" s="5" t="s">
        <v>41</v>
      </c>
      <c r="B25" s="5" t="s">
        <v>40</v>
      </c>
      <c r="C25" s="5" t="s">
        <v>5</v>
      </c>
      <c r="D25" s="5" t="s">
        <v>23</v>
      </c>
      <c r="E25" s="16" t="n">
        <v>-0.801917420553658</v>
      </c>
      <c r="F25" s="16" t="n">
        <v>0.201281325443092</v>
      </c>
      <c r="G25" s="17" t="n">
        <v>131</v>
      </c>
      <c r="H25" s="18" t="n">
        <f aca="false">IF(F25&gt;0,E25/F25,"")</f>
        <v>-3.98406269825754</v>
      </c>
      <c r="I25" s="18" t="n">
        <f aca="false">IF(H25="","",TDIST(ABS(H25),G25-1,2))</f>
        <v>0.000112221220383091</v>
      </c>
    </row>
    <row r="26" customFormat="false" ht="15" hidden="false" customHeight="false" outlineLevel="0" collapsed="false">
      <c r="A26" s="5" t="s">
        <v>41</v>
      </c>
      <c r="B26" s="5" t="s">
        <v>40</v>
      </c>
      <c r="C26" s="5" t="s">
        <v>6</v>
      </c>
      <c r="D26" s="5" t="s">
        <v>23</v>
      </c>
      <c r="E26" s="16" t="n">
        <v>-1.00609214401015</v>
      </c>
      <c r="F26" s="16" t="n">
        <v>0.243450440762879</v>
      </c>
      <c r="G26" s="17" t="n">
        <v>130</v>
      </c>
      <c r="H26" s="18" t="n">
        <f aca="false">IF(F26&gt;0,E26/F26,"")</f>
        <v>-4.13263636269235</v>
      </c>
      <c r="I26" s="18" t="n">
        <f aca="false">IF(H26="","",TDIST(ABS(H26),G26-1,2))</f>
        <v>6.40979241300058E-005</v>
      </c>
    </row>
    <row r="27" customFormat="false" ht="15" hidden="false" customHeight="false" outlineLevel="0" collapsed="false">
      <c r="A27" s="5" t="s">
        <v>41</v>
      </c>
      <c r="B27" s="5" t="s">
        <v>40</v>
      </c>
      <c r="C27" s="5" t="s">
        <v>2</v>
      </c>
      <c r="D27" s="5" t="s">
        <v>24</v>
      </c>
      <c r="E27" s="16" t="n">
        <v>1.00880865032638</v>
      </c>
      <c r="F27" s="16" t="n">
        <v>0.308054268430617</v>
      </c>
      <c r="G27" s="17" t="n">
        <v>131</v>
      </c>
      <c r="H27" s="18" t="n">
        <f aca="false">IF(F27&gt;0,E27/F27,"")</f>
        <v>3.27477575774475</v>
      </c>
      <c r="I27" s="18" t="n">
        <f aca="false">IF(H27="","",TDIST(ABS(H27),G27-1,2))</f>
        <v>0.00135545496972493</v>
      </c>
    </row>
    <row r="28" customFormat="false" ht="15" hidden="false" customHeight="false" outlineLevel="0" collapsed="false">
      <c r="A28" s="5" t="s">
        <v>41</v>
      </c>
      <c r="B28" s="5" t="s">
        <v>40</v>
      </c>
      <c r="C28" s="5" t="s">
        <v>3</v>
      </c>
      <c r="D28" s="5" t="s">
        <v>24</v>
      </c>
      <c r="E28" s="16" t="n">
        <v>0.890653197795374</v>
      </c>
      <c r="F28" s="16" t="n">
        <v>0.340140316418491</v>
      </c>
      <c r="G28" s="17" t="n">
        <v>130</v>
      </c>
      <c r="H28" s="18" t="n">
        <f aca="false">IF(F28&gt;0,E28/F28,"")</f>
        <v>2.61848759116094</v>
      </c>
      <c r="I28" s="18" t="n">
        <f aca="false">IF(H28="","",TDIST(ABS(H28),G28-1,2))</f>
        <v>0.00988923173854964</v>
      </c>
    </row>
    <row r="29" customFormat="false" ht="15" hidden="false" customHeight="false" outlineLevel="0" collapsed="false">
      <c r="A29" s="5" t="s">
        <v>41</v>
      </c>
      <c r="B29" s="5" t="s">
        <v>40</v>
      </c>
      <c r="C29" s="5" t="s">
        <v>4</v>
      </c>
      <c r="D29" s="5" t="s">
        <v>24</v>
      </c>
      <c r="E29" s="16" t="n">
        <v>0.908049836044649</v>
      </c>
      <c r="F29" s="16" t="n">
        <v>0.354361258088154</v>
      </c>
      <c r="G29" s="17" t="n">
        <v>130</v>
      </c>
      <c r="H29" s="18" t="n">
        <f aca="false">IF(F29&gt;0,E29/F29,"")</f>
        <v>2.56249749462949</v>
      </c>
      <c r="I29" s="18" t="n">
        <f aca="false">IF(H29="","",TDIST(ABS(H29),G29-1,2))</f>
        <v>0.0115409472111204</v>
      </c>
    </row>
    <row r="30" customFormat="false" ht="15" hidden="false" customHeight="false" outlineLevel="0" collapsed="false">
      <c r="A30" s="5" t="s">
        <v>41</v>
      </c>
      <c r="B30" s="5" t="s">
        <v>40</v>
      </c>
      <c r="C30" s="5" t="s">
        <v>5</v>
      </c>
      <c r="D30" s="5" t="s">
        <v>24</v>
      </c>
      <c r="E30" s="16" t="n">
        <v>0.915046915814427</v>
      </c>
      <c r="F30" s="16" t="n">
        <v>0.310277557462177</v>
      </c>
      <c r="G30" s="17" t="n">
        <v>131</v>
      </c>
      <c r="H30" s="18" t="n">
        <f aca="false">IF(F30&gt;0,E30/F30,"")</f>
        <v>2.94912375648042</v>
      </c>
      <c r="I30" s="18" t="n">
        <f aca="false">IF(H30="","",TDIST(ABS(H30),G30-1,2))</f>
        <v>0.0037799529332846</v>
      </c>
    </row>
    <row r="31" customFormat="false" ht="15" hidden="false" customHeight="false" outlineLevel="0" collapsed="false">
      <c r="A31" s="5" t="s">
        <v>41</v>
      </c>
      <c r="B31" s="5" t="s">
        <v>40</v>
      </c>
      <c r="C31" s="5" t="s">
        <v>6</v>
      </c>
      <c r="D31" s="5" t="s">
        <v>24</v>
      </c>
      <c r="E31" s="16" t="n">
        <v>0.87229968947349</v>
      </c>
      <c r="F31" s="16" t="n">
        <v>0.367702718380916</v>
      </c>
      <c r="G31" s="17" t="n">
        <v>130</v>
      </c>
      <c r="H31" s="18" t="n">
        <f aca="false">IF(F31&gt;0,E31/F31,"")</f>
        <v>2.37229600399593</v>
      </c>
      <c r="I31" s="18" t="n">
        <f aca="false">IF(H31="","",TDIST(ABS(H31),G31-1,2))</f>
        <v>0.0191556185341702</v>
      </c>
    </row>
    <row r="32" customFormat="false" ht="15" hidden="false" customHeight="false" outlineLevel="0" collapsed="false">
      <c r="A32" s="5" t="s">
        <v>41</v>
      </c>
      <c r="B32" s="5" t="s">
        <v>40</v>
      </c>
      <c r="C32" s="5" t="s">
        <v>2</v>
      </c>
      <c r="D32" s="5" t="s">
        <v>25</v>
      </c>
      <c r="E32" s="16" t="n">
        <v>0.09605052977366</v>
      </c>
      <c r="F32" s="16" t="n">
        <v>0.214997075748687</v>
      </c>
      <c r="G32" s="17" t="n">
        <v>131</v>
      </c>
      <c r="H32" s="18" t="n">
        <f aca="false">IF(F32&gt;0,E32/F32,"")</f>
        <v>0.446752726469335</v>
      </c>
      <c r="I32" s="18" t="n">
        <f aca="false">IF(H32="","",TDIST(ABS(H32),G32-1,2))</f>
        <v>0.655796966836816</v>
      </c>
    </row>
    <row r="33" customFormat="false" ht="15" hidden="false" customHeight="false" outlineLevel="0" collapsed="false">
      <c r="A33" s="5" t="s">
        <v>41</v>
      </c>
      <c r="B33" s="5" t="s">
        <v>40</v>
      </c>
      <c r="C33" s="5" t="s">
        <v>3</v>
      </c>
      <c r="D33" s="5" t="s">
        <v>25</v>
      </c>
      <c r="E33" s="16" t="n">
        <v>-0.077815597730114</v>
      </c>
      <c r="F33" s="16" t="n">
        <v>0.290769065695174</v>
      </c>
      <c r="G33" s="17" t="n">
        <v>130</v>
      </c>
      <c r="H33" s="18" t="n">
        <f aca="false">IF(F33&gt;0,E33/F33,"")</f>
        <v>-0.267619932485155</v>
      </c>
      <c r="I33" s="18" t="n">
        <f aca="false">IF(H33="","",TDIST(ABS(H33),G33-1,2))</f>
        <v>0.789419301201423</v>
      </c>
    </row>
    <row r="34" customFormat="false" ht="15" hidden="false" customHeight="false" outlineLevel="0" collapsed="false">
      <c r="A34" s="5" t="s">
        <v>41</v>
      </c>
      <c r="B34" s="5" t="s">
        <v>40</v>
      </c>
      <c r="C34" s="5" t="s">
        <v>4</v>
      </c>
      <c r="D34" s="5" t="s">
        <v>25</v>
      </c>
      <c r="E34" s="16" t="n">
        <v>-0.101454221171156</v>
      </c>
      <c r="F34" s="16" t="n">
        <v>0.297084809434872</v>
      </c>
      <c r="G34" s="17" t="n">
        <v>130</v>
      </c>
      <c r="H34" s="18" t="n">
        <f aca="false">IF(F34&gt;0,E34/F34,"")</f>
        <v>-0.341499187939453</v>
      </c>
      <c r="I34" s="18" t="n">
        <f aca="false">IF(H34="","",TDIST(ABS(H34),G34-1,2))</f>
        <v>0.733283460025388</v>
      </c>
    </row>
    <row r="35" customFormat="false" ht="15" hidden="false" customHeight="false" outlineLevel="0" collapsed="false">
      <c r="A35" s="5" t="s">
        <v>41</v>
      </c>
      <c r="B35" s="5" t="s">
        <v>40</v>
      </c>
      <c r="C35" s="5" t="s">
        <v>5</v>
      </c>
      <c r="D35" s="5" t="s">
        <v>25</v>
      </c>
      <c r="E35" s="16" t="n">
        <v>0.113129495260769</v>
      </c>
      <c r="F35" s="16" t="n">
        <v>0.21602903362864</v>
      </c>
      <c r="G35" s="17" t="n">
        <v>131</v>
      </c>
      <c r="H35" s="18" t="n">
        <f aca="false">IF(F35&gt;0,E35/F35,"")</f>
        <v>0.523677273191167</v>
      </c>
      <c r="I35" s="18" t="n">
        <f aca="false">IF(H35="","",TDIST(ABS(H35),G35-1,2))</f>
        <v>0.6013946236593</v>
      </c>
    </row>
    <row r="36" customFormat="false" ht="15" hidden="false" customHeight="false" outlineLevel="0" collapsed="false">
      <c r="A36" s="5" t="s">
        <v>41</v>
      </c>
      <c r="B36" s="5" t="s">
        <v>40</v>
      </c>
      <c r="C36" s="5" t="s">
        <v>6</v>
      </c>
      <c r="D36" s="5" t="s">
        <v>25</v>
      </c>
      <c r="E36" s="16" t="n">
        <v>-0.133792454536665</v>
      </c>
      <c r="F36" s="16" t="n">
        <v>0.311345388607314</v>
      </c>
      <c r="G36" s="17" t="n">
        <v>130</v>
      </c>
      <c r="H36" s="18" t="n">
        <f aca="false">IF(F36&gt;0,E36/F36,"")</f>
        <v>-0.42972357848348</v>
      </c>
      <c r="I36" s="18" t="n">
        <f aca="false">IF(H36="","",TDIST(ABS(H36),G36-1,2))</f>
        <v>0.668113666422857</v>
      </c>
    </row>
    <row r="37" customFormat="false" ht="15" hidden="false" customHeight="false" outlineLevel="0" collapsed="false">
      <c r="A37" s="5" t="s">
        <v>42</v>
      </c>
      <c r="B37" s="5" t="s">
        <v>43</v>
      </c>
      <c r="C37" s="5" t="s">
        <v>2</v>
      </c>
      <c r="D37" s="5" t="s">
        <v>9</v>
      </c>
      <c r="E37" s="16" t="n">
        <v>-0.56281523617267</v>
      </c>
      <c r="F37" s="16" t="n">
        <v>0.179700459991767</v>
      </c>
      <c r="G37" s="17" t="n">
        <v>19</v>
      </c>
      <c r="H37" s="18" t="n">
        <f aca="false">IF(F37&gt;0,E37/F37,"")</f>
        <v>-3.13196324705266</v>
      </c>
      <c r="I37" s="18" t="n">
        <f aca="false">IF(H37="","",TDIST(ABS(H37),G37-1,2))</f>
        <v>0.00576169774067456</v>
      </c>
    </row>
    <row r="38" customFormat="false" ht="15" hidden="false" customHeight="false" outlineLevel="0" collapsed="false">
      <c r="A38" s="5" t="s">
        <v>42</v>
      </c>
      <c r="B38" s="5" t="s">
        <v>43</v>
      </c>
      <c r="C38" s="5" t="s">
        <v>3</v>
      </c>
      <c r="D38" s="5" t="s">
        <v>9</v>
      </c>
      <c r="E38" s="16" t="n">
        <v>-0.362650844101327</v>
      </c>
      <c r="F38" s="16" t="n">
        <v>0.184758481605257</v>
      </c>
      <c r="G38" s="17" t="n">
        <v>19</v>
      </c>
      <c r="H38" s="18" t="n">
        <f aca="false">IF(F38&gt;0,E38/F38,"")</f>
        <v>-1.96283732660319</v>
      </c>
      <c r="I38" s="18" t="n">
        <f aca="false">IF(H38="","",TDIST(ABS(H38),G38-1,2))</f>
        <v>0.0653094224015201</v>
      </c>
    </row>
    <row r="39" customFormat="false" ht="15" hidden="false" customHeight="false" outlineLevel="0" collapsed="false">
      <c r="A39" s="5" t="s">
        <v>42</v>
      </c>
      <c r="B39" s="5" t="s">
        <v>43</v>
      </c>
      <c r="C39" s="5" t="s">
        <v>4</v>
      </c>
      <c r="D39" s="5" t="s">
        <v>9</v>
      </c>
      <c r="E39" s="16" t="n">
        <v>-0.407265153298712</v>
      </c>
      <c r="F39" s="16" t="n">
        <v>0.212040154775083</v>
      </c>
      <c r="G39" s="17" t="n">
        <v>19</v>
      </c>
      <c r="H39" s="18" t="n">
        <f aca="false">IF(F39&gt;0,E39/F39,"")</f>
        <v>-1.92069824572006</v>
      </c>
      <c r="I39" s="18" t="n">
        <f aca="false">IF(H39="","",TDIST(ABS(H39),G39-1,2))</f>
        <v>0.0707546548895541</v>
      </c>
    </row>
    <row r="40" customFormat="false" ht="15" hidden="false" customHeight="false" outlineLevel="0" collapsed="false">
      <c r="A40" s="5" t="s">
        <v>42</v>
      </c>
      <c r="B40" s="5" t="s">
        <v>43</v>
      </c>
      <c r="C40" s="5" t="s">
        <v>5</v>
      </c>
      <c r="D40" s="5" t="s">
        <v>9</v>
      </c>
      <c r="E40" s="16" t="n">
        <v>-0.615600940492876</v>
      </c>
      <c r="F40" s="16" t="n">
        <v>0.169634633964721</v>
      </c>
      <c r="G40" s="17" t="n">
        <v>19</v>
      </c>
      <c r="H40" s="18" t="n">
        <f aca="false">IF(F40&gt;0,E40/F40,"")</f>
        <v>-3.62898145328567</v>
      </c>
      <c r="I40" s="18" t="n">
        <f aca="false">IF(H40="","",TDIST(ABS(H40),G40-1,2))</f>
        <v>0.0019193564196681</v>
      </c>
    </row>
    <row r="41" customFormat="false" ht="15" hidden="false" customHeight="false" outlineLevel="0" collapsed="false">
      <c r="A41" s="5" t="s">
        <v>42</v>
      </c>
      <c r="B41" s="5" t="s">
        <v>43</v>
      </c>
      <c r="C41" s="5" t="s">
        <v>6</v>
      </c>
      <c r="D41" s="5" t="s">
        <v>9</v>
      </c>
      <c r="E41" s="16" t="n">
        <v>-0.475064954805801</v>
      </c>
      <c r="F41" s="16" t="n">
        <v>0.202665340128257</v>
      </c>
      <c r="G41" s="17" t="n">
        <v>19</v>
      </c>
      <c r="H41" s="18" t="n">
        <f aca="false">IF(F41&gt;0,E41/F41,"")</f>
        <v>-2.34408584371238</v>
      </c>
      <c r="I41" s="18" t="n">
        <f aca="false">IF(H41="","",TDIST(ABS(H41),G41-1,2))</f>
        <v>0.0307488273716573</v>
      </c>
    </row>
    <row r="42" customFormat="false" ht="15" hidden="false" customHeight="false" outlineLevel="0" collapsed="false">
      <c r="A42" s="5" t="s">
        <v>42</v>
      </c>
      <c r="B42" s="5" t="s">
        <v>43</v>
      </c>
      <c r="C42" s="5" t="s">
        <v>2</v>
      </c>
      <c r="D42" s="5" t="s">
        <v>10</v>
      </c>
      <c r="E42" s="16" t="n">
        <v>0.42453131520285</v>
      </c>
      <c r="F42" s="16" t="n">
        <v>0.158013648191754</v>
      </c>
      <c r="G42" s="17" t="n">
        <v>19</v>
      </c>
      <c r="H42" s="18" t="n">
        <f aca="false">IF(F42&gt;0,E42/F42,"")</f>
        <v>2.68667498068059</v>
      </c>
      <c r="I42" s="18" t="n">
        <f aca="false">IF(H42="","",TDIST(ABS(H42),G42-1,2))</f>
        <v>0.0150719382223053</v>
      </c>
    </row>
    <row r="43" customFormat="false" ht="15" hidden="false" customHeight="false" outlineLevel="0" collapsed="false">
      <c r="A43" s="5" t="s">
        <v>42</v>
      </c>
      <c r="B43" s="5" t="s">
        <v>43</v>
      </c>
      <c r="C43" s="5" t="s">
        <v>3</v>
      </c>
      <c r="D43" s="5" t="s">
        <v>10</v>
      </c>
      <c r="E43" s="16" t="n">
        <v>0.392009964838486</v>
      </c>
      <c r="F43" s="16" t="n">
        <v>0.356253323919242</v>
      </c>
      <c r="G43" s="17" t="n">
        <v>19</v>
      </c>
      <c r="H43" s="18" t="n">
        <f aca="false">IF(F43&gt;0,E43/F43,"")</f>
        <v>1.10036858190086</v>
      </c>
      <c r="I43" s="18" t="n">
        <f aca="false">IF(H43="","",TDIST(ABS(H43),G43-1,2))</f>
        <v>0.285670163110788</v>
      </c>
    </row>
    <row r="44" customFormat="false" ht="15" hidden="false" customHeight="false" outlineLevel="0" collapsed="false">
      <c r="A44" s="5" t="s">
        <v>42</v>
      </c>
      <c r="B44" s="5" t="s">
        <v>43</v>
      </c>
      <c r="C44" s="5" t="s">
        <v>4</v>
      </c>
      <c r="D44" s="5" t="s">
        <v>10</v>
      </c>
      <c r="E44" s="16" t="n">
        <v>0.314914004125302</v>
      </c>
      <c r="F44" s="16" t="n">
        <v>0.308246082038347</v>
      </c>
      <c r="G44" s="17" t="n">
        <v>19</v>
      </c>
      <c r="H44" s="18" t="n">
        <f aca="false">IF(F44&gt;0,E44/F44,"")</f>
        <v>1.02163181456472</v>
      </c>
      <c r="I44" s="18" t="n">
        <f aca="false">IF(H44="","",TDIST(ABS(H44),G44-1,2))</f>
        <v>0.320490630389301</v>
      </c>
    </row>
    <row r="45" customFormat="false" ht="15" hidden="false" customHeight="false" outlineLevel="0" collapsed="false">
      <c r="A45" s="5" t="s">
        <v>42</v>
      </c>
      <c r="B45" s="5" t="s">
        <v>43</v>
      </c>
      <c r="C45" s="5" t="s">
        <v>5</v>
      </c>
      <c r="D45" s="5" t="s">
        <v>10</v>
      </c>
      <c r="E45" s="16" t="n">
        <v>0.610725556384547</v>
      </c>
      <c r="F45" s="16" t="n">
        <v>0.169014741101682</v>
      </c>
      <c r="G45" s="17" t="n">
        <v>19</v>
      </c>
      <c r="H45" s="18" t="n">
        <f aca="false">IF(F45&gt;0,E45/F45,"")</f>
        <v>3.6134455042423</v>
      </c>
      <c r="I45" s="18" t="n">
        <f aca="false">IF(H45="","",TDIST(ABS(H45),G45-1,2))</f>
        <v>0.0019868692104318</v>
      </c>
    </row>
    <row r="46" customFormat="false" ht="15" hidden="false" customHeight="false" outlineLevel="0" collapsed="false">
      <c r="A46" s="5" t="s">
        <v>42</v>
      </c>
      <c r="B46" s="5" t="s">
        <v>43</v>
      </c>
      <c r="C46" s="5" t="s">
        <v>6</v>
      </c>
      <c r="D46" s="5" t="s">
        <v>10</v>
      </c>
      <c r="E46" s="16" t="n">
        <v>0.521573342677388</v>
      </c>
      <c r="F46" s="16" t="n">
        <v>0.304108586011559</v>
      </c>
      <c r="G46" s="17" t="n">
        <v>19</v>
      </c>
      <c r="H46" s="18" t="n">
        <f aca="false">IF(F46&gt;0,E46/F46,"")</f>
        <v>1.71508917100277</v>
      </c>
      <c r="I46" s="18" t="n">
        <f aca="false">IF(H46="","",TDIST(ABS(H46),G46-1,2))</f>
        <v>0.103492821667816</v>
      </c>
    </row>
    <row r="47" customFormat="false" ht="15" hidden="false" customHeight="false" outlineLevel="0" collapsed="false">
      <c r="A47" s="5" t="s">
        <v>42</v>
      </c>
      <c r="B47" s="5" t="s">
        <v>43</v>
      </c>
      <c r="C47" s="5" t="s">
        <v>3</v>
      </c>
      <c r="D47" s="5" t="s">
        <v>11</v>
      </c>
      <c r="E47" s="16" t="n">
        <v>-0.56362186039977</v>
      </c>
      <c r="F47" s="16" t="n">
        <v>0.481264637369717</v>
      </c>
      <c r="G47" s="17" t="n">
        <v>19</v>
      </c>
      <c r="H47" s="18" t="n">
        <f aca="false">IF(F47&gt;0,E47/F47,"")</f>
        <v>-1.17112668713863</v>
      </c>
      <c r="I47" s="18" t="n">
        <f aca="false">IF(H47="","",TDIST(ABS(H47),G47-1,2))</f>
        <v>0.256818376981084</v>
      </c>
    </row>
    <row r="48" customFormat="false" ht="15" hidden="false" customHeight="false" outlineLevel="0" collapsed="false">
      <c r="A48" s="5" t="s">
        <v>42</v>
      </c>
      <c r="B48" s="5" t="s">
        <v>43</v>
      </c>
      <c r="C48" s="5" t="s">
        <v>2</v>
      </c>
      <c r="D48" s="5" t="s">
        <v>21</v>
      </c>
      <c r="E48" s="16" t="n">
        <v>-0.13828392096982</v>
      </c>
      <c r="F48" s="16" t="n">
        <v>0.044872997426341</v>
      </c>
      <c r="G48" s="17" t="n">
        <v>19</v>
      </c>
      <c r="H48" s="18" t="n">
        <f aca="false">IF(F48&gt;0,E48/F48,"")</f>
        <v>-3.08167336485183</v>
      </c>
      <c r="I48" s="18" t="n">
        <f aca="false">IF(H48="","",TDIST(ABS(H48),G48-1,2))</f>
        <v>0.00643193687374832</v>
      </c>
    </row>
    <row r="49" customFormat="false" ht="15" hidden="false" customHeight="false" outlineLevel="0" collapsed="false">
      <c r="A49" s="5" t="s">
        <v>42</v>
      </c>
      <c r="B49" s="5" t="s">
        <v>43</v>
      </c>
      <c r="C49" s="5" t="s">
        <v>3</v>
      </c>
      <c r="D49" s="5" t="s">
        <v>21</v>
      </c>
      <c r="E49" s="16" t="n">
        <v>0.029359120737159</v>
      </c>
      <c r="F49" s="16" t="n">
        <v>0.217604249552736</v>
      </c>
      <c r="G49" s="17" t="n">
        <v>19</v>
      </c>
      <c r="H49" s="18" t="n">
        <f aca="false">IF(F49&gt;0,E49/F49,"")</f>
        <v>0.134919794983342</v>
      </c>
      <c r="I49" s="18" t="n">
        <f aca="false">IF(H49="","",TDIST(ABS(H49),G49-1,2))</f>
        <v>0.894172544100646</v>
      </c>
    </row>
    <row r="50" customFormat="false" ht="15" hidden="false" customHeight="false" outlineLevel="0" collapsed="false">
      <c r="A50" s="5" t="s">
        <v>42</v>
      </c>
      <c r="B50" s="5" t="s">
        <v>43</v>
      </c>
      <c r="C50" s="5" t="s">
        <v>4</v>
      </c>
      <c r="D50" s="5" t="s">
        <v>21</v>
      </c>
      <c r="E50" s="16" t="n">
        <v>-0.0923511491734098</v>
      </c>
      <c r="F50" s="16" t="n">
        <v>0.187998143919263</v>
      </c>
      <c r="G50" s="17" t="n">
        <v>19</v>
      </c>
      <c r="H50" s="18" t="n">
        <f aca="false">IF(F50&gt;0,E50/F50,"")</f>
        <v>-0.491234366723698</v>
      </c>
      <c r="I50" s="18" t="n">
        <f aca="false">IF(H50="","",TDIST(ABS(H50),G50-1,2))</f>
        <v>0.629196631831307</v>
      </c>
    </row>
    <row r="51" customFormat="false" ht="15" hidden="false" customHeight="false" outlineLevel="0" collapsed="false">
      <c r="A51" s="5" t="s">
        <v>42</v>
      </c>
      <c r="B51" s="5" t="s">
        <v>43</v>
      </c>
      <c r="C51" s="5" t="s">
        <v>5</v>
      </c>
      <c r="D51" s="5" t="s">
        <v>21</v>
      </c>
      <c r="E51" s="16" t="n">
        <v>-0.00487538410832933</v>
      </c>
      <c r="F51" s="16" t="n">
        <v>0.0729260333951768</v>
      </c>
      <c r="G51" s="17" t="n">
        <v>19</v>
      </c>
      <c r="H51" s="18" t="n">
        <f aca="false">IF(F51&gt;0,E51/F51,"")</f>
        <v>-0.0668538227207594</v>
      </c>
      <c r="I51" s="18" t="n">
        <f aca="false">IF(H51="","",TDIST(ABS(H51),G51-1,2))</f>
        <v>0.947435058888054</v>
      </c>
    </row>
    <row r="52" customFormat="false" ht="15" hidden="false" customHeight="false" outlineLevel="0" collapsed="false">
      <c r="A52" s="5" t="s">
        <v>42</v>
      </c>
      <c r="B52" s="5" t="s">
        <v>43</v>
      </c>
      <c r="C52" s="5" t="s">
        <v>6</v>
      </c>
      <c r="D52" s="5" t="s">
        <v>21</v>
      </c>
      <c r="E52" s="16" t="n">
        <v>0.0465083878715877</v>
      </c>
      <c r="F52" s="16" t="n">
        <v>0.16973512000449</v>
      </c>
      <c r="G52" s="17" t="n">
        <v>19</v>
      </c>
      <c r="H52" s="18" t="n">
        <f aca="false">IF(F52&gt;0,E52/F52,"")</f>
        <v>0.274005685272191</v>
      </c>
      <c r="I52" s="18" t="n">
        <f aca="false">IF(H52="","",TDIST(ABS(H52),G52-1,2))</f>
        <v>0.787199900508623</v>
      </c>
    </row>
    <row r="53" customFormat="false" ht="15" hidden="false" customHeight="false" outlineLevel="0" collapsed="false">
      <c r="A53" s="5" t="s">
        <v>44</v>
      </c>
      <c r="B53" s="5" t="s">
        <v>43</v>
      </c>
      <c r="C53" s="5" t="s">
        <v>2</v>
      </c>
      <c r="D53" s="5" t="s">
        <v>23</v>
      </c>
      <c r="E53" s="16" t="n">
        <v>-0.56281523617267</v>
      </c>
      <c r="F53" s="16" t="n">
        <v>0.15396356362664</v>
      </c>
      <c r="G53" s="17" t="n">
        <v>126</v>
      </c>
      <c r="H53" s="18" t="n">
        <f aca="false">IF(F53&gt;0,E53/F53,"")</f>
        <v>-3.65550928359577</v>
      </c>
      <c r="I53" s="18" t="n">
        <f aca="false">IF(H53="","",TDIST(ABS(H53),G53-1,2))</f>
        <v>0.000376493374617188</v>
      </c>
    </row>
    <row r="54" customFormat="false" ht="15" hidden="false" customHeight="false" outlineLevel="0" collapsed="false">
      <c r="A54" s="5" t="s">
        <v>44</v>
      </c>
      <c r="B54" s="5" t="s">
        <v>43</v>
      </c>
      <c r="C54" s="5" t="s">
        <v>3</v>
      </c>
      <c r="D54" s="5" t="s">
        <v>23</v>
      </c>
      <c r="E54" s="16" t="n">
        <v>-0.362650844101327</v>
      </c>
      <c r="F54" s="16" t="n">
        <v>0.179143995730736</v>
      </c>
      <c r="G54" s="17" t="n">
        <v>125</v>
      </c>
      <c r="H54" s="18" t="n">
        <f aca="false">IF(F54&gt;0,E54/F54,"")</f>
        <v>-2.02435388706196</v>
      </c>
      <c r="I54" s="18" t="n">
        <f aca="false">IF(H54="","",TDIST(ABS(H54),G54-1,2))</f>
        <v>0.0450820342107838</v>
      </c>
    </row>
    <row r="55" customFormat="false" ht="15" hidden="false" customHeight="false" outlineLevel="0" collapsed="false">
      <c r="A55" s="5" t="s">
        <v>44</v>
      </c>
      <c r="B55" s="5" t="s">
        <v>43</v>
      </c>
      <c r="C55" s="5" t="s">
        <v>4</v>
      </c>
      <c r="D55" s="5" t="s">
        <v>23</v>
      </c>
      <c r="E55" s="16" t="n">
        <v>-0.407265153298712</v>
      </c>
      <c r="F55" s="16" t="n">
        <v>0.18701412916816</v>
      </c>
      <c r="G55" s="17" t="n">
        <v>125</v>
      </c>
      <c r="H55" s="18" t="n">
        <f aca="false">IF(F55&gt;0,E55/F55,"")</f>
        <v>-2.17772397791669</v>
      </c>
      <c r="I55" s="18" t="n">
        <f aca="false">IF(H55="","",TDIST(ABS(H55),G55-1,2))</f>
        <v>0.0313193895428592</v>
      </c>
    </row>
    <row r="56" customFormat="false" ht="15" hidden="false" customHeight="false" outlineLevel="0" collapsed="false">
      <c r="A56" s="5" t="s">
        <v>44</v>
      </c>
      <c r="B56" s="5" t="s">
        <v>43</v>
      </c>
      <c r="C56" s="5" t="s">
        <v>5</v>
      </c>
      <c r="D56" s="5" t="s">
        <v>23</v>
      </c>
      <c r="E56" s="16" t="n">
        <v>-0.615600940492876</v>
      </c>
      <c r="F56" s="16" t="n">
        <v>0.16151260343732</v>
      </c>
      <c r="G56" s="17" t="n">
        <v>126</v>
      </c>
      <c r="H56" s="18" t="n">
        <f aca="false">IF(F56&gt;0,E56/F56,"")</f>
        <v>-3.81147308254355</v>
      </c>
      <c r="I56" s="18" t="n">
        <f aca="false">IF(H56="","",TDIST(ABS(H56),G56-1,2))</f>
        <v>0.000215716277590649</v>
      </c>
    </row>
    <row r="57" customFormat="false" ht="15" hidden="false" customHeight="false" outlineLevel="0" collapsed="false">
      <c r="A57" s="5" t="s">
        <v>44</v>
      </c>
      <c r="B57" s="5" t="s">
        <v>43</v>
      </c>
      <c r="C57" s="5" t="s">
        <v>6</v>
      </c>
      <c r="D57" s="5" t="s">
        <v>23</v>
      </c>
      <c r="E57" s="16" t="n">
        <v>-0.475064954805801</v>
      </c>
      <c r="F57" s="16" t="n">
        <v>0.192767388574233</v>
      </c>
      <c r="G57" s="17" t="n">
        <v>125</v>
      </c>
      <c r="H57" s="18" t="n">
        <f aca="false">IF(F57&gt;0,E57/F57,"")</f>
        <v>-2.46444670086329</v>
      </c>
      <c r="I57" s="18" t="n">
        <f aca="false">IF(H57="","",TDIST(ABS(H57),G57-1,2))</f>
        <v>0.015092156555316</v>
      </c>
    </row>
    <row r="58" customFormat="false" ht="15" hidden="false" customHeight="false" outlineLevel="0" collapsed="false">
      <c r="A58" s="5" t="s">
        <v>44</v>
      </c>
      <c r="B58" s="5" t="s">
        <v>43</v>
      </c>
      <c r="C58" s="5" t="s">
        <v>2</v>
      </c>
      <c r="D58" s="5" t="s">
        <v>24</v>
      </c>
      <c r="E58" s="16" t="n">
        <v>0.42453131520285</v>
      </c>
      <c r="F58" s="16" t="n">
        <v>0.205415794160837</v>
      </c>
      <c r="G58" s="17" t="n">
        <v>126</v>
      </c>
      <c r="H58" s="18" t="n">
        <f aca="false">IF(F58&gt;0,E58/F58,"")</f>
        <v>2.06669266565963</v>
      </c>
      <c r="I58" s="18" t="n">
        <f aca="false">IF(H58="","",TDIST(ABS(H58),G58-1,2))</f>
        <v>0.0408278101455896</v>
      </c>
    </row>
    <row r="59" customFormat="false" ht="15" hidden="false" customHeight="false" outlineLevel="0" collapsed="false">
      <c r="A59" s="5" t="s">
        <v>44</v>
      </c>
      <c r="B59" s="5" t="s">
        <v>43</v>
      </c>
      <c r="C59" s="5" t="s">
        <v>3</v>
      </c>
      <c r="D59" s="5" t="s">
        <v>24</v>
      </c>
      <c r="E59" s="16" t="n">
        <v>0.392009964838486</v>
      </c>
      <c r="F59" s="16" t="n">
        <v>0.247312636396075</v>
      </c>
      <c r="G59" s="17" t="n">
        <v>125</v>
      </c>
      <c r="H59" s="18" t="n">
        <f aca="false">IF(F59&gt;0,E59/F59,"")</f>
        <v>1.58507858939596</v>
      </c>
      <c r="I59" s="18" t="n">
        <f aca="false">IF(H59="","",TDIST(ABS(H59),G59-1,2))</f>
        <v>0.115495492916864</v>
      </c>
    </row>
    <row r="60" customFormat="false" ht="15" hidden="false" customHeight="false" outlineLevel="0" collapsed="false">
      <c r="A60" s="5" t="s">
        <v>44</v>
      </c>
      <c r="B60" s="5" t="s">
        <v>43</v>
      </c>
      <c r="C60" s="5" t="s">
        <v>4</v>
      </c>
      <c r="D60" s="5" t="s">
        <v>24</v>
      </c>
      <c r="E60" s="16" t="n">
        <v>0.314914004125302</v>
      </c>
      <c r="F60" s="16" t="n">
        <v>0.231748986695165</v>
      </c>
      <c r="G60" s="17" t="n">
        <v>125</v>
      </c>
      <c r="H60" s="18" t="n">
        <f aca="false">IF(F60&gt;0,E60/F60,"")</f>
        <v>1.35885817071351</v>
      </c>
      <c r="I60" s="18" t="n">
        <f aca="false">IF(H60="","",TDIST(ABS(H60),G60-1,2))</f>
        <v>0.176658122746631</v>
      </c>
    </row>
    <row r="61" customFormat="false" ht="15" hidden="false" customHeight="false" outlineLevel="0" collapsed="false">
      <c r="A61" s="5" t="s">
        <v>44</v>
      </c>
      <c r="B61" s="5" t="s">
        <v>43</v>
      </c>
      <c r="C61" s="5" t="s">
        <v>5</v>
      </c>
      <c r="D61" s="5" t="s">
        <v>24</v>
      </c>
      <c r="E61" s="16" t="n">
        <v>0.610725556384547</v>
      </c>
      <c r="F61" s="16" t="n">
        <v>0.233868542773089</v>
      </c>
      <c r="G61" s="17" t="n">
        <v>126</v>
      </c>
      <c r="H61" s="18" t="n">
        <f aca="false">IF(F61&gt;0,E61/F61,"")</f>
        <v>2.61140531831639</v>
      </c>
      <c r="I61" s="18" t="n">
        <f aca="false">IF(H61="","",TDIST(ABS(H61),G61-1,2))</f>
        <v>0.0101206826353642</v>
      </c>
    </row>
    <row r="62" customFormat="false" ht="15" hidden="false" customHeight="false" outlineLevel="0" collapsed="false">
      <c r="A62" s="5" t="s">
        <v>44</v>
      </c>
      <c r="B62" s="5" t="s">
        <v>43</v>
      </c>
      <c r="C62" s="5" t="s">
        <v>6</v>
      </c>
      <c r="D62" s="5" t="s">
        <v>24</v>
      </c>
      <c r="E62" s="16" t="n">
        <v>0.521573342677388</v>
      </c>
      <c r="F62" s="16" t="n">
        <v>0.238053501017088</v>
      </c>
      <c r="G62" s="17" t="n">
        <v>125</v>
      </c>
      <c r="H62" s="18" t="n">
        <f aca="false">IF(F62&gt;0,E62/F62,"")</f>
        <v>2.19099211080265</v>
      </c>
      <c r="I62" s="18" t="n">
        <f aca="false">IF(H62="","",TDIST(ABS(H62),G62-1,2))</f>
        <v>0.0303216360495887</v>
      </c>
    </row>
    <row r="63" customFormat="false" ht="15" hidden="false" customHeight="false" outlineLevel="0" collapsed="false">
      <c r="A63" s="5" t="s">
        <v>44</v>
      </c>
      <c r="B63" s="5" t="s">
        <v>43</v>
      </c>
      <c r="C63" s="5" t="s">
        <v>2</v>
      </c>
      <c r="D63" s="5" t="s">
        <v>25</v>
      </c>
      <c r="E63" s="16" t="n">
        <v>-0.13828392096982</v>
      </c>
      <c r="F63" s="16" t="n">
        <v>0.165976033901939</v>
      </c>
      <c r="G63" s="17" t="n">
        <v>126</v>
      </c>
      <c r="H63" s="18" t="n">
        <f aca="false">IF(F63&gt;0,E63/F63,"")</f>
        <v>-0.833155954621256</v>
      </c>
      <c r="I63" s="18" t="n">
        <f aca="false">IF(H63="","",TDIST(ABS(H63),G63-1,2))</f>
        <v>0.406345901982561</v>
      </c>
    </row>
    <row r="64" customFormat="false" ht="15" hidden="false" customHeight="false" outlineLevel="0" collapsed="false">
      <c r="A64" s="5" t="s">
        <v>44</v>
      </c>
      <c r="B64" s="5" t="s">
        <v>43</v>
      </c>
      <c r="C64" s="5" t="s">
        <v>3</v>
      </c>
      <c r="D64" s="5" t="s">
        <v>25</v>
      </c>
      <c r="E64" s="16" t="n">
        <v>0.029359120737159</v>
      </c>
      <c r="F64" s="16" t="n">
        <v>0.214459097960533</v>
      </c>
      <c r="G64" s="17" t="n">
        <v>125</v>
      </c>
      <c r="H64" s="18" t="n">
        <f aca="false">IF(F64&gt;0,E64/F64,"")</f>
        <v>0.136898462300546</v>
      </c>
      <c r="I64" s="18" t="n">
        <f aca="false">IF(H64="","",TDIST(ABS(H64),G64-1,2))</f>
        <v>0.891333079944032</v>
      </c>
    </row>
    <row r="65" customFormat="false" ht="15" hidden="false" customHeight="false" outlineLevel="0" collapsed="false">
      <c r="A65" s="5" t="s">
        <v>44</v>
      </c>
      <c r="B65" s="5" t="s">
        <v>43</v>
      </c>
      <c r="C65" s="5" t="s">
        <v>4</v>
      </c>
      <c r="D65" s="5" t="s">
        <v>25</v>
      </c>
      <c r="E65" s="16" t="n">
        <v>-0.0923511491734098</v>
      </c>
      <c r="F65" s="16" t="n">
        <v>0.206063041172533</v>
      </c>
      <c r="G65" s="17" t="n">
        <v>125</v>
      </c>
      <c r="H65" s="18" t="n">
        <f aca="false">IF(F65&gt;0,E65/F65,"")</f>
        <v>-0.448169398296348</v>
      </c>
      <c r="I65" s="18" t="n">
        <f aca="false">IF(H65="","",TDIST(ABS(H65),G65-1,2))</f>
        <v>0.654813031534472</v>
      </c>
    </row>
    <row r="66" customFormat="false" ht="15" hidden="false" customHeight="false" outlineLevel="0" collapsed="false">
      <c r="A66" s="5" t="s">
        <v>44</v>
      </c>
      <c r="B66" s="5" t="s">
        <v>43</v>
      </c>
      <c r="C66" s="5" t="s">
        <v>5</v>
      </c>
      <c r="D66" s="5" t="s">
        <v>25</v>
      </c>
      <c r="E66" s="16" t="n">
        <v>-0.00487538410832933</v>
      </c>
      <c r="F66" s="16" t="n">
        <v>0.176352223895671</v>
      </c>
      <c r="G66" s="17" t="n">
        <v>126</v>
      </c>
      <c r="H66" s="18" t="n">
        <f aca="false">IF(F66&gt;0,E66/F66,"")</f>
        <v>-0.0276457194620555</v>
      </c>
      <c r="I66" s="18" t="n">
        <f aca="false">IF(H66="","",TDIST(ABS(H66),G66-1,2))</f>
        <v>0.977988805166748</v>
      </c>
    </row>
    <row r="67" customFormat="false" ht="15" hidden="false" customHeight="false" outlineLevel="0" collapsed="false">
      <c r="A67" s="5" t="s">
        <v>44</v>
      </c>
      <c r="B67" s="5" t="s">
        <v>43</v>
      </c>
      <c r="C67" s="5" t="s">
        <v>6</v>
      </c>
      <c r="D67" s="5" t="s">
        <v>25</v>
      </c>
      <c r="E67" s="16" t="n">
        <v>0.0465083878715877</v>
      </c>
      <c r="F67" s="16" t="n">
        <v>0.20866929739484</v>
      </c>
      <c r="G67" s="17" t="n">
        <v>125</v>
      </c>
      <c r="H67" s="18" t="n">
        <f aca="false">IF(F67&gt;0,E67/F67,"")</f>
        <v>0.222880838016076</v>
      </c>
      <c r="I67" s="18" t="n">
        <f aca="false">IF(H67="","",TDIST(ABS(H67),G67-1,2))</f>
        <v>0.823994975675292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2026-10-20T13:03:20Z</dcterms:created>
  <dc:creator>openpyxl</dc:creator>
  <dc:description/>
  <dc:language>en-US</dc:language>
  <cp:lastModifiedBy/>
  <dcterms:modified xsi:type="dcterms:W3CDTF">2026-10-20T13:03:20Z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