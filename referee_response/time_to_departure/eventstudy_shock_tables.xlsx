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ent study" sheetId="1" state="visible" r:id="rId3"/>
    <sheet name="Estim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<sst xmlns="http://schemas.openxmlformats.org/spreadsheetml/2006/main" count="305" uniqueCount="52">
  <si>
    <t xml:space="preserve">Table 5b: Event Study of Conflicted CIO Performance Around the Loglisci Shock</t>
  </si>
  <si>
    <t xml:space="preserve">This table re-estimates the Table 5b event study for Peer-Adjusted Return and for Benchmark-Adjusted Return (the plan's return minus the updated policy benchmark: the benchmark return reported in the plan's financial report or, where none is stated, an inferred value graded A or B). Each regression includes Conflicted CIO interacted with indicators for fiscal years 2005-2017 except 2009 (the omitted base year), and endpoint bins for Conflicted CIO in years before 2005 and after 2017; there is no standalone Conflicted CIO term. The control variables are those in effect at Table 5b in the paper's code: the lagged return, Size, the lagged funding ratio, lagged allocations, Financial Center, lagged log CIO age and tenure, lagged sibling plans and the political-state indicator. 'Pre-period jointly zero' tests that the pre-2009 coefficients (including the pre-2005 bin) are all zero, i.e., that the effect of conflict before the shock equals its FY2009 value; 'Pre-period equal' tests that they are equal to each other (no change in the effect of conflict before the shock); 'Post-period jointly zero' tests the post-2009 coefficients. The standard errors are double clustered by plan and year. Coefficients marked with ***, **, and * are significant at the 1%, 5%, and 10% level, respectively.</t>
  </si>
  <si>
    <t xml:space="preserve">Peer-adjusted return</t>
  </si>
  <si>
    <t xml:space="preserve">Benchmark-adjusted return (updated benchmark)</t>
  </si>
  <si>
    <t xml:space="preserve">Year FE</t>
  </si>
  <si>
    <t xml:space="preserve">Plan FE</t>
  </si>
  <si>
    <t xml:space="preserve">Plan and year FE</t>
  </si>
  <si>
    <t xml:space="preserve">Conflicted CIO x FY&lt;2005</t>
  </si>
  <si>
    <t xml:space="preserve">Conflicted CIO x FY2005</t>
  </si>
  <si>
    <t xml:space="preserve">Conflicted CIO x FY2006</t>
  </si>
  <si>
    <t xml:space="preserve">Conflicted CIO x FY2007</t>
  </si>
  <si>
    <t xml:space="preserve">Conflicted CIO x FY2008</t>
  </si>
  <si>
    <t xml:space="preserve">Conflicted CIO x FY2010</t>
  </si>
  <si>
    <t xml:space="preserve">Conflicted CIO x FY2011</t>
  </si>
  <si>
    <t xml:space="preserve">Conflicted CIO x FY2012</t>
  </si>
  <si>
    <t xml:space="preserve">Conflicted CIO x FY2013</t>
  </si>
  <si>
    <t xml:space="preserve">Conflicted CIO x FY2014</t>
  </si>
  <si>
    <t xml:space="preserve">Conflicted CIO x FY2015</t>
  </si>
  <si>
    <t xml:space="preserve">Conflicted CIO x FY2016</t>
  </si>
  <si>
    <t xml:space="preserve">Conflicted CIO x FY2017</t>
  </si>
  <si>
    <t xml:space="preserve">Conflicted CIO x FY&gt;2017</t>
  </si>
  <si>
    <t xml:space="preserve">p-value: pre-period jointly zero</t>
  </si>
  <si>
    <t xml:space="preserve">p-value: pre-period equal</t>
  </si>
  <si>
    <t xml:space="preserve">p-value: post-period jointly zero</t>
  </si>
  <si>
    <t xml:space="preserve">Observations</t>
  </si>
  <si>
    <t xml:space="preserve">Adjusted R-squared</t>
  </si>
  <si>
    <t xml:space="preserve">No</t>
  </si>
  <si>
    <t xml:space="preserve">Yes</t>
  </si>
  <si>
    <t xml:space="preserve">Blue p-values are F-tests computed from the two-way clustered covariance (denominator df = clusters - 1). Coefficients and observations will match reghdfe; t-statistics and p-values can differ somewhat. Use the attached Stata code for the exact figures.</t>
  </si>
  <si>
    <t xml:space="preserve">Estimates behind the table. Blue = regression output (coefficient, SE, minimum cluster count). t and p are formulas; p uses the t distribution with (min clusters - 1) df. SE double clustered by plan and year, with the eigenvalue fix.</t>
  </si>
  <si>
    <t xml:space="preserve">Dependent variable</t>
  </si>
  <si>
    <t xml:space="preserve">Specification</t>
  </si>
  <si>
    <t xml:space="preserve">Term</t>
  </si>
  <si>
    <t xml:space="preserve">Coefficient</t>
  </si>
  <si>
    <t xml:space="preserve">SE</t>
  </si>
  <si>
    <t xml:space="preserve">Clusters (min)</t>
  </si>
  <si>
    <t xml:space="preserve">t</t>
  </si>
  <si>
    <t xml:space="preserve">p</t>
  </si>
  <si>
    <t xml:space="preserve">pre_bin</t>
  </si>
  <si>
    <t xml:space="preserve">conf_yr_2005</t>
  </si>
  <si>
    <t xml:space="preserve">conf_yr_2006</t>
  </si>
  <si>
    <t xml:space="preserve">conf_yr_2007</t>
  </si>
  <si>
    <t xml:space="preserve">conf_yr_2008</t>
  </si>
  <si>
    <t xml:space="preserve">conf_yr_2010</t>
  </si>
  <si>
    <t xml:space="preserve">conf_yr_2011</t>
  </si>
  <si>
    <t xml:space="preserve">conf_yr_2012</t>
  </si>
  <si>
    <t xml:space="preserve">conf_yr_2013</t>
  </si>
  <si>
    <t xml:space="preserve">conf_yr_2014</t>
  </si>
  <si>
    <t xml:space="preserve">conf_yr_2015</t>
  </si>
  <si>
    <t xml:space="preserve">conf_yr_2016</t>
  </si>
  <si>
    <t xml:space="preserve">conf_yr_2017</t>
  </si>
  <si>
    <t xml:space="preserve">post_bin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</si>
</sst>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#,##0"/>
    <numFmt numFmtId="167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name val="Times New Roman"/>
      <family val="0"/>
      <charset val="1"/>
    </font>
    <font>
      <sz val="10.5"/>
      <name val="Times New Roman"/>
      <family val="0"/>
      <charset val="1"/>
    </font>
    <font>
      <sz val="10.5"/>
      <color rgb="FF0000FF"/>
      <name val="Times New Roman"/>
      <family val="0"/>
      <charset val="1"/>
    </font>
    <font>
      <i val="true"/>
      <sz val="10.5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3"/>
    <col collapsed="false" customWidth="true" hidden="false" outlineLevel="0" max="5" min="5" style="0" width="3"/>
    <col collapsed="false" customWidth="true" hidden="false" outlineLevel="0" max="8" min="6" style="0" width="13"/>
  </cols>
  <sheetData>
    <row r="1" customFormat="false" ht="15" hidden="false" customHeight="false" outlineLevel="0" collapsed="false">
      <c r="A1" s="1" t="s">
        <v>0</v>
      </c>
    </row>
    <row r="2" customFormat="false" ht="18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/>
      <c r="B4" s="4" t="s">
        <v>2</v>
      </c>
      <c r="C4" s="4"/>
      <c r="D4" s="4"/>
      <c r="F4" s="4" t="s">
        <v>3</v>
      </c>
      <c r="G4" s="4"/>
      <c r="H4" s="4"/>
    </row>
    <row r="5" customFormat="false" ht="30" hidden="false" customHeight="true" outlineLevel="0" collapsed="false">
      <c r="A5" s="5"/>
      <c r="B5" s="6" t="s">
        <v>4</v>
      </c>
      <c r="C5" s="6" t="s">
        <v>5</v>
      </c>
      <c r="D5" s="6" t="s">
        <v>6</v>
      </c>
      <c r="F5" s="6" t="s">
        <v>4</v>
      </c>
      <c r="G5" s="6" t="s">
        <v>5</v>
      </c>
      <c r="H5" s="6" t="s">
        <v>6</v>
      </c>
    </row>
    <row r="6" customFormat="false" ht="15" hidden="false" customHeight="false" outlineLevel="0" collapsed="false">
      <c r="A6" s="7" t="s">
        <v>7</v>
      </c>
      <c r="B6" s="8" t="str">
        <f aca="false">IF(Estimates!H4="","",TEXT(Estimates!D4,"0.000")&amp;IF(Estimates!H4&lt;0.01,"***",IF(Estimates!H4&lt;0.05,"**",IF(Estimates!H4&lt;0.1,"*",""))))</f>
        <v>-0.854***</v>
      </c>
      <c r="C6" s="8" t="str">
        <f aca="false">IF(Estimates!H5="","",TEXT(Estimates!D5,"0.000")&amp;IF(Estimates!H5&lt;0.01,"***",IF(Estimates!H5&lt;0.05,"**",IF(Estimates!H5&lt;0.1,"*",""))))</f>
        <v>-0.491</v>
      </c>
      <c r="D6" s="8" t="str">
        <f aca="false">IF(Estimates!H6="","",TEXT(Estimates!D6,"0.000")&amp;IF(Estimates!H6&lt;0.01,"***",IF(Estimates!H6&lt;0.05,"**",IF(Estimates!H6&lt;0.1,"*",""))))</f>
        <v>-0.712**</v>
      </c>
      <c r="F6" s="8" t="str">
        <f aca="false">IF(Estimates!H7="","",TEXT(Estimates!D7,"0.000")&amp;IF(Estimates!H7&lt;0.01,"***",IF(Estimates!H7&lt;0.05,"**",IF(Estimates!H7&lt;0.1,"*",""))))</f>
        <v>-0.813***</v>
      </c>
      <c r="G6" s="8" t="str">
        <f aca="false">IF(Estimates!H8="","",TEXT(Estimates!D8,"0.000")&amp;IF(Estimates!H8&lt;0.01,"***",IF(Estimates!H8&lt;0.05,"**",IF(Estimates!H8&lt;0.1,"*",""))))</f>
        <v>-0.473</v>
      </c>
      <c r="H6" s="8" t="str">
        <f aca="false">IF(Estimates!H9="","",TEXT(Estimates!D9,"0.000")&amp;IF(Estimates!H9&lt;0.01,"***",IF(Estimates!H9&lt;0.05,"**",IF(Estimates!H9&lt;0.1,"*",""))))</f>
        <v>-0.714***</v>
      </c>
    </row>
    <row r="7" customFormat="false" ht="15" hidden="false" customHeight="false" outlineLevel="0" collapsed="false">
      <c r="B7" s="8" t="str">
        <f aca="false">IF(Estimates!G4="","","("&amp;TEXT(Estimates!G4,"0.00")&amp;")")</f>
        <v>(-4.46)</v>
      </c>
      <c r="C7" s="8" t="str">
        <f aca="false">IF(Estimates!G5="","","("&amp;TEXT(Estimates!G5,"0.00")&amp;")")</f>
        <v>(-1.66)</v>
      </c>
      <c r="D7" s="8" t="str">
        <f aca="false">IF(Estimates!G6="","","("&amp;TEXT(Estimates!G6,"0.00")&amp;")")</f>
        <v>(-2.21)</v>
      </c>
      <c r="F7" s="8" t="str">
        <f aca="false">IF(Estimates!G7="","","("&amp;TEXT(Estimates!G7,"0.00")&amp;")")</f>
        <v>(-8.38)</v>
      </c>
      <c r="G7" s="8" t="str">
        <f aca="false">IF(Estimates!G8="","","("&amp;TEXT(Estimates!G8,"0.00")&amp;")")</f>
        <v>(-1.57)</v>
      </c>
      <c r="H7" s="8" t="str">
        <f aca="false">IF(Estimates!G9="","","("&amp;TEXT(Estimates!G9,"0.00")&amp;")")</f>
        <v>(-5.26)</v>
      </c>
    </row>
    <row r="8" customFormat="false" ht="15" hidden="false" customHeight="false" outlineLevel="0" collapsed="false">
      <c r="A8" s="7" t="s">
        <v>8</v>
      </c>
      <c r="B8" s="8" t="str">
        <f aca="false">IF(Estimates!H10="","",TEXT(Estimates!D10,"0.000")&amp;IF(Estimates!H10&lt;0.01,"***",IF(Estimates!H10&lt;0.05,"**",IF(Estimates!H10&lt;0.1,"*",""))))</f>
        <v>-0.725**</v>
      </c>
      <c r="C8" s="8" t="str">
        <f aca="false">IF(Estimates!H11="","",TEXT(Estimates!D11,"0.000")&amp;IF(Estimates!H11&lt;0.01,"***",IF(Estimates!H11&lt;0.05,"**",IF(Estimates!H11&lt;0.1,"*",""))))</f>
        <v>-0.652*</v>
      </c>
      <c r="D8" s="8" t="str">
        <f aca="false">IF(Estimates!H12="","",TEXT(Estimates!D12,"0.000")&amp;IF(Estimates!H12&lt;0.01,"***",IF(Estimates!H12&lt;0.05,"**",IF(Estimates!H12&lt;0.1,"*",""))))</f>
        <v>-0.861**</v>
      </c>
      <c r="F8" s="8" t="str">
        <f aca="false">IF(Estimates!H13="","",TEXT(Estimates!D13,"0.000")&amp;IF(Estimates!H13&lt;0.01,"***",IF(Estimates!H13&lt;0.05,"**",IF(Estimates!H13&lt;0.1,"*",""))))</f>
        <v>-0.605**</v>
      </c>
      <c r="G8" s="8" t="str">
        <f aca="false">IF(Estimates!H14="","",TEXT(Estimates!D14,"0.000")&amp;IF(Estimates!H14&lt;0.01,"***",IF(Estimates!H14&lt;0.05,"**",IF(Estimates!H14&lt;0.1,"*",""))))</f>
        <v>0.031</v>
      </c>
      <c r="H8" s="8" t="str">
        <f aca="false">IF(Estimates!H15="","",TEXT(Estimates!D15,"0.000")&amp;IF(Estimates!H15&lt;0.01,"***",IF(Estimates!H15&lt;0.05,"**",IF(Estimates!H15&lt;0.1,"*",""))))</f>
        <v>-0.554*</v>
      </c>
    </row>
    <row r="9" customFormat="false" ht="15" hidden="false" customHeight="false" outlineLevel="0" collapsed="false">
      <c r="B9" s="8" t="str">
        <f aca="false">IF(Estimates!G10="","","("&amp;TEXT(Estimates!G10,"0.00")&amp;")")</f>
        <v>(-2.66)</v>
      </c>
      <c r="C9" s="8" t="str">
        <f aca="false">IF(Estimates!G11="","","("&amp;TEXT(Estimates!G11,"0.00")&amp;")")</f>
        <v>(-1.77)</v>
      </c>
      <c r="D9" s="8" t="str">
        <f aca="false">IF(Estimates!G12="","","("&amp;TEXT(Estimates!G12,"0.00")&amp;")")</f>
        <v>(-2.16)</v>
      </c>
      <c r="F9" s="8" t="str">
        <f aca="false">IF(Estimates!G13="","","("&amp;TEXT(Estimates!G13,"0.00")&amp;")")</f>
        <v>(-2.75)</v>
      </c>
      <c r="G9" s="8" t="str">
        <f aca="false">IF(Estimates!G14="","","("&amp;TEXT(Estimates!G14,"0.00")&amp;")")</f>
        <v>(0.09)</v>
      </c>
      <c r="H9" s="8" t="str">
        <f aca="false">IF(Estimates!G15="","","("&amp;TEXT(Estimates!G15,"0.00")&amp;")")</f>
        <v>(-1.74)</v>
      </c>
    </row>
    <row r="10" customFormat="false" ht="15" hidden="false" customHeight="false" outlineLevel="0" collapsed="false">
      <c r="A10" s="7" t="s">
        <v>9</v>
      </c>
      <c r="B10" s="8" t="str">
        <f aca="false">IF(Estimates!H16="","",TEXT(Estimates!D16,"0.000")&amp;IF(Estimates!H16&lt;0.01,"***",IF(Estimates!H16&lt;0.05,"**",IF(Estimates!H16&lt;0.1,"*",""))))</f>
        <v>-1.874***</v>
      </c>
      <c r="C10" s="8" t="str">
        <f aca="false">IF(Estimates!H17="","",TEXT(Estimates!D17,"0.000")&amp;IF(Estimates!H17&lt;0.01,"***",IF(Estimates!H17&lt;0.05,"**",IF(Estimates!H17&lt;0.1,"*",""))))</f>
        <v>-1.373***</v>
      </c>
      <c r="D10" s="8" t="str">
        <f aca="false">IF(Estimates!H18="","",TEXT(Estimates!D18,"0.000")&amp;IF(Estimates!H18&lt;0.01,"***",IF(Estimates!H18&lt;0.05,"**",IF(Estimates!H18&lt;0.1,"*",""))))</f>
        <v>-2.089***</v>
      </c>
      <c r="F10" s="8" t="str">
        <f aca="false">IF(Estimates!H19="","",TEXT(Estimates!D19,"0.000")&amp;IF(Estimates!H19&lt;0.01,"***",IF(Estimates!H19&lt;0.05,"**",IF(Estimates!H19&lt;0.1,"*",""))))</f>
        <v>-0.730***</v>
      </c>
      <c r="G10" s="8" t="str">
        <f aca="false">IF(Estimates!H20="","",TEXT(Estimates!D20,"0.000")&amp;IF(Estimates!H20&lt;0.01,"***",IF(Estimates!H20&lt;0.05,"**",IF(Estimates!H20&lt;0.1,"*",""))))</f>
        <v>0.430</v>
      </c>
      <c r="H10" s="8" t="str">
        <f aca="false">IF(Estimates!H21="","",TEXT(Estimates!D21,"0.000")&amp;IF(Estimates!H21&lt;0.01,"***",IF(Estimates!H21&lt;0.05,"**",IF(Estimates!H21&lt;0.1,"*",""))))</f>
        <v>-0.579</v>
      </c>
    </row>
    <row r="11" customFormat="false" ht="15" hidden="false" customHeight="false" outlineLevel="0" collapsed="false">
      <c r="B11" s="8" t="str">
        <f aca="false">IF(Estimates!G16="","","("&amp;TEXT(Estimates!G16,"0.00")&amp;")")</f>
        <v>(-5.38)</v>
      </c>
      <c r="C11" s="8" t="str">
        <f aca="false">IF(Estimates!G17="","","("&amp;TEXT(Estimates!G17,"0.00")&amp;")")</f>
        <v>(-3.42)</v>
      </c>
      <c r="D11" s="8" t="str">
        <f aca="false">IF(Estimates!G18="","","("&amp;TEXT(Estimates!G18,"0.00")&amp;")")</f>
        <v>(-4.30)</v>
      </c>
      <c r="F11" s="8" t="str">
        <f aca="false">IF(Estimates!G19="","","("&amp;TEXT(Estimates!G19,"0.00")&amp;")")</f>
        <v>(-3.31)</v>
      </c>
      <c r="G11" s="8" t="str">
        <f aca="false">IF(Estimates!G20="","","("&amp;TEXT(Estimates!G20,"0.00")&amp;")")</f>
        <v>(1.43)</v>
      </c>
      <c r="H11" s="8" t="str">
        <f aca="false">IF(Estimates!G21="","","("&amp;TEXT(Estimates!G21,"0.00")&amp;")")</f>
        <v>(-1.72)</v>
      </c>
    </row>
    <row r="12" customFormat="false" ht="15" hidden="false" customHeight="false" outlineLevel="0" collapsed="false">
      <c r="A12" s="7" t="s">
        <v>10</v>
      </c>
      <c r="B12" s="8" t="str">
        <f aca="false">IF(Estimates!H22="","",TEXT(Estimates!D22,"0.000")&amp;IF(Estimates!H22&lt;0.01,"***",IF(Estimates!H22&lt;0.05,"**",IF(Estimates!H22&lt;0.1,"*",""))))</f>
        <v>-2.095***</v>
      </c>
      <c r="C12" s="8" t="str">
        <f aca="false">IF(Estimates!H23="","",TEXT(Estimates!D23,"0.000")&amp;IF(Estimates!H23&lt;0.01,"***",IF(Estimates!H23&lt;0.05,"**",IF(Estimates!H23&lt;0.1,"*",""))))</f>
        <v>-1.874***</v>
      </c>
      <c r="D12" s="8" t="str">
        <f aca="false">IF(Estimates!H24="","",TEXT(Estimates!D24,"0.000")&amp;IF(Estimates!H24&lt;0.01,"***",IF(Estimates!H24&lt;0.05,"**",IF(Estimates!H24&lt;0.1,"*",""))))</f>
        <v>-2.512***</v>
      </c>
      <c r="F12" s="8" t="str">
        <f aca="false">IF(Estimates!H25="","",TEXT(Estimates!D25,"0.000")&amp;IF(Estimates!H25&lt;0.01,"***",IF(Estimates!H25&lt;0.05,"**",IF(Estimates!H25&lt;0.1,"*",""))))</f>
        <v>-1.349***</v>
      </c>
      <c r="G12" s="8" t="str">
        <f aca="false">IF(Estimates!H26="","",TEXT(Estimates!D26,"0.000")&amp;IF(Estimates!H26&lt;0.01,"***",IF(Estimates!H26&lt;0.05,"**",IF(Estimates!H26&lt;0.1,"*",""))))</f>
        <v>-0.485*</v>
      </c>
      <c r="H12" s="8" t="str">
        <f aca="false">IF(Estimates!H27="","",TEXT(Estimates!D27,"0.000")&amp;IF(Estimates!H27&lt;0.01,"***",IF(Estimates!H27&lt;0.05,"**",IF(Estimates!H27&lt;0.1,"*",""))))</f>
        <v>-1.295***</v>
      </c>
    </row>
    <row r="13" customFormat="false" ht="15" hidden="false" customHeight="false" outlineLevel="0" collapsed="false">
      <c r="B13" s="8" t="str">
        <f aca="false">IF(Estimates!G22="","","("&amp;TEXT(Estimates!G22,"0.00")&amp;")")</f>
        <v>(-5.94)</v>
      </c>
      <c r="C13" s="8" t="str">
        <f aca="false">IF(Estimates!G23="","","("&amp;TEXT(Estimates!G23,"0.00")&amp;")")</f>
        <v>(-4.75)</v>
      </c>
      <c r="D13" s="8" t="str">
        <f aca="false">IF(Estimates!G24="","","("&amp;TEXT(Estimates!G24,"0.00")&amp;")")</f>
        <v>(-5.04)</v>
      </c>
      <c r="F13" s="8" t="str">
        <f aca="false">IF(Estimates!G25="","","("&amp;TEXT(Estimates!G25,"0.00")&amp;")")</f>
        <v>(-5.85)</v>
      </c>
      <c r="G13" s="8" t="str">
        <f aca="false">IF(Estimates!G26="","","("&amp;TEXT(Estimates!G26,"0.00")&amp;")")</f>
        <v>(-1.74)</v>
      </c>
      <c r="H13" s="8" t="str">
        <f aca="false">IF(Estimates!G27="","","("&amp;TEXT(Estimates!G27,"0.00")&amp;")")</f>
        <v>(-4.12)</v>
      </c>
    </row>
    <row r="14" customFormat="false" ht="15" hidden="false" customHeight="false" outlineLevel="0" collapsed="false">
      <c r="A14" s="7" t="s">
        <v>11</v>
      </c>
      <c r="B14" s="8" t="str">
        <f aca="false">IF(Estimates!H28="","",TEXT(Estimates!D28,"0.000")&amp;IF(Estimates!H28&lt;0.01,"***",IF(Estimates!H28&lt;0.05,"**",IF(Estimates!H28&lt;0.1,"*",""))))</f>
        <v>-0.567</v>
      </c>
      <c r="C14" s="8" t="str">
        <f aca="false">IF(Estimates!H29="","",TEXT(Estimates!D29,"0.000")&amp;IF(Estimates!H29&lt;0.01,"***",IF(Estimates!H29&lt;0.05,"**",IF(Estimates!H29&lt;0.1,"*",""))))</f>
        <v>-1.004**</v>
      </c>
      <c r="D14" s="8" t="str">
        <f aca="false">IF(Estimates!H30="","",TEXT(Estimates!D30,"0.000")&amp;IF(Estimates!H30&lt;0.01,"***",IF(Estimates!H30&lt;0.05,"**",IF(Estimates!H30&lt;0.1,"*",""))))</f>
        <v>-1.068**</v>
      </c>
      <c r="F14" s="8" t="str">
        <f aca="false">IF(Estimates!H31="","",TEXT(Estimates!D31,"0.000")&amp;IF(Estimates!H31&lt;0.01,"***",IF(Estimates!H31&lt;0.05,"**",IF(Estimates!H31&lt;0.1,"*",""))))</f>
        <v>-0.207</v>
      </c>
      <c r="G14" s="8" t="str">
        <f aca="false">IF(Estimates!H32="","",TEXT(Estimates!D32,"0.000")&amp;IF(Estimates!H32&lt;0.01,"***",IF(Estimates!H32&lt;0.05,"**",IF(Estimates!H32&lt;0.1,"*",""))))</f>
        <v>-0.414</v>
      </c>
      <c r="H14" s="8" t="str">
        <f aca="false">IF(Estimates!H33="","",TEXT(Estimates!D33,"0.000")&amp;IF(Estimates!H33&lt;0.01,"***",IF(Estimates!H33&lt;0.05,"**",IF(Estimates!H33&lt;0.1,"*",""))))</f>
        <v>-0.165</v>
      </c>
    </row>
    <row r="15" customFormat="false" ht="15" hidden="false" customHeight="false" outlineLevel="0" collapsed="false">
      <c r="B15" s="8" t="str">
        <f aca="false">IF(Estimates!G28="","","("&amp;TEXT(Estimates!G28,"0.00")&amp;")")</f>
        <v>(-1.66)</v>
      </c>
      <c r="C15" s="8" t="str">
        <f aca="false">IF(Estimates!G29="","","("&amp;TEXT(Estimates!G29,"0.00")&amp;")")</f>
        <v>(-2.73)</v>
      </c>
      <c r="D15" s="8" t="str">
        <f aca="false">IF(Estimates!G30="","","("&amp;TEXT(Estimates!G30,"0.00")&amp;")")</f>
        <v>(-2.22)</v>
      </c>
      <c r="F15" s="8" t="str">
        <f aca="false">IF(Estimates!G31="","","("&amp;TEXT(Estimates!G31,"0.00")&amp;")")</f>
        <v>(-0.98)</v>
      </c>
      <c r="G15" s="8" t="str">
        <f aca="false">IF(Estimates!G32="","","("&amp;TEXT(Estimates!G32,"0.00")&amp;")")</f>
        <v>(-1.38)</v>
      </c>
      <c r="H15" s="8" t="str">
        <f aca="false">IF(Estimates!G33="","","("&amp;TEXT(Estimates!G33,"0.00")&amp;")")</f>
        <v>(-0.52)</v>
      </c>
    </row>
    <row r="16" customFormat="false" ht="15" hidden="false" customHeight="false" outlineLevel="0" collapsed="false">
      <c r="A16" s="7" t="s">
        <v>12</v>
      </c>
      <c r="B16" s="8" t="str">
        <f aca="false">IF(Estimates!H34="","",TEXT(Estimates!D34,"0.000")&amp;IF(Estimates!H34&lt;0.01,"***",IF(Estimates!H34&lt;0.05,"**",IF(Estimates!H34&lt;0.1,"*",""))))</f>
        <v>-0.344</v>
      </c>
      <c r="C16" s="8" t="str">
        <f aca="false">IF(Estimates!H35="","",TEXT(Estimates!D35,"0.000")&amp;IF(Estimates!H35&lt;0.01,"***",IF(Estimates!H35&lt;0.05,"**",IF(Estimates!H35&lt;0.1,"*",""))))</f>
        <v>-0.579*</v>
      </c>
      <c r="D16" s="8" t="str">
        <f aca="false">IF(Estimates!H36="","",TEXT(Estimates!D36,"0.000")&amp;IF(Estimates!H36&lt;0.01,"***",IF(Estimates!H36&lt;0.05,"**",IF(Estimates!H36&lt;0.1,"*",""))))</f>
        <v>-0.714**</v>
      </c>
      <c r="F16" s="8" t="str">
        <f aca="false">IF(Estimates!H37="","",TEXT(Estimates!D37,"0.000")&amp;IF(Estimates!H37&lt;0.01,"***",IF(Estimates!H37&lt;0.05,"**",IF(Estimates!H37&lt;0.1,"*",""))))</f>
        <v>-0.091</v>
      </c>
      <c r="G16" s="8" t="str">
        <f aca="false">IF(Estimates!H38="","",TEXT(Estimates!D38,"0.000")&amp;IF(Estimates!H38&lt;0.01,"***",IF(Estimates!H38&lt;0.05,"**",IF(Estimates!H38&lt;0.1,"*",""))))</f>
        <v>0.945*</v>
      </c>
      <c r="H16" s="8" t="str">
        <f aca="false">IF(Estimates!H39="","",TEXT(Estimates!D39,"0.000")&amp;IF(Estimates!H39&lt;0.01,"***",IF(Estimates!H39&lt;0.05,"**",IF(Estimates!H39&lt;0.1,"*",""))))</f>
        <v>-0.133</v>
      </c>
    </row>
    <row r="17" customFormat="false" ht="15" hidden="false" customHeight="false" outlineLevel="0" collapsed="false">
      <c r="B17" s="8" t="str">
        <f aca="false">IF(Estimates!G34="","","("&amp;TEXT(Estimates!G34,"0.00")&amp;")")</f>
        <v>(-1.28)</v>
      </c>
      <c r="C17" s="8" t="str">
        <f aca="false">IF(Estimates!G35="","","("&amp;TEXT(Estimates!G35,"0.00")&amp;")")</f>
        <v>(-2.04)</v>
      </c>
      <c r="D17" s="8" t="str">
        <f aca="false">IF(Estimates!G36="","","("&amp;TEXT(Estimates!G36,"0.00")&amp;")")</f>
        <v>(-2.11)</v>
      </c>
      <c r="F17" s="8" t="str">
        <f aca="false">IF(Estimates!G37="","","("&amp;TEXT(Estimates!G37,"0.00")&amp;")")</f>
        <v>(-0.43)</v>
      </c>
      <c r="G17" s="8" t="str">
        <f aca="false">IF(Estimates!G38="","","("&amp;TEXT(Estimates!G38,"0.00")&amp;")")</f>
        <v>(1.76)</v>
      </c>
      <c r="H17" s="8" t="str">
        <f aca="false">IF(Estimates!G39="","","("&amp;TEXT(Estimates!G39,"0.00")&amp;")")</f>
        <v>(-0.45)</v>
      </c>
    </row>
    <row r="18" customFormat="false" ht="15" hidden="false" customHeight="false" outlineLevel="0" collapsed="false">
      <c r="A18" s="7" t="s">
        <v>13</v>
      </c>
      <c r="B18" s="8" t="str">
        <f aca="false">IF(Estimates!H40="","",TEXT(Estimates!D40,"0.000")&amp;IF(Estimates!H40&lt;0.01,"***",IF(Estimates!H40&lt;0.05,"**",IF(Estimates!H40&lt;0.1,"*",""))))</f>
        <v>-0.297</v>
      </c>
      <c r="C18" s="8" t="str">
        <f aca="false">IF(Estimates!H41="","",TEXT(Estimates!D41,"0.000")&amp;IF(Estimates!H41&lt;0.01,"***",IF(Estimates!H41&lt;0.05,"**",IF(Estimates!H41&lt;0.1,"*",""))))</f>
        <v>-1.104***</v>
      </c>
      <c r="D18" s="8" t="str">
        <f aca="false">IF(Estimates!H42="","",TEXT(Estimates!D42,"0.000")&amp;IF(Estimates!H42&lt;0.01,"***",IF(Estimates!H42&lt;0.05,"**",IF(Estimates!H42&lt;0.1,"*",""))))</f>
        <v>-0.784*</v>
      </c>
      <c r="F18" s="8" t="str">
        <f aca="false">IF(Estimates!H43="","",TEXT(Estimates!D43,"0.000")&amp;IF(Estimates!H43&lt;0.01,"***",IF(Estimates!H43&lt;0.05,"**",IF(Estimates!H43&lt;0.1,"*",""))))</f>
        <v>-0.206</v>
      </c>
      <c r="G18" s="8" t="str">
        <f aca="false">IF(Estimates!H44="","",TEXT(Estimates!D44,"0.000")&amp;IF(Estimates!H44&lt;0.01,"***",IF(Estimates!H44&lt;0.05,"**",IF(Estimates!H44&lt;0.1,"*",""))))</f>
        <v>-0.406*</v>
      </c>
      <c r="H18" s="8" t="str">
        <f aca="false">IF(Estimates!H45="","",TEXT(Estimates!D45,"0.000")&amp;IF(Estimates!H45&lt;0.01,"***",IF(Estimates!H45&lt;0.05,"**",IF(Estimates!H45&lt;0.1,"*",""))))</f>
        <v>-0.233</v>
      </c>
    </row>
    <row r="19" customFormat="false" ht="15" hidden="false" customHeight="false" outlineLevel="0" collapsed="false">
      <c r="B19" s="8" t="str">
        <f aca="false">IF(Estimates!G40="","","("&amp;TEXT(Estimates!G40,"0.00")&amp;")")</f>
        <v>(-1.11)</v>
      </c>
      <c r="C19" s="8" t="str">
        <f aca="false">IF(Estimates!G41="","","("&amp;TEXT(Estimates!G41,"0.00")&amp;")")</f>
        <v>(-2.89)</v>
      </c>
      <c r="D19" s="8" t="str">
        <f aca="false">IF(Estimates!G42="","","("&amp;TEXT(Estimates!G42,"0.00")&amp;")")</f>
        <v>(-2.06)</v>
      </c>
      <c r="F19" s="8" t="str">
        <f aca="false">IF(Estimates!G43="","","("&amp;TEXT(Estimates!G43,"0.00")&amp;")")</f>
        <v>(-0.90)</v>
      </c>
      <c r="G19" s="8" t="str">
        <f aca="false">IF(Estimates!G44="","","("&amp;TEXT(Estimates!G44,"0.00")&amp;")")</f>
        <v>(-1.74)</v>
      </c>
      <c r="H19" s="8" t="str">
        <f aca="false">IF(Estimates!G45="","","("&amp;TEXT(Estimates!G45,"0.00")&amp;")")</f>
        <v>(-0.91)</v>
      </c>
    </row>
    <row r="20" customFormat="false" ht="15" hidden="false" customHeight="false" outlineLevel="0" collapsed="false">
      <c r="A20" s="7" t="s">
        <v>14</v>
      </c>
      <c r="B20" s="8" t="str">
        <f aca="false">IF(Estimates!H46="","",TEXT(Estimates!D46,"0.000")&amp;IF(Estimates!H46&lt;0.01,"***",IF(Estimates!H46&lt;0.05,"**",IF(Estimates!H46&lt;0.1,"*",""))))</f>
        <v>-0.284</v>
      </c>
      <c r="C20" s="8" t="str">
        <f aca="false">IF(Estimates!H47="","",TEXT(Estimates!D47,"0.000")&amp;IF(Estimates!H47&lt;0.01,"***",IF(Estimates!H47&lt;0.05,"**",IF(Estimates!H47&lt;0.1,"*",""))))</f>
        <v>-0.951***</v>
      </c>
      <c r="D20" s="8" t="str">
        <f aca="false">IF(Estimates!H48="","",TEXT(Estimates!D48,"0.000")&amp;IF(Estimates!H48&lt;0.01,"***",IF(Estimates!H48&lt;0.05,"**",IF(Estimates!H48&lt;0.1,"*",""))))</f>
        <v>-0.442</v>
      </c>
      <c r="F20" s="8" t="str">
        <f aca="false">IF(Estimates!H49="","",TEXT(Estimates!D49,"0.000")&amp;IF(Estimates!H49&lt;0.01,"***",IF(Estimates!H49&lt;0.05,"**",IF(Estimates!H49&lt;0.1,"*",""))))</f>
        <v>-0.395*</v>
      </c>
      <c r="G20" s="8" t="str">
        <f aca="false">IF(Estimates!H50="","",TEXT(Estimates!D50,"0.000")&amp;IF(Estimates!H50&lt;0.01,"***",IF(Estimates!H50&lt;0.05,"**",IF(Estimates!H50&lt;0.1,"*",""))))</f>
        <v>-0.782**</v>
      </c>
      <c r="H20" s="8" t="str">
        <f aca="false">IF(Estimates!H51="","",TEXT(Estimates!D51,"0.000")&amp;IF(Estimates!H51&lt;0.01,"***",IF(Estimates!H51&lt;0.05,"**",IF(Estimates!H51&lt;0.1,"*",""))))</f>
        <v>-0.260</v>
      </c>
    </row>
    <row r="21" customFormat="false" ht="15" hidden="false" customHeight="false" outlineLevel="0" collapsed="false">
      <c r="B21" s="8" t="str">
        <f aca="false">IF(Estimates!G46="","","("&amp;TEXT(Estimates!G46,"0.00")&amp;")")</f>
        <v>(-1.49)</v>
      </c>
      <c r="C21" s="8" t="str">
        <f aca="false">IF(Estimates!G47="","","("&amp;TEXT(Estimates!G47,"0.00")&amp;")")</f>
        <v>(-2.91)</v>
      </c>
      <c r="D21" s="8" t="str">
        <f aca="false">IF(Estimates!G48="","","("&amp;TEXT(Estimates!G48,"0.00")&amp;")")</f>
        <v>(-1.59)</v>
      </c>
      <c r="F21" s="8" t="str">
        <f aca="false">IF(Estimates!G49="","","("&amp;TEXT(Estimates!G49,"0.00")&amp;")")</f>
        <v>(-1.80)</v>
      </c>
      <c r="G21" s="8" t="str">
        <f aca="false">IF(Estimates!G50="","","("&amp;TEXT(Estimates!G50,"0.00")&amp;")")</f>
        <v>(-2.32)</v>
      </c>
      <c r="H21" s="8" t="str">
        <f aca="false">IF(Estimates!G51="","","("&amp;TEXT(Estimates!G51,"0.00")&amp;")")</f>
        <v>(-0.90)</v>
      </c>
    </row>
    <row r="22" customFormat="false" ht="15" hidden="false" customHeight="false" outlineLevel="0" collapsed="false">
      <c r="A22" s="7" t="s">
        <v>15</v>
      </c>
      <c r="B22" s="8" t="str">
        <f aca="false">IF(Estimates!H52="","",TEXT(Estimates!D52,"0.000")&amp;IF(Estimates!H52&lt;0.01,"***",IF(Estimates!H52&lt;0.05,"**",IF(Estimates!H52&lt;0.1,"*",""))))</f>
        <v>0.257</v>
      </c>
      <c r="C22" s="8" t="str">
        <f aca="false">IF(Estimates!H53="","",TEXT(Estimates!D53,"0.000")&amp;IF(Estimates!H53&lt;0.01,"***",IF(Estimates!H53&lt;0.05,"**",IF(Estimates!H53&lt;0.1,"*",""))))</f>
        <v>-0.473*</v>
      </c>
      <c r="D22" s="8" t="str">
        <f aca="false">IF(Estimates!H54="","",TEXT(Estimates!D54,"0.000")&amp;IF(Estimates!H54&lt;0.01,"***",IF(Estimates!H54&lt;0.05,"**",IF(Estimates!H54&lt;0.1,"*",""))))</f>
        <v>-0.079</v>
      </c>
      <c r="F22" s="8" t="str">
        <f aca="false">IF(Estimates!H55="","",TEXT(Estimates!D55,"0.000")&amp;IF(Estimates!H55&lt;0.01,"***",IF(Estimates!H55&lt;0.05,"**",IF(Estimates!H55&lt;0.1,"*",""))))</f>
        <v>-0.382**</v>
      </c>
      <c r="G22" s="8" t="str">
        <f aca="false">IF(Estimates!H56="","",TEXT(Estimates!D56,"0.000")&amp;IF(Estimates!H56&lt;0.01,"***",IF(Estimates!H56&lt;0.05,"**",IF(Estimates!H56&lt;0.1,"*",""))))</f>
        <v>0.378</v>
      </c>
      <c r="H22" s="8" t="str">
        <f aca="false">IF(Estimates!H57="","",TEXT(Estimates!D57,"0.000")&amp;IF(Estimates!H57&lt;0.01,"***",IF(Estimates!H57&lt;0.05,"**",IF(Estimates!H57&lt;0.1,"*",""))))</f>
        <v>-0.406</v>
      </c>
    </row>
    <row r="23" customFormat="false" ht="15" hidden="false" customHeight="false" outlineLevel="0" collapsed="false">
      <c r="B23" s="8" t="str">
        <f aca="false">IF(Estimates!G52="","","("&amp;TEXT(Estimates!G52,"0.00")&amp;")")</f>
        <v>(1.35)</v>
      </c>
      <c r="C23" s="8" t="str">
        <f aca="false">IF(Estimates!G53="","","("&amp;TEXT(Estimates!G53,"0.00")&amp;")")</f>
        <v>(-1.99)</v>
      </c>
      <c r="D23" s="8" t="str">
        <f aca="false">IF(Estimates!G54="","","("&amp;TEXT(Estimates!G54,"0.00")&amp;")")</f>
        <v>(-0.24)</v>
      </c>
      <c r="F23" s="8" t="str">
        <f aca="false">IF(Estimates!G55="","","("&amp;TEXT(Estimates!G55,"0.00")&amp;")")</f>
        <v>(-2.39)</v>
      </c>
      <c r="G23" s="8" t="str">
        <f aca="false">IF(Estimates!G56="","","("&amp;TEXT(Estimates!G56,"0.00")&amp;")")</f>
        <v>(1.07)</v>
      </c>
      <c r="H23" s="8" t="str">
        <f aca="false">IF(Estimates!G57="","","("&amp;TEXT(Estimates!G57,"0.00")&amp;")")</f>
        <v>(-1.43)</v>
      </c>
    </row>
    <row r="24" customFormat="false" ht="15" hidden="false" customHeight="false" outlineLevel="0" collapsed="false">
      <c r="A24" s="7" t="s">
        <v>16</v>
      </c>
      <c r="B24" s="8" t="str">
        <f aca="false">IF(Estimates!H58="","",TEXT(Estimates!D58,"0.000")&amp;IF(Estimates!H58&lt;0.01,"***",IF(Estimates!H58&lt;0.05,"**",IF(Estimates!H58&lt;0.1,"*",""))))</f>
        <v>-0.483**</v>
      </c>
      <c r="C24" s="8" t="str">
        <f aca="false">IF(Estimates!H59="","",TEXT(Estimates!D59,"0.000")&amp;IF(Estimates!H59&lt;0.01,"***",IF(Estimates!H59&lt;0.05,"**",IF(Estimates!H59&lt;0.1,"*",""))))</f>
        <v>-0.525</v>
      </c>
      <c r="D24" s="8" t="str">
        <f aca="false">IF(Estimates!H60="","",TEXT(Estimates!D60,"0.000")&amp;IF(Estimates!H60&lt;0.01,"***",IF(Estimates!H60&lt;0.05,"**",IF(Estimates!H60&lt;0.1,"*",""))))</f>
        <v>-0.702*</v>
      </c>
      <c r="F24" s="8" t="str">
        <f aca="false">IF(Estimates!H61="","",TEXT(Estimates!D61,"0.000")&amp;IF(Estimates!H61&lt;0.01,"***",IF(Estimates!H61&lt;0.05,"**",IF(Estimates!H61&lt;0.1,"*",""))))</f>
        <v>0.214</v>
      </c>
      <c r="G24" s="8" t="str">
        <f aca="false">IF(Estimates!H62="","",TEXT(Estimates!D62,"0.000")&amp;IF(Estimates!H62&lt;0.01,"***",IF(Estimates!H62&lt;0.05,"**",IF(Estimates!H62&lt;0.1,"*",""))))</f>
        <v>0.506*</v>
      </c>
      <c r="H24" s="8" t="str">
        <f aca="false">IF(Estimates!H63="","",TEXT(Estimates!D63,"0.000")&amp;IF(Estimates!H63&lt;0.01,"***",IF(Estimates!H63&lt;0.05,"**",IF(Estimates!H63&lt;0.1,"*",""))))</f>
        <v>0.403</v>
      </c>
    </row>
    <row r="25" customFormat="false" ht="15" hidden="false" customHeight="false" outlineLevel="0" collapsed="false">
      <c r="B25" s="8" t="str">
        <f aca="false">IF(Estimates!G58="","","("&amp;TEXT(Estimates!G58,"0.00")&amp;")")</f>
        <v>(-2.62)</v>
      </c>
      <c r="C25" s="8" t="str">
        <f aca="false">IF(Estimates!G59="","","("&amp;TEXT(Estimates!G59,"0.00")&amp;")")</f>
        <v>(-1.65)</v>
      </c>
      <c r="D25" s="8" t="str">
        <f aca="false">IF(Estimates!G60="","","("&amp;TEXT(Estimates!G60,"0.00")&amp;")")</f>
        <v>(-1.91)</v>
      </c>
      <c r="F25" s="8" t="str">
        <f aca="false">IF(Estimates!G61="","","("&amp;TEXT(Estimates!G61,"0.00")&amp;")")</f>
        <v>(0.94)</v>
      </c>
      <c r="G25" s="8" t="str">
        <f aca="false">IF(Estimates!G62="","","("&amp;TEXT(Estimates!G62,"0.00")&amp;")")</f>
        <v>(1.86)</v>
      </c>
      <c r="H25" s="8" t="str">
        <f aca="false">IF(Estimates!G63="","","("&amp;TEXT(Estimates!G63,"0.00")&amp;")")</f>
        <v>(1.47)</v>
      </c>
    </row>
    <row r="26" customFormat="false" ht="15" hidden="false" customHeight="false" outlineLevel="0" collapsed="false">
      <c r="A26" s="7" t="s">
        <v>17</v>
      </c>
      <c r="B26" s="8" t="str">
        <f aca="false">IF(Estimates!H64="","",TEXT(Estimates!D64,"0.000")&amp;IF(Estimates!H64&lt;0.01,"***",IF(Estimates!H64&lt;0.05,"**",IF(Estimates!H64&lt;0.1,"*",""))))</f>
        <v>-0.519**</v>
      </c>
      <c r="C26" s="8" t="str">
        <f aca="false">IF(Estimates!H65="","",TEXT(Estimates!D65,"0.000")&amp;IF(Estimates!H65&lt;0.01,"***",IF(Estimates!H65&lt;0.05,"**",IF(Estimates!H65&lt;0.1,"*",""))))</f>
        <v>-0.439</v>
      </c>
      <c r="D26" s="8" t="str">
        <f aca="false">IF(Estimates!H66="","",TEXT(Estimates!D66,"0.000")&amp;IF(Estimates!H66&lt;0.01,"***",IF(Estimates!H66&lt;0.05,"**",IF(Estimates!H66&lt;0.1,"*",""))))</f>
        <v>-0.623</v>
      </c>
      <c r="F26" s="8" t="str">
        <f aca="false">IF(Estimates!H67="","",TEXT(Estimates!D67,"0.000")&amp;IF(Estimates!H67&lt;0.01,"***",IF(Estimates!H67&lt;0.05,"**",IF(Estimates!H67&lt;0.1,"*",""))))</f>
        <v>-0.694***</v>
      </c>
      <c r="G26" s="8" t="str">
        <f aca="false">IF(Estimates!H68="","",TEXT(Estimates!D68,"0.000")&amp;IF(Estimates!H68&lt;0.01,"***",IF(Estimates!H68&lt;0.05,"**",IF(Estimates!H68&lt;0.1,"*",""))))</f>
        <v>-0.105</v>
      </c>
      <c r="H26" s="8" t="str">
        <f aca="false">IF(Estimates!H69="","",TEXT(Estimates!D69,"0.000")&amp;IF(Estimates!H69&lt;0.01,"***",IF(Estimates!H69&lt;0.05,"**",IF(Estimates!H69&lt;0.1,"*",""))))</f>
        <v>-0.372</v>
      </c>
    </row>
    <row r="27" customFormat="false" ht="15" hidden="false" customHeight="false" outlineLevel="0" collapsed="false">
      <c r="B27" s="8" t="str">
        <f aca="false">IF(Estimates!G64="","","("&amp;TEXT(Estimates!G64,"0.00")&amp;")")</f>
        <v>(-2.32)</v>
      </c>
      <c r="C27" s="8" t="str">
        <f aca="false">IF(Estimates!G65="","","("&amp;TEXT(Estimates!G65,"0.00")&amp;")")</f>
        <v>(-1.22)</v>
      </c>
      <c r="D27" s="8" t="str">
        <f aca="false">IF(Estimates!G66="","","("&amp;TEXT(Estimates!G66,"0.00")&amp;")")</f>
        <v>(-1.48)</v>
      </c>
      <c r="F27" s="8" t="str">
        <f aca="false">IF(Estimates!G67="","","("&amp;TEXT(Estimates!G67,"0.00")&amp;")")</f>
        <v>(-4.21)</v>
      </c>
      <c r="G27" s="8" t="str">
        <f aca="false">IF(Estimates!G68="","","("&amp;TEXT(Estimates!G68,"0.00")&amp;")")</f>
        <v>(-0.38)</v>
      </c>
      <c r="H27" s="8" t="str">
        <f aca="false">IF(Estimates!G69="","","("&amp;TEXT(Estimates!G69,"0.00")&amp;")")</f>
        <v>(-1.69)</v>
      </c>
    </row>
    <row r="28" customFormat="false" ht="15" hidden="false" customHeight="false" outlineLevel="0" collapsed="false">
      <c r="A28" s="7" t="s">
        <v>18</v>
      </c>
      <c r="B28" s="8" t="str">
        <f aca="false">IF(Estimates!H70="","",TEXT(Estimates!D70,"0.000")&amp;IF(Estimates!H70&lt;0.01,"***",IF(Estimates!H70&lt;0.05,"**",IF(Estimates!H70&lt;0.1,"*",""))))</f>
        <v>-1.218***</v>
      </c>
      <c r="C28" s="8" t="str">
        <f aca="false">IF(Estimates!H71="","",TEXT(Estimates!D71,"0.000")&amp;IF(Estimates!H71&lt;0.01,"***",IF(Estimates!H71&lt;0.05,"**",IF(Estimates!H71&lt;0.1,"*",""))))</f>
        <v>-0.485</v>
      </c>
      <c r="D28" s="8" t="str">
        <f aca="false">IF(Estimates!H72="","",TEXT(Estimates!D72,"0.000")&amp;IF(Estimates!H72&lt;0.01,"***",IF(Estimates!H72&lt;0.05,"**",IF(Estimates!H72&lt;0.1,"*",""))))</f>
        <v>-1.107**</v>
      </c>
      <c r="F28" s="8" t="str">
        <f aca="false">IF(Estimates!H73="","",TEXT(Estimates!D73,"0.000")&amp;IF(Estimates!H73&lt;0.01,"***",IF(Estimates!H73&lt;0.05,"**",IF(Estimates!H73&lt;0.1,"*",""))))</f>
        <v>-0.561**</v>
      </c>
      <c r="G28" s="8" t="str">
        <f aca="false">IF(Estimates!H74="","",TEXT(Estimates!D74,"0.000")&amp;IF(Estimates!H74&lt;0.01,"***",IF(Estimates!H74&lt;0.05,"**",IF(Estimates!H74&lt;0.1,"*",""))))</f>
        <v>-0.366</v>
      </c>
      <c r="H28" s="8" t="str">
        <f aca="false">IF(Estimates!H75="","",TEXT(Estimates!D75,"0.000")&amp;IF(Estimates!H75&lt;0.01,"***",IF(Estimates!H75&lt;0.05,"**",IF(Estimates!H75&lt;0.1,"*",""))))</f>
        <v>0.079</v>
      </c>
    </row>
    <row r="29" customFormat="false" ht="15" hidden="false" customHeight="false" outlineLevel="0" collapsed="false">
      <c r="B29" s="8" t="str">
        <f aca="false">IF(Estimates!G70="","","("&amp;TEXT(Estimates!G70,"0.00")&amp;")")</f>
        <v>(-5.32)</v>
      </c>
      <c r="C29" s="8" t="str">
        <f aca="false">IF(Estimates!G71="","","("&amp;TEXT(Estimates!G71,"0.00")&amp;")")</f>
        <v>(-1.26)</v>
      </c>
      <c r="D29" s="8" t="str">
        <f aca="false">IF(Estimates!G72="","","("&amp;TEXT(Estimates!G72,"0.00")&amp;")")</f>
        <v>(-2.28)</v>
      </c>
      <c r="F29" s="8" t="str">
        <f aca="false">IF(Estimates!G73="","","("&amp;TEXT(Estimates!G73,"0.00")&amp;")")</f>
        <v>(-2.86)</v>
      </c>
      <c r="G29" s="8" t="str">
        <f aca="false">IF(Estimates!G74="","","("&amp;TEXT(Estimates!G74,"0.00")&amp;")")</f>
        <v>(-0.91)</v>
      </c>
      <c r="H29" s="8" t="str">
        <f aca="false">IF(Estimates!G75="","","("&amp;TEXT(Estimates!G75,"0.00")&amp;")")</f>
        <v>(0.23)</v>
      </c>
    </row>
    <row r="30" customFormat="false" ht="15" hidden="false" customHeight="false" outlineLevel="0" collapsed="false">
      <c r="A30" s="7" t="s">
        <v>19</v>
      </c>
      <c r="B30" s="8" t="str">
        <f aca="false">IF(Estimates!H76="","",TEXT(Estimates!D76,"0.000")&amp;IF(Estimates!H76&lt;0.01,"***",IF(Estimates!H76&lt;0.05,"**",IF(Estimates!H76&lt;0.1,"*",""))))</f>
        <v>0.127</v>
      </c>
      <c r="C30" s="8" t="str">
        <f aca="false">IF(Estimates!H77="","",TEXT(Estimates!D77,"0.000")&amp;IF(Estimates!H77&lt;0.01,"***",IF(Estimates!H77&lt;0.05,"**",IF(Estimates!H77&lt;0.1,"*",""))))</f>
        <v>0.435</v>
      </c>
      <c r="D30" s="8" t="str">
        <f aca="false">IF(Estimates!H78="","",TEXT(Estimates!D78,"0.000")&amp;IF(Estimates!H78&lt;0.01,"***",IF(Estimates!H78&lt;0.05,"**",IF(Estimates!H78&lt;0.1,"*",""))))</f>
        <v>-0.155</v>
      </c>
      <c r="F30" s="8" t="str">
        <f aca="false">IF(Estimates!H79="","",TEXT(Estimates!D79,"0.000")&amp;IF(Estimates!H79&lt;0.01,"***",IF(Estimates!H79&lt;0.05,"**",IF(Estimates!H79&lt;0.1,"*",""))))</f>
        <v>-0.484*</v>
      </c>
      <c r="G30" s="8" t="str">
        <f aca="false">IF(Estimates!H80="","",TEXT(Estimates!D80,"0.000")&amp;IF(Estimates!H80&lt;0.01,"***",IF(Estimates!H80&lt;0.05,"**",IF(Estimates!H80&lt;0.1,"*",""))))</f>
        <v>0.473</v>
      </c>
      <c r="H30" s="8" t="str">
        <f aca="false">IF(Estimates!H81="","",TEXT(Estimates!D81,"0.000")&amp;IF(Estimates!H81&lt;0.01,"***",IF(Estimates!H81&lt;0.05,"**",IF(Estimates!H81&lt;0.1,"*",""))))</f>
        <v>-0.364</v>
      </c>
    </row>
    <row r="31" customFormat="false" ht="15" hidden="false" customHeight="false" outlineLevel="0" collapsed="false">
      <c r="B31" s="8" t="str">
        <f aca="false">IF(Estimates!G76="","","("&amp;TEXT(Estimates!G76,"0.00")&amp;")")</f>
        <v>(0.53)</v>
      </c>
      <c r="C31" s="8" t="str">
        <f aca="false">IF(Estimates!G77="","","("&amp;TEXT(Estimates!G77,"0.00")&amp;")")</f>
        <v>(1.26)</v>
      </c>
      <c r="D31" s="8" t="str">
        <f aca="false">IF(Estimates!G78="","","("&amp;TEXT(Estimates!G78,"0.00")&amp;")")</f>
        <v>(-0.33)</v>
      </c>
      <c r="F31" s="8" t="str">
        <f aca="false">IF(Estimates!G79="","","("&amp;TEXT(Estimates!G79,"0.00")&amp;")")</f>
        <v>(-1.76)</v>
      </c>
      <c r="G31" s="8" t="str">
        <f aca="false">IF(Estimates!G80="","","("&amp;TEXT(Estimates!G80,"0.00")&amp;")")</f>
        <v>(0.75)</v>
      </c>
      <c r="H31" s="8" t="str">
        <f aca="false">IF(Estimates!G81="","","("&amp;TEXT(Estimates!G81,"0.00")&amp;")")</f>
        <v>(-0.83)</v>
      </c>
    </row>
    <row r="32" customFormat="false" ht="15" hidden="false" customHeight="false" outlineLevel="0" collapsed="false">
      <c r="A32" s="7" t="s">
        <v>20</v>
      </c>
      <c r="B32" s="8" t="str">
        <f aca="false">IF(Estimates!H82="","",TEXT(Estimates!D82,"0.000")&amp;IF(Estimates!H82&lt;0.01,"***",IF(Estimates!H82&lt;0.05,"**",IF(Estimates!H82&lt;0.1,"*",""))))</f>
        <v>0.539</v>
      </c>
      <c r="C32" s="8" t="str">
        <f aca="false">IF(Estimates!H83="","",TEXT(Estimates!D83,"0.000")&amp;IF(Estimates!H83&lt;0.01,"***",IF(Estimates!H83&lt;0.05,"**",IF(Estimates!H83&lt;0.1,"*",""))))</f>
        <v>0.781</v>
      </c>
      <c r="D32" s="8" t="str">
        <f aca="false">IF(Estimates!H84="","",TEXT(Estimates!D84,"0.000")&amp;IF(Estimates!H84&lt;0.01,"***",IF(Estimates!H84&lt;0.05,"**",IF(Estimates!H84&lt;0.1,"*",""))))</f>
        <v>0.187</v>
      </c>
      <c r="F32" s="8" t="str">
        <f aca="false">IF(Estimates!H85="","",TEXT(Estimates!D85,"0.000")&amp;IF(Estimates!H85&lt;0.01,"***",IF(Estimates!H85&lt;0.05,"**",IF(Estimates!H85&lt;0.1,"*",""))))</f>
        <v>0.454</v>
      </c>
      <c r="G32" s="8" t="str">
        <f aca="false">IF(Estimates!H86="","",TEXT(Estimates!D86,"0.000")&amp;IF(Estimates!H86&lt;0.01,"***",IF(Estimates!H86&lt;0.05,"**",IF(Estimates!H86&lt;0.1,"*",""))))</f>
        <v>0.640</v>
      </c>
      <c r="H32" s="8" t="str">
        <f aca="false">IF(Estimates!H87="","",TEXT(Estimates!D87,"0.000")&amp;IF(Estimates!H87&lt;0.01,"***",IF(Estimates!H87&lt;0.05,"**",IF(Estimates!H87&lt;0.1,"*",""))))</f>
        <v>0.437</v>
      </c>
    </row>
    <row r="33" customFormat="false" ht="15" hidden="false" customHeight="false" outlineLevel="0" collapsed="false">
      <c r="B33" s="8" t="str">
        <f aca="false">IF(Estimates!G82="","","("&amp;TEXT(Estimates!G82,"0.00")&amp;")")</f>
        <v>(1.44)</v>
      </c>
      <c r="C33" s="8" t="str">
        <f aca="false">IF(Estimates!G83="","","("&amp;TEXT(Estimates!G83,"0.00")&amp;")")</f>
        <v>(1.13)</v>
      </c>
      <c r="D33" s="8" t="str">
        <f aca="false">IF(Estimates!G84="","","("&amp;TEXT(Estimates!G84,"0.00")&amp;")")</f>
        <v>(0.26)</v>
      </c>
      <c r="F33" s="8" t="str">
        <f aca="false">IF(Estimates!G85="","","("&amp;TEXT(Estimates!G85,"0.00")&amp;")")</f>
        <v>(0.99)</v>
      </c>
      <c r="G33" s="8" t="str">
        <f aca="false">IF(Estimates!G86="","","("&amp;TEXT(Estimates!G86,"0.00")&amp;")")</f>
        <v>(1.20)</v>
      </c>
      <c r="H33" s="8" t="str">
        <f aca="false">IF(Estimates!G87="","","("&amp;TEXT(Estimates!G87,"0.00")&amp;")")</f>
        <v>(0.72)</v>
      </c>
    </row>
    <row r="35" customFormat="false" ht="15" hidden="false" customHeight="false" outlineLevel="0" collapsed="false">
      <c r="A35" s="7" t="s">
        <v>21</v>
      </c>
      <c r="B35" s="9" t="n">
        <v>1.85718595917649E-007</v>
      </c>
      <c r="C35" s="9" t="n">
        <v>1.24835557583017E-005</v>
      </c>
      <c r="D35" s="9" t="n">
        <v>0.000113299311810294</v>
      </c>
      <c r="F35" s="9" t="n">
        <v>5.57392773895865E-010</v>
      </c>
      <c r="G35" s="9" t="n">
        <v>0.00660272566119952</v>
      </c>
      <c r="H35" s="9" t="n">
        <v>4.48250108760034E-007</v>
      </c>
    </row>
    <row r="36" customFormat="false" ht="15" hidden="false" customHeight="false" outlineLevel="0" collapsed="false">
      <c r="A36" s="7" t="s">
        <v>22</v>
      </c>
      <c r="B36" s="9" t="n">
        <v>8.02656716618526E-008</v>
      </c>
      <c r="C36" s="9" t="n">
        <v>1.21050398395678E-005</v>
      </c>
      <c r="D36" s="9" t="n">
        <v>0.000618759036275899</v>
      </c>
      <c r="F36" s="9" t="n">
        <v>5.83286036660688E-006</v>
      </c>
      <c r="G36" s="9" t="n">
        <v>0.0038644466859155</v>
      </c>
      <c r="H36" s="9" t="n">
        <v>0.000502251016599038</v>
      </c>
    </row>
    <row r="37" customFormat="false" ht="15" hidden="false" customHeight="false" outlineLevel="0" collapsed="false">
      <c r="A37" s="7" t="s">
        <v>23</v>
      </c>
      <c r="B37" s="9" t="n">
        <v>6.56613787095425E-013</v>
      </c>
      <c r="C37" s="9" t="n">
        <v>0.000182091420119199</v>
      </c>
      <c r="D37" s="9" t="n">
        <v>0.00358768646143535</v>
      </c>
      <c r="F37" s="9" t="n">
        <v>1.17636355897951E-015</v>
      </c>
      <c r="G37" s="9" t="n">
        <v>7.63779928242401E-013</v>
      </c>
      <c r="H37" s="9" t="n">
        <v>5.67167184462155E-011</v>
      </c>
    </row>
    <row r="38" customFormat="false" ht="15" hidden="false" customHeight="false" outlineLevel="0" collapsed="false">
      <c r="A38" s="7" t="s">
        <v>24</v>
      </c>
      <c r="B38" s="10" t="n">
        <v>1566</v>
      </c>
      <c r="C38" s="10" t="n">
        <v>1565</v>
      </c>
      <c r="D38" s="10" t="n">
        <v>1565</v>
      </c>
      <c r="F38" s="10" t="n">
        <v>1395</v>
      </c>
      <c r="G38" s="10" t="n">
        <v>1394</v>
      </c>
      <c r="H38" s="10" t="n">
        <v>1394</v>
      </c>
    </row>
    <row r="39" customFormat="false" ht="15" hidden="false" customHeight="false" outlineLevel="0" collapsed="false">
      <c r="A39" s="7" t="s">
        <v>25</v>
      </c>
      <c r="B39" s="11" t="n">
        <v>0.0697346084408658</v>
      </c>
      <c r="C39" s="11" t="n">
        <v>0.0781699814695827</v>
      </c>
      <c r="D39" s="11" t="n">
        <v>0.097080547010077</v>
      </c>
      <c r="F39" s="11" t="n">
        <v>0.134868195534614</v>
      </c>
      <c r="G39" s="11" t="n">
        <v>0.0257809599941145</v>
      </c>
      <c r="H39" s="11" t="n">
        <v>0.131316509650112</v>
      </c>
    </row>
    <row r="40" customFormat="false" ht="15" hidden="false" customHeight="false" outlineLevel="0" collapsed="false">
      <c r="A40" s="7" t="s">
        <v>5</v>
      </c>
      <c r="B40" s="12" t="s">
        <v>26</v>
      </c>
      <c r="C40" s="12" t="s">
        <v>27</v>
      </c>
      <c r="D40" s="12" t="s">
        <v>27</v>
      </c>
      <c r="F40" s="12" t="s">
        <v>26</v>
      </c>
      <c r="G40" s="12" t="s">
        <v>27</v>
      </c>
      <c r="H40" s="12" t="s">
        <v>27</v>
      </c>
    </row>
    <row r="41" customFormat="false" ht="15" hidden="false" customHeight="false" outlineLevel="0" collapsed="false">
      <c r="A41" s="13" t="s">
        <v>4</v>
      </c>
      <c r="B41" s="6" t="s">
        <v>27</v>
      </c>
      <c r="C41" s="6" t="s">
        <v>26</v>
      </c>
      <c r="D41" s="6" t="s">
        <v>27</v>
      </c>
      <c r="E41" s="5"/>
      <c r="F41" s="6" t="s">
        <v>27</v>
      </c>
      <c r="G41" s="6" t="s">
        <v>26</v>
      </c>
      <c r="H41" s="6" t="s">
        <v>27</v>
      </c>
    </row>
    <row r="43" customFormat="false" ht="30" hidden="false" customHeight="true" outlineLevel="0" collapsed="false">
      <c r="A43" s="14" t="s">
        <v>28</v>
      </c>
      <c r="B43" s="14"/>
      <c r="C43" s="14"/>
      <c r="D43" s="14"/>
      <c r="E43" s="14"/>
      <c r="F43" s="14"/>
      <c r="G43" s="14"/>
      <c r="H43" s="14"/>
    </row>
  </sheetData>
  <mergeCells count="4">
    <mergeCell ref="A2:H2"/>
    <mergeCell ref="B4:D4"/>
    <mergeCell ref="F4:H4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5" t="s">
        <v>29</v>
      </c>
    </row>
    <row r="3" customFormat="false" ht="15" hidden="false" customHeight="false" outlineLevel="0" collapsed="false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</row>
    <row r="4" customFormat="false" ht="15" hidden="false" customHeight="false" outlineLevel="0" collapsed="false">
      <c r="A4" s="7" t="s">
        <v>2</v>
      </c>
      <c r="B4" s="7" t="s">
        <v>4</v>
      </c>
      <c r="C4" s="7" t="s">
        <v>38</v>
      </c>
      <c r="D4" s="16" t="n">
        <v>-0.853895261734387</v>
      </c>
      <c r="E4" s="16" t="n">
        <v>0.191623707440363</v>
      </c>
      <c r="F4" s="17" t="n">
        <v>19</v>
      </c>
      <c r="G4" s="18" t="n">
        <f aca="false">IF(E4&gt;0,D4/E4,"")</f>
        <v>-4.45610448279285</v>
      </c>
      <c r="H4" s="18" t="n">
        <f aca="false">IF(G4="","",TDIST(ABS(G4),F4-1,2))</f>
        <v>0.000305177132753535</v>
      </c>
    </row>
    <row r="5" customFormat="false" ht="15" hidden="false" customHeight="false" outlineLevel="0" collapsed="false">
      <c r="A5" s="7" t="s">
        <v>2</v>
      </c>
      <c r="B5" s="7" t="s">
        <v>5</v>
      </c>
      <c r="C5" s="7" t="s">
        <v>38</v>
      </c>
      <c r="D5" s="16" t="n">
        <v>-0.490815872080878</v>
      </c>
      <c r="E5" s="16" t="n">
        <v>0.296243168840043</v>
      </c>
      <c r="F5" s="17" t="n">
        <v>19</v>
      </c>
      <c r="G5" s="18" t="n">
        <f aca="false">IF(E5&gt;0,D5/E5,"")</f>
        <v>-1.65680064118506</v>
      </c>
      <c r="H5" s="18" t="n">
        <f aca="false">IF(G5="","",TDIST(ABS(G5),F5-1,2))</f>
        <v>0.114886978653074</v>
      </c>
    </row>
    <row r="6" customFormat="false" ht="15" hidden="false" customHeight="false" outlineLevel="0" collapsed="false">
      <c r="A6" s="7" t="s">
        <v>2</v>
      </c>
      <c r="B6" s="7" t="s">
        <v>6</v>
      </c>
      <c r="C6" s="7" t="s">
        <v>38</v>
      </c>
      <c r="D6" s="16" t="n">
        <v>-0.711639015609174</v>
      </c>
      <c r="E6" s="16" t="n">
        <v>0.322144463634463</v>
      </c>
      <c r="F6" s="17" t="n">
        <v>19</v>
      </c>
      <c r="G6" s="18" t="n">
        <f aca="false">IF(E6&gt;0,D6/E6,"")</f>
        <v>-2.20906796776948</v>
      </c>
      <c r="H6" s="18" t="n">
        <f aca="false">IF(G6="","",TDIST(ABS(G6),F6-1,2))</f>
        <v>0.0403718790546118</v>
      </c>
    </row>
    <row r="7" customFormat="false" ht="15" hidden="false" customHeight="false" outlineLevel="0" collapsed="false">
      <c r="A7" s="7" t="s">
        <v>3</v>
      </c>
      <c r="B7" s="7" t="s">
        <v>4</v>
      </c>
      <c r="C7" s="7" t="s">
        <v>38</v>
      </c>
      <c r="D7" s="16" t="n">
        <v>-0.812857729371205</v>
      </c>
      <c r="E7" s="16" t="n">
        <v>0.0970457053765678</v>
      </c>
      <c r="F7" s="17" t="n">
        <v>19</v>
      </c>
      <c r="G7" s="18" t="n">
        <f aca="false">IF(E7&gt;0,D7/E7,"")</f>
        <v>-8.37602989454363</v>
      </c>
      <c r="H7" s="18" t="n">
        <f aca="false">IF(G7="","",TDIST(ABS(G7),F7-1,2))</f>
        <v>1.26633930302063E-007</v>
      </c>
    </row>
    <row r="8" customFormat="false" ht="15" hidden="false" customHeight="false" outlineLevel="0" collapsed="false">
      <c r="A8" s="7" t="s">
        <v>3</v>
      </c>
      <c r="B8" s="7" t="s">
        <v>5</v>
      </c>
      <c r="C8" s="7" t="s">
        <v>38</v>
      </c>
      <c r="D8" s="16" t="n">
        <v>-0.473214747761307</v>
      </c>
      <c r="E8" s="16" t="n">
        <v>0.301211850563269</v>
      </c>
      <c r="F8" s="17" t="n">
        <v>19</v>
      </c>
      <c r="G8" s="18" t="n">
        <f aca="false">IF(E8&gt;0,D8/E8,"")</f>
        <v>-1.57103628850057</v>
      </c>
      <c r="H8" s="18" t="n">
        <f aca="false">IF(G8="","",TDIST(ABS(G8),F8-1,2))</f>
        <v>0.133586199154202</v>
      </c>
    </row>
    <row r="9" customFormat="false" ht="15" hidden="false" customHeight="false" outlineLevel="0" collapsed="false">
      <c r="A9" s="7" t="s">
        <v>3</v>
      </c>
      <c r="B9" s="7" t="s">
        <v>6</v>
      </c>
      <c r="C9" s="7" t="s">
        <v>38</v>
      </c>
      <c r="D9" s="16" t="n">
        <v>-0.713785703179654</v>
      </c>
      <c r="E9" s="16" t="n">
        <v>0.135705884382703</v>
      </c>
      <c r="F9" s="17" t="n">
        <v>19</v>
      </c>
      <c r="G9" s="18" t="n">
        <f aca="false">IF(E9&gt;0,D9/E9,"")</f>
        <v>-5.25979920787159</v>
      </c>
      <c r="H9" s="18" t="n">
        <f aca="false">IF(G9="","",TDIST(ABS(G9),F9-1,2))</f>
        <v>5.30933893484689E-005</v>
      </c>
    </row>
    <row r="10" customFormat="false" ht="15" hidden="false" customHeight="false" outlineLevel="0" collapsed="false">
      <c r="A10" s="7" t="s">
        <v>2</v>
      </c>
      <c r="B10" s="7" t="s">
        <v>4</v>
      </c>
      <c r="C10" s="7" t="s">
        <v>39</v>
      </c>
      <c r="D10" s="16" t="n">
        <v>-0.725054626320876</v>
      </c>
      <c r="E10" s="16" t="n">
        <v>0.27306123252662</v>
      </c>
      <c r="F10" s="17" t="n">
        <v>19</v>
      </c>
      <c r="G10" s="18" t="n">
        <f aca="false">IF(E10&gt;0,D10/E10,"")</f>
        <v>-2.65528218565479</v>
      </c>
      <c r="H10" s="18" t="n">
        <f aca="false">IF(G10="","",TDIST(ABS(G10),F10-1,2))</f>
        <v>0.0161080124172622</v>
      </c>
    </row>
    <row r="11" customFormat="false" ht="15" hidden="false" customHeight="false" outlineLevel="0" collapsed="false">
      <c r="A11" s="7" t="s">
        <v>2</v>
      </c>
      <c r="B11" s="7" t="s">
        <v>5</v>
      </c>
      <c r="C11" s="7" t="s">
        <v>39</v>
      </c>
      <c r="D11" s="16" t="n">
        <v>-0.651812460658435</v>
      </c>
      <c r="E11" s="16" t="n">
        <v>0.368733593582818</v>
      </c>
      <c r="F11" s="17" t="n">
        <v>19</v>
      </c>
      <c r="G11" s="18" t="n">
        <f aca="false">IF(E11&gt;0,D11/E11,"")</f>
        <v>-1.76770566067786</v>
      </c>
      <c r="H11" s="18" t="n">
        <f aca="false">IF(G11="","",TDIST(ABS(G11),F11-1,2))</f>
        <v>0.0940574925506825</v>
      </c>
    </row>
    <row r="12" customFormat="false" ht="15" hidden="false" customHeight="false" outlineLevel="0" collapsed="false">
      <c r="A12" s="7" t="s">
        <v>2</v>
      </c>
      <c r="B12" s="7" t="s">
        <v>6</v>
      </c>
      <c r="C12" s="7" t="s">
        <v>39</v>
      </c>
      <c r="D12" s="16" t="n">
        <v>-0.861377645239272</v>
      </c>
      <c r="E12" s="16" t="n">
        <v>0.398110309017429</v>
      </c>
      <c r="F12" s="17" t="n">
        <v>19</v>
      </c>
      <c r="G12" s="18" t="n">
        <f aca="false">IF(E12&gt;0,D12/E12,"")</f>
        <v>-2.16366576229897</v>
      </c>
      <c r="H12" s="18" t="n">
        <f aca="false">IF(G12="","",TDIST(ABS(G12),F12-1,2))</f>
        <v>0.0441859295055845</v>
      </c>
    </row>
    <row r="13" customFormat="false" ht="15" hidden="false" customHeight="false" outlineLevel="0" collapsed="false">
      <c r="A13" s="7" t="s">
        <v>3</v>
      </c>
      <c r="B13" s="7" t="s">
        <v>4</v>
      </c>
      <c r="C13" s="7" t="s">
        <v>39</v>
      </c>
      <c r="D13" s="16" t="n">
        <v>-0.60467702559722</v>
      </c>
      <c r="E13" s="16" t="n">
        <v>0.220047363426237</v>
      </c>
      <c r="F13" s="17" t="n">
        <v>19</v>
      </c>
      <c r="G13" s="18" t="n">
        <f aca="false">IF(E13&gt;0,D13/E13,"")</f>
        <v>-2.74794033512662</v>
      </c>
      <c r="H13" s="18" t="n">
        <f aca="false">IF(G13="","",TDIST(ABS(G13),F13-1,2))</f>
        <v>0.0132303480163852</v>
      </c>
    </row>
    <row r="14" customFormat="false" ht="15" hidden="false" customHeight="false" outlineLevel="0" collapsed="false">
      <c r="A14" s="7" t="s">
        <v>3</v>
      </c>
      <c r="B14" s="7" t="s">
        <v>5</v>
      </c>
      <c r="C14" s="7" t="s">
        <v>39</v>
      </c>
      <c r="D14" s="16" t="n">
        <v>0.0311100733043195</v>
      </c>
      <c r="E14" s="16" t="n">
        <v>0.365945886799119</v>
      </c>
      <c r="F14" s="17" t="n">
        <v>19</v>
      </c>
      <c r="G14" s="18" t="n">
        <f aca="false">IF(E14&gt;0,D14/E14,"")</f>
        <v>0.085012769446421</v>
      </c>
      <c r="H14" s="18" t="n">
        <f aca="false">IF(G14="","",TDIST(ABS(G14),F14-1,2))</f>
        <v>0.933189670397557</v>
      </c>
    </row>
    <row r="15" customFormat="false" ht="15" hidden="false" customHeight="false" outlineLevel="0" collapsed="false">
      <c r="A15" s="7" t="s">
        <v>3</v>
      </c>
      <c r="B15" s="7" t="s">
        <v>6</v>
      </c>
      <c r="C15" s="7" t="s">
        <v>39</v>
      </c>
      <c r="D15" s="16" t="n">
        <v>-0.554211941815498</v>
      </c>
      <c r="E15" s="16" t="n">
        <v>0.318691494587426</v>
      </c>
      <c r="F15" s="17" t="n">
        <v>19</v>
      </c>
      <c r="G15" s="18" t="n">
        <f aca="false">IF(E15&gt;0,D15/E15,"")</f>
        <v>-1.73902332264303</v>
      </c>
      <c r="H15" s="18" t="n">
        <f aca="false">IF(G15="","",TDIST(ABS(G15),F15-1,2))</f>
        <v>0.099103987719704</v>
      </c>
    </row>
    <row r="16" customFormat="false" ht="15" hidden="false" customHeight="false" outlineLevel="0" collapsed="false">
      <c r="A16" s="7" t="s">
        <v>2</v>
      </c>
      <c r="B16" s="7" t="s">
        <v>4</v>
      </c>
      <c r="C16" s="7" t="s">
        <v>40</v>
      </c>
      <c r="D16" s="16" t="n">
        <v>-1.87364771948972</v>
      </c>
      <c r="E16" s="16" t="n">
        <v>0.3479719401886</v>
      </c>
      <c r="F16" s="17" t="n">
        <v>19</v>
      </c>
      <c r="G16" s="18" t="n">
        <f aca="false">IF(E16&gt;0,D16/E16,"")</f>
        <v>-5.38447933035695</v>
      </c>
      <c r="H16" s="18" t="n">
        <f aca="false">IF(G16="","",TDIST(ABS(G16),F16-1,2))</f>
        <v>4.07082420081755E-005</v>
      </c>
    </row>
    <row r="17" customFormat="false" ht="15" hidden="false" customHeight="false" outlineLevel="0" collapsed="false">
      <c r="A17" s="7" t="s">
        <v>2</v>
      </c>
      <c r="B17" s="7" t="s">
        <v>5</v>
      </c>
      <c r="C17" s="7" t="s">
        <v>40</v>
      </c>
      <c r="D17" s="16" t="n">
        <v>-1.37254755098419</v>
      </c>
      <c r="E17" s="16" t="n">
        <v>0.401465702748466</v>
      </c>
      <c r="F17" s="17" t="n">
        <v>19</v>
      </c>
      <c r="G17" s="18" t="n">
        <f aca="false">IF(E17&gt;0,D17/E17,"")</f>
        <v>-3.41884136449919</v>
      </c>
      <c r="H17" s="18" t="n">
        <f aca="false">IF(G17="","",TDIST(ABS(G17),F17-1,2))</f>
        <v>0.0030610405737812</v>
      </c>
    </row>
    <row r="18" customFormat="false" ht="15" hidden="false" customHeight="false" outlineLevel="0" collapsed="false">
      <c r="A18" s="7" t="s">
        <v>2</v>
      </c>
      <c r="B18" s="7" t="s">
        <v>6</v>
      </c>
      <c r="C18" s="7" t="s">
        <v>40</v>
      </c>
      <c r="D18" s="16" t="n">
        <v>-2.08943576065319</v>
      </c>
      <c r="E18" s="16" t="n">
        <v>0.486448574271845</v>
      </c>
      <c r="F18" s="17" t="n">
        <v>19</v>
      </c>
      <c r="G18" s="18" t="n">
        <f aca="false">IF(E18&gt;0,D18/E18,"")</f>
        <v>-4.2952860202763</v>
      </c>
      <c r="H18" s="18" t="n">
        <f aca="false">IF(G18="","",TDIST(ABS(G18),F18-1,2))</f>
        <v>0.000435626423173212</v>
      </c>
    </row>
    <row r="19" customFormat="false" ht="15" hidden="false" customHeight="false" outlineLevel="0" collapsed="false">
      <c r="A19" s="7" t="s">
        <v>3</v>
      </c>
      <c r="B19" s="7" t="s">
        <v>4</v>
      </c>
      <c r="C19" s="7" t="s">
        <v>40</v>
      </c>
      <c r="D19" s="16" t="n">
        <v>-0.730113307566672</v>
      </c>
      <c r="E19" s="16" t="n">
        <v>0.220480646810433</v>
      </c>
      <c r="F19" s="17" t="n">
        <v>19</v>
      </c>
      <c r="G19" s="18" t="n">
        <f aca="false">IF(E19&gt;0,D19/E19,"")</f>
        <v>-3.31146210848345</v>
      </c>
      <c r="H19" s="18" t="n">
        <f aca="false">IF(G19="","",TDIST(ABS(G19),F19-1,2))</f>
        <v>0.00388181894960448</v>
      </c>
    </row>
    <row r="20" customFormat="false" ht="15" hidden="false" customHeight="false" outlineLevel="0" collapsed="false">
      <c r="A20" s="7" t="s">
        <v>3</v>
      </c>
      <c r="B20" s="7" t="s">
        <v>5</v>
      </c>
      <c r="C20" s="7" t="s">
        <v>40</v>
      </c>
      <c r="D20" s="16" t="n">
        <v>0.430104512137474</v>
      </c>
      <c r="E20" s="16" t="n">
        <v>0.301419887483531</v>
      </c>
      <c r="F20" s="17" t="n">
        <v>19</v>
      </c>
      <c r="G20" s="18" t="n">
        <f aca="false">IF(E20&gt;0,D20/E20,"")</f>
        <v>1.4269281158861</v>
      </c>
      <c r="H20" s="18" t="n">
        <f aca="false">IF(G20="","",TDIST(ABS(G20),F20-1,2))</f>
        <v>0.170717600096319</v>
      </c>
    </row>
    <row r="21" customFormat="false" ht="15" hidden="false" customHeight="false" outlineLevel="0" collapsed="false">
      <c r="A21" s="7" t="s">
        <v>3</v>
      </c>
      <c r="B21" s="7" t="s">
        <v>6</v>
      </c>
      <c r="C21" s="7" t="s">
        <v>40</v>
      </c>
      <c r="D21" s="16" t="n">
        <v>-0.578781362739633</v>
      </c>
      <c r="E21" s="16" t="n">
        <v>0.335900585614454</v>
      </c>
      <c r="F21" s="17" t="n">
        <v>19</v>
      </c>
      <c r="G21" s="18" t="n">
        <f aca="false">IF(E21&gt;0,D21/E21,"")</f>
        <v>-1.72307339590041</v>
      </c>
      <c r="H21" s="18" t="n">
        <f aca="false">IF(G21="","",TDIST(ABS(G21),F21-1,2))</f>
        <v>0.102010458094713</v>
      </c>
    </row>
    <row r="22" customFormat="false" ht="15" hidden="false" customHeight="false" outlineLevel="0" collapsed="false">
      <c r="A22" s="7" t="s">
        <v>2</v>
      </c>
      <c r="B22" s="7" t="s">
        <v>4</v>
      </c>
      <c r="C22" s="7" t="s">
        <v>41</v>
      </c>
      <c r="D22" s="16" t="n">
        <v>-2.09485408857838</v>
      </c>
      <c r="E22" s="16" t="n">
        <v>0.352664784177276</v>
      </c>
      <c r="F22" s="17" t="n">
        <v>19</v>
      </c>
      <c r="G22" s="18" t="n">
        <f aca="false">IF(E22&gt;0,D22/E22,"")</f>
        <v>-5.94007165604985</v>
      </c>
      <c r="H22" s="18" t="n">
        <f aca="false">IF(G22="","",TDIST(ABS(G22),F22-1,2))</f>
        <v>1.27446078910123E-005</v>
      </c>
    </row>
    <row r="23" customFormat="false" ht="15" hidden="false" customHeight="false" outlineLevel="0" collapsed="false">
      <c r="A23" s="7" t="s">
        <v>2</v>
      </c>
      <c r="B23" s="7" t="s">
        <v>5</v>
      </c>
      <c r="C23" s="7" t="s">
        <v>41</v>
      </c>
      <c r="D23" s="16" t="n">
        <v>-1.87359100977999</v>
      </c>
      <c r="E23" s="16" t="n">
        <v>0.394036807362764</v>
      </c>
      <c r="F23" s="17" t="n">
        <v>19</v>
      </c>
      <c r="G23" s="18" t="n">
        <f aca="false">IF(E23&gt;0,D23/E23,"")</f>
        <v>-4.75486293354087</v>
      </c>
      <c r="H23" s="18" t="n">
        <f aca="false">IF(G23="","",TDIST(ABS(G23),F23-1,2))</f>
        <v>0.000158258311619638</v>
      </c>
    </row>
    <row r="24" customFormat="false" ht="15" hidden="false" customHeight="false" outlineLevel="0" collapsed="false">
      <c r="A24" s="7" t="s">
        <v>2</v>
      </c>
      <c r="B24" s="7" t="s">
        <v>6</v>
      </c>
      <c r="C24" s="7" t="s">
        <v>41</v>
      </c>
      <c r="D24" s="16" t="n">
        <v>-2.51209432049878</v>
      </c>
      <c r="E24" s="16" t="n">
        <v>0.498814760784107</v>
      </c>
      <c r="F24" s="17" t="n">
        <v>19</v>
      </c>
      <c r="G24" s="18" t="n">
        <f aca="false">IF(E24&gt;0,D24/E24,"")</f>
        <v>-5.03612667065008</v>
      </c>
      <c r="H24" s="18" t="n">
        <f aca="false">IF(G24="","",TDIST(ABS(G24),F24-1,2))</f>
        <v>8.58644350552381E-005</v>
      </c>
    </row>
    <row r="25" customFormat="false" ht="15" hidden="false" customHeight="false" outlineLevel="0" collapsed="false">
      <c r="A25" s="7" t="s">
        <v>3</v>
      </c>
      <c r="B25" s="7" t="s">
        <v>4</v>
      </c>
      <c r="C25" s="7" t="s">
        <v>41</v>
      </c>
      <c r="D25" s="16" t="n">
        <v>-1.34908556554566</v>
      </c>
      <c r="E25" s="16" t="n">
        <v>0.230753684184893</v>
      </c>
      <c r="F25" s="17" t="n">
        <v>19</v>
      </c>
      <c r="G25" s="18" t="n">
        <f aca="false">IF(E25&gt;0,D25/E25,"")</f>
        <v>-5.84643131619385</v>
      </c>
      <c r="H25" s="18" t="n">
        <f aca="false">IF(G25="","",TDIST(ABS(G25),F25-1,2))</f>
        <v>1.54586420791799E-005</v>
      </c>
    </row>
    <row r="26" customFormat="false" ht="15" hidden="false" customHeight="false" outlineLevel="0" collapsed="false">
      <c r="A26" s="7" t="s">
        <v>3</v>
      </c>
      <c r="B26" s="7" t="s">
        <v>5</v>
      </c>
      <c r="C26" s="7" t="s">
        <v>41</v>
      </c>
      <c r="D26" s="16" t="n">
        <v>-0.485388695979459</v>
      </c>
      <c r="E26" s="16" t="n">
        <v>0.27857137003264</v>
      </c>
      <c r="F26" s="17" t="n">
        <v>19</v>
      </c>
      <c r="G26" s="18" t="n">
        <f aca="false">IF(E26&gt;0,D26/E26,"")</f>
        <v>-1.74242132607736</v>
      </c>
      <c r="H26" s="18" t="n">
        <f aca="false">IF(G26="","",TDIST(ABS(G26),F26-1,2))</f>
        <v>0.0984941296392621</v>
      </c>
    </row>
    <row r="27" customFormat="false" ht="15" hidden="false" customHeight="false" outlineLevel="0" collapsed="false">
      <c r="A27" s="7" t="s">
        <v>3</v>
      </c>
      <c r="B27" s="7" t="s">
        <v>6</v>
      </c>
      <c r="C27" s="7" t="s">
        <v>41</v>
      </c>
      <c r="D27" s="16" t="n">
        <v>-1.2945711200997</v>
      </c>
      <c r="E27" s="16" t="n">
        <v>0.31407799270726</v>
      </c>
      <c r="F27" s="17" t="n">
        <v>19</v>
      </c>
      <c r="G27" s="18" t="n">
        <f aca="false">IF(E27&gt;0,D27/E27,"")</f>
        <v>-4.12181416768771</v>
      </c>
      <c r="H27" s="18" t="n">
        <f aca="false">IF(G27="","",TDIST(ABS(G27),F27-1,2))</f>
        <v>0.000640379663992158</v>
      </c>
    </row>
    <row r="28" customFormat="false" ht="15" hidden="false" customHeight="false" outlineLevel="0" collapsed="false">
      <c r="A28" s="7" t="s">
        <v>2</v>
      </c>
      <c r="B28" s="7" t="s">
        <v>4</v>
      </c>
      <c r="C28" s="7" t="s">
        <v>42</v>
      </c>
      <c r="D28" s="16" t="n">
        <v>-0.56673505852779</v>
      </c>
      <c r="E28" s="16" t="n">
        <v>0.342137267058555</v>
      </c>
      <c r="F28" s="17" t="n">
        <v>19</v>
      </c>
      <c r="G28" s="18" t="n">
        <f aca="false">IF(E28&gt;0,D28/E28,"")</f>
        <v>-1.65645520992251</v>
      </c>
      <c r="H28" s="18" t="n">
        <f aca="false">IF(G28="","",TDIST(ABS(G28),F28-1,2))</f>
        <v>0.114957577919229</v>
      </c>
    </row>
    <row r="29" customFormat="false" ht="15" hidden="false" customHeight="false" outlineLevel="0" collapsed="false">
      <c r="A29" s="7" t="s">
        <v>2</v>
      </c>
      <c r="B29" s="7" t="s">
        <v>5</v>
      </c>
      <c r="C29" s="7" t="s">
        <v>42</v>
      </c>
      <c r="D29" s="16" t="n">
        <v>-1.00355787974108</v>
      </c>
      <c r="E29" s="16" t="n">
        <v>0.367055506611693</v>
      </c>
      <c r="F29" s="17" t="n">
        <v>19</v>
      </c>
      <c r="G29" s="18" t="n">
        <f aca="false">IF(E29&gt;0,D29/E29,"")</f>
        <v>-2.73407662237511</v>
      </c>
      <c r="H29" s="18" t="n">
        <f aca="false">IF(G29="","",TDIST(ABS(G29),F29-1,2))</f>
        <v>0.01362720855839</v>
      </c>
    </row>
    <row r="30" customFormat="false" ht="15" hidden="false" customHeight="false" outlineLevel="0" collapsed="false">
      <c r="A30" s="7" t="s">
        <v>2</v>
      </c>
      <c r="B30" s="7" t="s">
        <v>6</v>
      </c>
      <c r="C30" s="7" t="s">
        <v>42</v>
      </c>
      <c r="D30" s="16" t="n">
        <v>-1.0680854227157</v>
      </c>
      <c r="E30" s="16" t="n">
        <v>0.482153644878039</v>
      </c>
      <c r="F30" s="17" t="n">
        <v>19</v>
      </c>
      <c r="G30" s="18" t="n">
        <f aca="false">IF(E30&gt;0,D30/E30,"")</f>
        <v>-2.21523871915533</v>
      </c>
      <c r="H30" s="18" t="n">
        <f aca="false">IF(G30="","",TDIST(ABS(G30),F30-1,2))</f>
        <v>0.0398775089175668</v>
      </c>
    </row>
    <row r="31" customFormat="false" ht="15" hidden="false" customHeight="false" outlineLevel="0" collapsed="false">
      <c r="A31" s="7" t="s">
        <v>3</v>
      </c>
      <c r="B31" s="7" t="s">
        <v>4</v>
      </c>
      <c r="C31" s="7" t="s">
        <v>42</v>
      </c>
      <c r="D31" s="16" t="n">
        <v>-0.207202116658989</v>
      </c>
      <c r="E31" s="16" t="n">
        <v>0.210397847103065</v>
      </c>
      <c r="F31" s="17" t="n">
        <v>19</v>
      </c>
      <c r="G31" s="18" t="n">
        <f aca="false">IF(E31&gt;0,D31/E31,"")</f>
        <v>-0.984811011671092</v>
      </c>
      <c r="H31" s="18" t="n">
        <f aca="false">IF(G31="","",TDIST(ABS(G31),F31-1,2))</f>
        <v>0.337770315233581</v>
      </c>
    </row>
    <row r="32" customFormat="false" ht="15" hidden="false" customHeight="false" outlineLevel="0" collapsed="false">
      <c r="A32" s="7" t="s">
        <v>3</v>
      </c>
      <c r="B32" s="7" t="s">
        <v>5</v>
      </c>
      <c r="C32" s="7" t="s">
        <v>42</v>
      </c>
      <c r="D32" s="16" t="n">
        <v>-0.413611945050359</v>
      </c>
      <c r="E32" s="16" t="n">
        <v>0.298800421253442</v>
      </c>
      <c r="F32" s="17" t="n">
        <v>19</v>
      </c>
      <c r="G32" s="18" t="n">
        <f aca="false">IF(E32&gt;0,D32/E32,"")</f>
        <v>-1.38424150580274</v>
      </c>
      <c r="H32" s="18" t="n">
        <f aca="false">IF(G32="","",TDIST(ABS(G32),F32-1,2))</f>
        <v>0.183207614180613</v>
      </c>
    </row>
    <row r="33" customFormat="false" ht="15" hidden="false" customHeight="false" outlineLevel="0" collapsed="false">
      <c r="A33" s="7" t="s">
        <v>3</v>
      </c>
      <c r="B33" s="7" t="s">
        <v>6</v>
      </c>
      <c r="C33" s="7" t="s">
        <v>42</v>
      </c>
      <c r="D33" s="16" t="n">
        <v>-0.165417955101376</v>
      </c>
      <c r="E33" s="16" t="n">
        <v>0.319881192139454</v>
      </c>
      <c r="F33" s="17" t="n">
        <v>19</v>
      </c>
      <c r="G33" s="18" t="n">
        <f aca="false">IF(E33&gt;0,D33/E33,"")</f>
        <v>-0.517123104347009</v>
      </c>
      <c r="H33" s="18" t="n">
        <f aca="false">IF(G33="","",TDIST(ABS(G33),F33-1,2))</f>
        <v>0.611366430702279</v>
      </c>
    </row>
    <row r="34" customFormat="false" ht="15" hidden="false" customHeight="false" outlineLevel="0" collapsed="false">
      <c r="A34" s="7" t="s">
        <v>2</v>
      </c>
      <c r="B34" s="7" t="s">
        <v>4</v>
      </c>
      <c r="C34" s="7" t="s">
        <v>43</v>
      </c>
      <c r="D34" s="16" t="n">
        <v>-0.344324905675852</v>
      </c>
      <c r="E34" s="16" t="n">
        <v>0.268628190389295</v>
      </c>
      <c r="F34" s="17" t="n">
        <v>19</v>
      </c>
      <c r="G34" s="18" t="n">
        <f aca="false">IF(E34&gt;0,D34/E34,"")</f>
        <v>-1.28178991630349</v>
      </c>
      <c r="H34" s="18" t="n">
        <f aca="false">IF(G34="","",TDIST(ABS(G34),F34-1,2))</f>
        <v>0.216181562015042</v>
      </c>
    </row>
    <row r="35" customFormat="false" ht="15" hidden="false" customHeight="false" outlineLevel="0" collapsed="false">
      <c r="A35" s="7" t="s">
        <v>2</v>
      </c>
      <c r="B35" s="7" t="s">
        <v>5</v>
      </c>
      <c r="C35" s="7" t="s">
        <v>43</v>
      </c>
      <c r="D35" s="16" t="n">
        <v>-0.579456191485529</v>
      </c>
      <c r="E35" s="16" t="n">
        <v>0.28455228057688</v>
      </c>
      <c r="F35" s="17" t="n">
        <v>19</v>
      </c>
      <c r="G35" s="18" t="n">
        <f aca="false">IF(E35&gt;0,D35/E35,"")</f>
        <v>-2.03637865882074</v>
      </c>
      <c r="H35" s="18" t="n">
        <f aca="false">IF(G35="","",TDIST(ABS(G35),F35-1,2))</f>
        <v>0.0566985296346774</v>
      </c>
    </row>
    <row r="36" customFormat="false" ht="15" hidden="false" customHeight="false" outlineLevel="0" collapsed="false">
      <c r="A36" s="7" t="s">
        <v>2</v>
      </c>
      <c r="B36" s="7" t="s">
        <v>6</v>
      </c>
      <c r="C36" s="7" t="s">
        <v>43</v>
      </c>
      <c r="D36" s="16" t="n">
        <v>-0.713899884056362</v>
      </c>
      <c r="E36" s="16" t="n">
        <v>0.33787833145825</v>
      </c>
      <c r="F36" s="17" t="n">
        <v>19</v>
      </c>
      <c r="G36" s="18" t="n">
        <f aca="false">IF(E36&gt;0,D36/E36,"")</f>
        <v>-2.11289040340421</v>
      </c>
      <c r="H36" s="18" t="n">
        <f aca="false">IF(G36="","",TDIST(ABS(G36),F36-1,2))</f>
        <v>0.0488398914382116</v>
      </c>
    </row>
    <row r="37" customFormat="false" ht="15" hidden="false" customHeight="false" outlineLevel="0" collapsed="false">
      <c r="A37" s="7" t="s">
        <v>3</v>
      </c>
      <c r="B37" s="7" t="s">
        <v>4</v>
      </c>
      <c r="C37" s="7" t="s">
        <v>43</v>
      </c>
      <c r="D37" s="16" t="n">
        <v>-0.0911843716458214</v>
      </c>
      <c r="E37" s="16" t="n">
        <v>0.213083076802874</v>
      </c>
      <c r="F37" s="17" t="n">
        <v>19</v>
      </c>
      <c r="G37" s="18" t="n">
        <f aca="false">IF(E37&gt;0,D37/E37,"")</f>
        <v>-0.427928735655423</v>
      </c>
      <c r="H37" s="18" t="n">
        <f aca="false">IF(G37="","",TDIST(ABS(G37),F37-1,2))</f>
        <v>0.673779232022024</v>
      </c>
    </row>
    <row r="38" customFormat="false" ht="15" hidden="false" customHeight="false" outlineLevel="0" collapsed="false">
      <c r="A38" s="7" t="s">
        <v>3</v>
      </c>
      <c r="B38" s="7" t="s">
        <v>5</v>
      </c>
      <c r="C38" s="7" t="s">
        <v>43</v>
      </c>
      <c r="D38" s="16" t="n">
        <v>0.945427157943412</v>
      </c>
      <c r="E38" s="16" t="n">
        <v>0.537512329674545</v>
      </c>
      <c r="F38" s="17" t="n">
        <v>19</v>
      </c>
      <c r="G38" s="18" t="n">
        <f aca="false">IF(E38&gt;0,D38/E38,"")</f>
        <v>1.75889390019361</v>
      </c>
      <c r="H38" s="18" t="n">
        <f aca="false">IF(G38="","",TDIST(ABS(G38),F38-1,2))</f>
        <v>0.0955835765929488</v>
      </c>
    </row>
    <row r="39" customFormat="false" ht="15" hidden="false" customHeight="false" outlineLevel="0" collapsed="false">
      <c r="A39" s="7" t="s">
        <v>3</v>
      </c>
      <c r="B39" s="7" t="s">
        <v>6</v>
      </c>
      <c r="C39" s="7" t="s">
        <v>43</v>
      </c>
      <c r="D39" s="16" t="n">
        <v>-0.13291672310213</v>
      </c>
      <c r="E39" s="16" t="n">
        <v>0.295982736923266</v>
      </c>
      <c r="F39" s="17" t="n">
        <v>19</v>
      </c>
      <c r="G39" s="18" t="n">
        <f aca="false">IF(E39&gt;0,D39/E39,"")</f>
        <v>-0.449069173708562</v>
      </c>
      <c r="H39" s="18" t="n">
        <f aca="false">IF(G39="","",TDIST(ABS(G39),F39-1,2))</f>
        <v>0.658741600430737</v>
      </c>
    </row>
    <row r="40" customFormat="false" ht="15" hidden="false" customHeight="false" outlineLevel="0" collapsed="false">
      <c r="A40" s="7" t="s">
        <v>2</v>
      </c>
      <c r="B40" s="7" t="s">
        <v>4</v>
      </c>
      <c r="C40" s="7" t="s">
        <v>44</v>
      </c>
      <c r="D40" s="16" t="n">
        <v>-0.29737172839422</v>
      </c>
      <c r="E40" s="16" t="n">
        <v>0.268439471579907</v>
      </c>
      <c r="F40" s="17" t="n">
        <v>19</v>
      </c>
      <c r="G40" s="18" t="n">
        <f aca="false">IF(E40&gt;0,D40/E40,"")</f>
        <v>-1.10777944332863</v>
      </c>
      <c r="H40" s="18" t="n">
        <f aca="false">IF(G40="","",TDIST(ABS(G40),F40-1,2))</f>
        <v>0.282540979515265</v>
      </c>
    </row>
    <row r="41" customFormat="false" ht="15" hidden="false" customHeight="false" outlineLevel="0" collapsed="false">
      <c r="A41" s="7" t="s">
        <v>2</v>
      </c>
      <c r="B41" s="7" t="s">
        <v>5</v>
      </c>
      <c r="C41" s="7" t="s">
        <v>44</v>
      </c>
      <c r="D41" s="16" t="n">
        <v>-1.10419411276282</v>
      </c>
      <c r="E41" s="16" t="n">
        <v>0.382323969363556</v>
      </c>
      <c r="F41" s="17" t="n">
        <v>19</v>
      </c>
      <c r="G41" s="18" t="n">
        <f aca="false">IF(E41&gt;0,D41/E41,"")</f>
        <v>-2.88811113412779</v>
      </c>
      <c r="H41" s="18" t="n">
        <f aca="false">IF(G41="","",TDIST(ABS(G41),F41-1,2))</f>
        <v>0.00979355666358768</v>
      </c>
    </row>
    <row r="42" customFormat="false" ht="15" hidden="false" customHeight="false" outlineLevel="0" collapsed="false">
      <c r="A42" s="7" t="s">
        <v>2</v>
      </c>
      <c r="B42" s="7" t="s">
        <v>6</v>
      </c>
      <c r="C42" s="7" t="s">
        <v>44</v>
      </c>
      <c r="D42" s="16" t="n">
        <v>-0.783555116799149</v>
      </c>
      <c r="E42" s="16" t="n">
        <v>0.380543411989161</v>
      </c>
      <c r="F42" s="17" t="n">
        <v>19</v>
      </c>
      <c r="G42" s="18" t="n">
        <f aca="false">IF(E42&gt;0,D42/E42,"")</f>
        <v>-2.05904265351325</v>
      </c>
      <c r="H42" s="18" t="n">
        <f aca="false">IF(G42="","",TDIST(ABS(G42),F42-1,2))</f>
        <v>0.0542591133234632</v>
      </c>
    </row>
    <row r="43" customFormat="false" ht="15" hidden="false" customHeight="false" outlineLevel="0" collapsed="false">
      <c r="A43" s="7" t="s">
        <v>3</v>
      </c>
      <c r="B43" s="7" t="s">
        <v>4</v>
      </c>
      <c r="C43" s="7" t="s">
        <v>44</v>
      </c>
      <c r="D43" s="16" t="n">
        <v>-0.206369747472366</v>
      </c>
      <c r="E43" s="16" t="n">
        <v>0.230245142090966</v>
      </c>
      <c r="F43" s="17" t="n">
        <v>19</v>
      </c>
      <c r="G43" s="18" t="n">
        <f aca="false">IF(E43&gt;0,D43/E43,"")</f>
        <v>-0.896304458796496</v>
      </c>
      <c r="H43" s="18" t="n">
        <f aca="false">IF(G43="","",TDIST(ABS(G43),F43-1,2))</f>
        <v>0.381921104896942</v>
      </c>
    </row>
    <row r="44" customFormat="false" ht="15" hidden="false" customHeight="false" outlineLevel="0" collapsed="false">
      <c r="A44" s="7" t="s">
        <v>3</v>
      </c>
      <c r="B44" s="7" t="s">
        <v>5</v>
      </c>
      <c r="C44" s="7" t="s">
        <v>44</v>
      </c>
      <c r="D44" s="16" t="n">
        <v>-0.405786700439496</v>
      </c>
      <c r="E44" s="16" t="n">
        <v>0.233810930134486</v>
      </c>
      <c r="F44" s="17" t="n">
        <v>19</v>
      </c>
      <c r="G44" s="18" t="n">
        <f aca="false">IF(E44&gt;0,D44/E44,"")</f>
        <v>-1.73553349369121</v>
      </c>
      <c r="H44" s="18" t="n">
        <f aca="false">IF(G44="","",TDIST(ABS(G44),F44-1,2))</f>
        <v>0.0997337254205697</v>
      </c>
    </row>
    <row r="45" customFormat="false" ht="15" hidden="false" customHeight="false" outlineLevel="0" collapsed="false">
      <c r="A45" s="7" t="s">
        <v>3</v>
      </c>
      <c r="B45" s="7" t="s">
        <v>6</v>
      </c>
      <c r="C45" s="7" t="s">
        <v>44</v>
      </c>
      <c r="D45" s="16" t="n">
        <v>-0.23330441348931</v>
      </c>
      <c r="E45" s="16" t="n">
        <v>0.256233952395976</v>
      </c>
      <c r="F45" s="17" t="n">
        <v>19</v>
      </c>
      <c r="G45" s="18" t="n">
        <f aca="false">IF(E45&gt;0,D45/E45,"")</f>
        <v>-0.910513268471028</v>
      </c>
      <c r="H45" s="18" t="n">
        <f aca="false">IF(G45="","",TDIST(ABS(G45),F45-1,2))</f>
        <v>0.374584152501226</v>
      </c>
    </row>
    <row r="46" customFormat="false" ht="15" hidden="false" customHeight="false" outlineLevel="0" collapsed="false">
      <c r="A46" s="7" t="s">
        <v>2</v>
      </c>
      <c r="B46" s="7" t="s">
        <v>4</v>
      </c>
      <c r="C46" s="7" t="s">
        <v>45</v>
      </c>
      <c r="D46" s="16" t="n">
        <v>-0.28362455446623</v>
      </c>
      <c r="E46" s="16" t="n">
        <v>0.190487586953148</v>
      </c>
      <c r="F46" s="17" t="n">
        <v>19</v>
      </c>
      <c r="G46" s="18" t="n">
        <f aca="false">IF(E46&gt;0,D46/E46,"")</f>
        <v>-1.48893982543855</v>
      </c>
      <c r="H46" s="18" t="n">
        <f aca="false">IF(G46="","",TDIST(ABS(G46),F46-1,2))</f>
        <v>0.153815305191821</v>
      </c>
    </row>
    <row r="47" customFormat="false" ht="15" hidden="false" customHeight="false" outlineLevel="0" collapsed="false">
      <c r="A47" s="7" t="s">
        <v>2</v>
      </c>
      <c r="B47" s="7" t="s">
        <v>5</v>
      </c>
      <c r="C47" s="7" t="s">
        <v>45</v>
      </c>
      <c r="D47" s="16" t="n">
        <v>-0.950887844257267</v>
      </c>
      <c r="E47" s="16" t="n">
        <v>0.326314268794208</v>
      </c>
      <c r="F47" s="17" t="n">
        <v>19</v>
      </c>
      <c r="G47" s="18" t="n">
        <f aca="false">IF(E47&gt;0,D47/E47,"")</f>
        <v>-2.91402471541001</v>
      </c>
      <c r="H47" s="18" t="n">
        <f aca="false">IF(G47="","",TDIST(ABS(G47),F47-1,2))</f>
        <v>0.00926045535197018</v>
      </c>
    </row>
    <row r="48" customFormat="false" ht="15" hidden="false" customHeight="false" outlineLevel="0" collapsed="false">
      <c r="A48" s="7" t="s">
        <v>2</v>
      </c>
      <c r="B48" s="7" t="s">
        <v>6</v>
      </c>
      <c r="C48" s="7" t="s">
        <v>45</v>
      </c>
      <c r="D48" s="16" t="n">
        <v>-0.442493492662238</v>
      </c>
      <c r="E48" s="16" t="n">
        <v>0.278424536102805</v>
      </c>
      <c r="F48" s="17" t="n">
        <v>19</v>
      </c>
      <c r="G48" s="18" t="n">
        <f aca="false">IF(E48&gt;0,D48/E48,"")</f>
        <v>-1.5892762141439</v>
      </c>
      <c r="H48" s="18" t="n">
        <f aca="false">IF(G48="","",TDIST(ABS(G48),F48-1,2))</f>
        <v>0.129407940098254</v>
      </c>
    </row>
    <row r="49" customFormat="false" ht="15" hidden="false" customHeight="false" outlineLevel="0" collapsed="false">
      <c r="A49" s="7" t="s">
        <v>3</v>
      </c>
      <c r="B49" s="7" t="s">
        <v>4</v>
      </c>
      <c r="C49" s="7" t="s">
        <v>45</v>
      </c>
      <c r="D49" s="16" t="n">
        <v>-0.394887928199419</v>
      </c>
      <c r="E49" s="16" t="n">
        <v>0.218963324362214</v>
      </c>
      <c r="F49" s="17" t="n">
        <v>19</v>
      </c>
      <c r="G49" s="18" t="n">
        <f aca="false">IF(E49&gt;0,D49/E49,"")</f>
        <v>-1.80344324488875</v>
      </c>
      <c r="H49" s="18" t="n">
        <f aca="false">IF(G49="","",TDIST(ABS(G49),F49-1,2))</f>
        <v>0.0880835422318014</v>
      </c>
    </row>
    <row r="50" customFormat="false" ht="15" hidden="false" customHeight="false" outlineLevel="0" collapsed="false">
      <c r="A50" s="7" t="s">
        <v>3</v>
      </c>
      <c r="B50" s="7" t="s">
        <v>5</v>
      </c>
      <c r="C50" s="7" t="s">
        <v>45</v>
      </c>
      <c r="D50" s="16" t="n">
        <v>-0.782295710252934</v>
      </c>
      <c r="E50" s="16" t="n">
        <v>0.336964134325613</v>
      </c>
      <c r="F50" s="17" t="n">
        <v>19</v>
      </c>
      <c r="G50" s="18" t="n">
        <f aca="false">IF(E50&gt;0,D50/E50,"")</f>
        <v>-2.32159933524851</v>
      </c>
      <c r="H50" s="18" t="n">
        <f aca="false">IF(G50="","",TDIST(ABS(G50),F50-1,2))</f>
        <v>0.0321875410167868</v>
      </c>
    </row>
    <row r="51" customFormat="false" ht="15" hidden="false" customHeight="false" outlineLevel="0" collapsed="false">
      <c r="A51" s="7" t="s">
        <v>3</v>
      </c>
      <c r="B51" s="7" t="s">
        <v>6</v>
      </c>
      <c r="C51" s="7" t="s">
        <v>45</v>
      </c>
      <c r="D51" s="16" t="n">
        <v>-0.260274041887125</v>
      </c>
      <c r="E51" s="16" t="n">
        <v>0.289653276658084</v>
      </c>
      <c r="F51" s="17" t="n">
        <v>19</v>
      </c>
      <c r="G51" s="18" t="n">
        <f aca="false">IF(E51&gt;0,D51/E51,"")</f>
        <v>-0.89857102564167</v>
      </c>
      <c r="H51" s="18" t="n">
        <f aca="false">IF(G51="","",TDIST(ABS(G51),F51-1,2))</f>
        <v>0.380744351813633</v>
      </c>
    </row>
    <row r="52" customFormat="false" ht="15" hidden="false" customHeight="false" outlineLevel="0" collapsed="false">
      <c r="A52" s="7" t="s">
        <v>2</v>
      </c>
      <c r="B52" s="7" t="s">
        <v>4</v>
      </c>
      <c r="C52" s="7" t="s">
        <v>46</v>
      </c>
      <c r="D52" s="16" t="n">
        <v>0.256569158111667</v>
      </c>
      <c r="E52" s="16" t="n">
        <v>0.189417796106297</v>
      </c>
      <c r="F52" s="17" t="n">
        <v>19</v>
      </c>
      <c r="G52" s="18" t="n">
        <f aca="false">IF(E52&gt;0,D52/E52,"")</f>
        <v>1.35451453551749</v>
      </c>
      <c r="H52" s="18" t="n">
        <f aca="false">IF(G52="","",TDIST(ABS(G52),F52-1,2))</f>
        <v>0.192332074928362</v>
      </c>
    </row>
    <row r="53" customFormat="false" ht="15" hidden="false" customHeight="false" outlineLevel="0" collapsed="false">
      <c r="A53" s="7" t="s">
        <v>2</v>
      </c>
      <c r="B53" s="7" t="s">
        <v>5</v>
      </c>
      <c r="C53" s="7" t="s">
        <v>46</v>
      </c>
      <c r="D53" s="16" t="n">
        <v>-0.472796833683604</v>
      </c>
      <c r="E53" s="16" t="n">
        <v>0.237296911282315</v>
      </c>
      <c r="F53" s="17" t="n">
        <v>19</v>
      </c>
      <c r="G53" s="18" t="n">
        <f aca="false">IF(E53&gt;0,D53/E53,"")</f>
        <v>-1.99242725549475</v>
      </c>
      <c r="H53" s="18" t="n">
        <f aca="false">IF(G53="","",TDIST(ABS(G53),F53-1,2))</f>
        <v>0.0617128788533758</v>
      </c>
    </row>
    <row r="54" customFormat="false" ht="15" hidden="false" customHeight="false" outlineLevel="0" collapsed="false">
      <c r="A54" s="7" t="s">
        <v>2</v>
      </c>
      <c r="B54" s="7" t="s">
        <v>6</v>
      </c>
      <c r="C54" s="7" t="s">
        <v>46</v>
      </c>
      <c r="D54" s="16" t="n">
        <v>-0.0785976588563221</v>
      </c>
      <c r="E54" s="16" t="n">
        <v>0.331344851799071</v>
      </c>
      <c r="F54" s="17" t="n">
        <v>19</v>
      </c>
      <c r="G54" s="18" t="n">
        <f aca="false">IF(E54&gt;0,D54/E54,"")</f>
        <v>-0.237208027918852</v>
      </c>
      <c r="H54" s="18" t="n">
        <f aca="false">IF(G54="","",TDIST(ABS(G54),F54-1,2))</f>
        <v>0.815174204383618</v>
      </c>
    </row>
    <row r="55" customFormat="false" ht="15" hidden="false" customHeight="false" outlineLevel="0" collapsed="false">
      <c r="A55" s="7" t="s">
        <v>3</v>
      </c>
      <c r="B55" s="7" t="s">
        <v>4</v>
      </c>
      <c r="C55" s="7" t="s">
        <v>46</v>
      </c>
      <c r="D55" s="16" t="n">
        <v>-0.382288662014388</v>
      </c>
      <c r="E55" s="16" t="n">
        <v>0.159970477736642</v>
      </c>
      <c r="F55" s="17" t="n">
        <v>19</v>
      </c>
      <c r="G55" s="18" t="n">
        <f aca="false">IF(E55&gt;0,D55/E55,"")</f>
        <v>-2.38974507936237</v>
      </c>
      <c r="H55" s="18" t="n">
        <f aca="false">IF(G55="","",TDIST(ABS(G55),F55-1,2))</f>
        <v>0.0280098681133487</v>
      </c>
    </row>
    <row r="56" customFormat="false" ht="15" hidden="false" customHeight="false" outlineLevel="0" collapsed="false">
      <c r="A56" s="7" t="s">
        <v>3</v>
      </c>
      <c r="B56" s="7" t="s">
        <v>5</v>
      </c>
      <c r="C56" s="7" t="s">
        <v>46</v>
      </c>
      <c r="D56" s="16" t="n">
        <v>0.378471691485747</v>
      </c>
      <c r="E56" s="16" t="n">
        <v>0.352745767802287</v>
      </c>
      <c r="F56" s="17" t="n">
        <v>19</v>
      </c>
      <c r="G56" s="18" t="n">
        <f aca="false">IF(E56&gt;0,D56/E56,"")</f>
        <v>1.07293049564773</v>
      </c>
      <c r="H56" s="18" t="n">
        <f aca="false">IF(G56="","",TDIST(ABS(G56),F56-1,2))</f>
        <v>0.29747669888859</v>
      </c>
    </row>
    <row r="57" customFormat="false" ht="15" hidden="false" customHeight="false" outlineLevel="0" collapsed="false">
      <c r="A57" s="7" t="s">
        <v>3</v>
      </c>
      <c r="B57" s="7" t="s">
        <v>6</v>
      </c>
      <c r="C57" s="7" t="s">
        <v>46</v>
      </c>
      <c r="D57" s="16" t="n">
        <v>-0.406484133226979</v>
      </c>
      <c r="E57" s="16" t="n">
        <v>0.284938789197313</v>
      </c>
      <c r="F57" s="17" t="n">
        <v>19</v>
      </c>
      <c r="G57" s="18" t="n">
        <f aca="false">IF(E57&gt;0,D57/E57,"")</f>
        <v>-1.42656650704548</v>
      </c>
      <c r="H57" s="18" t="n">
        <f aca="false">IF(G57="","",TDIST(ABS(G57),F57-1,2))</f>
        <v>0.170820428986998</v>
      </c>
    </row>
    <row r="58" customFormat="false" ht="15" hidden="false" customHeight="false" outlineLevel="0" collapsed="false">
      <c r="A58" s="7" t="s">
        <v>2</v>
      </c>
      <c r="B58" s="7" t="s">
        <v>4</v>
      </c>
      <c r="C58" s="7" t="s">
        <v>47</v>
      </c>
      <c r="D58" s="16" t="n">
        <v>-0.48271617251724</v>
      </c>
      <c r="E58" s="16" t="n">
        <v>0.184281870879112</v>
      </c>
      <c r="F58" s="17" t="n">
        <v>19</v>
      </c>
      <c r="G58" s="18" t="n">
        <f aca="false">IF(E58&gt;0,D58/E58,"")</f>
        <v>-2.61944471376623</v>
      </c>
      <c r="H58" s="18" t="n">
        <f aca="false">IF(G58="","",TDIST(ABS(G58),F58-1,2))</f>
        <v>0.0173736604594206</v>
      </c>
    </row>
    <row r="59" customFormat="false" ht="15" hidden="false" customHeight="false" outlineLevel="0" collapsed="false">
      <c r="A59" s="7" t="s">
        <v>2</v>
      </c>
      <c r="B59" s="7" t="s">
        <v>5</v>
      </c>
      <c r="C59" s="7" t="s">
        <v>47</v>
      </c>
      <c r="D59" s="16" t="n">
        <v>-0.525218941054608</v>
      </c>
      <c r="E59" s="16" t="n">
        <v>0.317506161529887</v>
      </c>
      <c r="F59" s="17" t="n">
        <v>19</v>
      </c>
      <c r="G59" s="18" t="n">
        <f aca="false">IF(E59&gt;0,D59/E59,"")</f>
        <v>-1.6542007831403</v>
      </c>
      <c r="H59" s="18" t="n">
        <f aca="false">IF(G59="","",TDIST(ABS(G59),F59-1,2))</f>
        <v>0.115419247422564</v>
      </c>
    </row>
    <row r="60" customFormat="false" ht="15" hidden="false" customHeight="false" outlineLevel="0" collapsed="false">
      <c r="A60" s="7" t="s">
        <v>2</v>
      </c>
      <c r="B60" s="7" t="s">
        <v>6</v>
      </c>
      <c r="C60" s="7" t="s">
        <v>47</v>
      </c>
      <c r="D60" s="16" t="n">
        <v>-0.701902409347459</v>
      </c>
      <c r="E60" s="16" t="n">
        <v>0.367741908573326</v>
      </c>
      <c r="F60" s="17" t="n">
        <v>19</v>
      </c>
      <c r="G60" s="18" t="n">
        <f aca="false">IF(E60&gt;0,D60/E60,"")</f>
        <v>-1.90868213000396</v>
      </c>
      <c r="H60" s="18" t="n">
        <f aca="false">IF(G60="","",TDIST(ABS(G60),F60-1,2))</f>
        <v>0.0723796972367045</v>
      </c>
    </row>
    <row r="61" customFormat="false" ht="15" hidden="false" customHeight="false" outlineLevel="0" collapsed="false">
      <c r="A61" s="7" t="s">
        <v>3</v>
      </c>
      <c r="B61" s="7" t="s">
        <v>4</v>
      </c>
      <c r="C61" s="7" t="s">
        <v>47</v>
      </c>
      <c r="D61" s="16" t="n">
        <v>0.213927884433075</v>
      </c>
      <c r="E61" s="16" t="n">
        <v>0.226458131773682</v>
      </c>
      <c r="F61" s="17" t="n">
        <v>19</v>
      </c>
      <c r="G61" s="18" t="n">
        <f aca="false">IF(E61&gt;0,D61/E61,"")</f>
        <v>0.944668591750418</v>
      </c>
      <c r="H61" s="18" t="n">
        <f aca="false">IF(G61="","",TDIST(ABS(G61),F61-1,2))</f>
        <v>0.357336952728395</v>
      </c>
    </row>
    <row r="62" customFormat="false" ht="15" hidden="false" customHeight="false" outlineLevel="0" collapsed="false">
      <c r="A62" s="7" t="s">
        <v>3</v>
      </c>
      <c r="B62" s="7" t="s">
        <v>5</v>
      </c>
      <c r="C62" s="7" t="s">
        <v>47</v>
      </c>
      <c r="D62" s="16" t="n">
        <v>0.506090399689034</v>
      </c>
      <c r="E62" s="16" t="n">
        <v>0.271809944036274</v>
      </c>
      <c r="F62" s="17" t="n">
        <v>19</v>
      </c>
      <c r="G62" s="18" t="n">
        <f aca="false">IF(E62&gt;0,D62/E62,"")</f>
        <v>1.8619274636306</v>
      </c>
      <c r="H62" s="18" t="n">
        <f aca="false">IF(G62="","",TDIST(ABS(G62),F62-1,2))</f>
        <v>0.0790220883780355</v>
      </c>
    </row>
    <row r="63" customFormat="false" ht="15" hidden="false" customHeight="false" outlineLevel="0" collapsed="false">
      <c r="A63" s="7" t="s">
        <v>3</v>
      </c>
      <c r="B63" s="7" t="s">
        <v>6</v>
      </c>
      <c r="C63" s="7" t="s">
        <v>47</v>
      </c>
      <c r="D63" s="16" t="n">
        <v>0.40319016205094</v>
      </c>
      <c r="E63" s="16" t="n">
        <v>0.27451712722484</v>
      </c>
      <c r="F63" s="17" t="n">
        <v>19</v>
      </c>
      <c r="G63" s="18" t="n">
        <f aca="false">IF(E63&gt;0,D63/E63,"")</f>
        <v>1.46872497948265</v>
      </c>
      <c r="H63" s="18" t="n">
        <f aca="false">IF(G63="","",TDIST(ABS(G63),F63-1,2))</f>
        <v>0.159167213194738</v>
      </c>
    </row>
    <row r="64" customFormat="false" ht="15" hidden="false" customHeight="false" outlineLevel="0" collapsed="false">
      <c r="A64" s="7" t="s">
        <v>2</v>
      </c>
      <c r="B64" s="7" t="s">
        <v>4</v>
      </c>
      <c r="C64" s="7" t="s">
        <v>48</v>
      </c>
      <c r="D64" s="16" t="n">
        <v>-0.519368406877095</v>
      </c>
      <c r="E64" s="16" t="n">
        <v>0.223799480559118</v>
      </c>
      <c r="F64" s="17" t="n">
        <v>19</v>
      </c>
      <c r="G64" s="18" t="n">
        <f aca="false">IF(E64&gt;0,D64/E64,"")</f>
        <v>-2.32068638220053</v>
      </c>
      <c r="H64" s="18" t="n">
        <f aca="false">IF(G64="","",TDIST(ABS(G64),F64-1,2))</f>
        <v>0.0322472536813296</v>
      </c>
    </row>
    <row r="65" customFormat="false" ht="15" hidden="false" customHeight="false" outlineLevel="0" collapsed="false">
      <c r="A65" s="7" t="s">
        <v>2</v>
      </c>
      <c r="B65" s="7" t="s">
        <v>5</v>
      </c>
      <c r="C65" s="7" t="s">
        <v>48</v>
      </c>
      <c r="D65" s="16" t="n">
        <v>-0.439356723449381</v>
      </c>
      <c r="E65" s="16" t="n">
        <v>0.359754510887936</v>
      </c>
      <c r="F65" s="17" t="n">
        <v>19</v>
      </c>
      <c r="G65" s="18" t="n">
        <f aca="false">IF(E65&gt;0,D65/E65,"")</f>
        <v>-1.22126814300389</v>
      </c>
      <c r="H65" s="18" t="n">
        <f aca="false">IF(G65="","",TDIST(ABS(G65),F65-1,2))</f>
        <v>0.237740013864128</v>
      </c>
    </row>
    <row r="66" customFormat="false" ht="15" hidden="false" customHeight="false" outlineLevel="0" collapsed="false">
      <c r="A66" s="7" t="s">
        <v>2</v>
      </c>
      <c r="B66" s="7" t="s">
        <v>6</v>
      </c>
      <c r="C66" s="7" t="s">
        <v>48</v>
      </c>
      <c r="D66" s="16" t="n">
        <v>-0.622523469294126</v>
      </c>
      <c r="E66" s="16" t="n">
        <v>0.42062448951503</v>
      </c>
      <c r="F66" s="17" t="n">
        <v>19</v>
      </c>
      <c r="G66" s="18" t="n">
        <f aca="false">IF(E66&gt;0,D66/E66,"")</f>
        <v>-1.47999815705424</v>
      </c>
      <c r="H66" s="18" t="n">
        <f aca="false">IF(G66="","",TDIST(ABS(G66),F66-1,2))</f>
        <v>0.156164058062008</v>
      </c>
    </row>
    <row r="67" customFormat="false" ht="15" hidden="false" customHeight="false" outlineLevel="0" collapsed="false">
      <c r="A67" s="7" t="s">
        <v>3</v>
      </c>
      <c r="B67" s="7" t="s">
        <v>4</v>
      </c>
      <c r="C67" s="7" t="s">
        <v>48</v>
      </c>
      <c r="D67" s="16" t="n">
        <v>-0.693605550959944</v>
      </c>
      <c r="E67" s="16" t="n">
        <v>0.164566697787812</v>
      </c>
      <c r="F67" s="17" t="n">
        <v>19</v>
      </c>
      <c r="G67" s="18" t="n">
        <f aca="false">IF(E67&gt;0,D67/E67,"")</f>
        <v>-4.21473822033095</v>
      </c>
      <c r="H67" s="18" t="n">
        <f aca="false">IF(G67="","",TDIST(ABS(G67),F67-1,2))</f>
        <v>0.00052088497586059</v>
      </c>
    </row>
    <row r="68" customFormat="false" ht="15" hidden="false" customHeight="false" outlineLevel="0" collapsed="false">
      <c r="A68" s="7" t="s">
        <v>3</v>
      </c>
      <c r="B68" s="7" t="s">
        <v>5</v>
      </c>
      <c r="C68" s="7" t="s">
        <v>48</v>
      </c>
      <c r="D68" s="16" t="n">
        <v>-0.104720084044346</v>
      </c>
      <c r="E68" s="16" t="n">
        <v>0.274324994262006</v>
      </c>
      <c r="F68" s="17" t="n">
        <v>19</v>
      </c>
      <c r="G68" s="18" t="n">
        <f aca="false">IF(E68&gt;0,D68/E68,"")</f>
        <v>-0.3817373051481</v>
      </c>
      <c r="H68" s="18" t="n">
        <f aca="false">IF(G68="","",TDIST(ABS(G68),F68-1,2))</f>
        <v>0.707125298647043</v>
      </c>
    </row>
    <row r="69" customFormat="false" ht="15" hidden="false" customHeight="false" outlineLevel="0" collapsed="false">
      <c r="A69" s="7" t="s">
        <v>3</v>
      </c>
      <c r="B69" s="7" t="s">
        <v>6</v>
      </c>
      <c r="C69" s="7" t="s">
        <v>48</v>
      </c>
      <c r="D69" s="16" t="n">
        <v>-0.372051339832415</v>
      </c>
      <c r="E69" s="16" t="n">
        <v>0.220021079100529</v>
      </c>
      <c r="F69" s="17" t="n">
        <v>19</v>
      </c>
      <c r="G69" s="18" t="n">
        <f aca="false">IF(E69&gt;0,D69/E69,"")</f>
        <v>-1.69098043402661</v>
      </c>
      <c r="H69" s="18" t="n">
        <f aca="false">IF(G69="","",TDIST(ABS(G69),F69-1,2))</f>
        <v>0.108082037339554</v>
      </c>
    </row>
    <row r="70" customFormat="false" ht="15" hidden="false" customHeight="false" outlineLevel="0" collapsed="false">
      <c r="A70" s="7" t="s">
        <v>2</v>
      </c>
      <c r="B70" s="7" t="s">
        <v>4</v>
      </c>
      <c r="C70" s="7" t="s">
        <v>49</v>
      </c>
      <c r="D70" s="16" t="n">
        <v>-1.21767814018593</v>
      </c>
      <c r="E70" s="16" t="n">
        <v>0.228776628583977</v>
      </c>
      <c r="F70" s="17" t="n">
        <v>19</v>
      </c>
      <c r="G70" s="18" t="n">
        <f aca="false">IF(E70&gt;0,D70/E70,"")</f>
        <v>-5.32256353161073</v>
      </c>
      <c r="H70" s="18" t="n">
        <f aca="false">IF(G70="","",TDIST(ABS(G70),F70-1,2))</f>
        <v>4.6438124330468E-005</v>
      </c>
    </row>
    <row r="71" customFormat="false" ht="15" hidden="false" customHeight="false" outlineLevel="0" collapsed="false">
      <c r="A71" s="7" t="s">
        <v>2</v>
      </c>
      <c r="B71" s="7" t="s">
        <v>5</v>
      </c>
      <c r="C71" s="7" t="s">
        <v>49</v>
      </c>
      <c r="D71" s="16" t="n">
        <v>-0.485291427771736</v>
      </c>
      <c r="E71" s="16" t="n">
        <v>0.386058210350454</v>
      </c>
      <c r="F71" s="17" t="n">
        <v>19</v>
      </c>
      <c r="G71" s="18" t="n">
        <f aca="false">IF(E71&gt;0,D71/E71,"")</f>
        <v>-1.25704211116557</v>
      </c>
      <c r="H71" s="18" t="n">
        <f aca="false">IF(G71="","",TDIST(ABS(G71),F71-1,2))</f>
        <v>0.224805573023739</v>
      </c>
    </row>
    <row r="72" customFormat="false" ht="15" hidden="false" customHeight="false" outlineLevel="0" collapsed="false">
      <c r="A72" s="7" t="s">
        <v>2</v>
      </c>
      <c r="B72" s="7" t="s">
        <v>6</v>
      </c>
      <c r="C72" s="7" t="s">
        <v>49</v>
      </c>
      <c r="D72" s="16" t="n">
        <v>-1.10728917686373</v>
      </c>
      <c r="E72" s="16" t="n">
        <v>0.486048857875009</v>
      </c>
      <c r="F72" s="17" t="n">
        <v>19</v>
      </c>
      <c r="G72" s="18" t="n">
        <f aca="false">IF(E72&gt;0,D72/E72,"")</f>
        <v>-2.27814376872475</v>
      </c>
      <c r="H72" s="18" t="n">
        <f aca="false">IF(G72="","",TDIST(ABS(G72),F72-1,2))</f>
        <v>0.0351465419318394</v>
      </c>
    </row>
    <row r="73" customFormat="false" ht="15" hidden="false" customHeight="false" outlineLevel="0" collapsed="false">
      <c r="A73" s="7" t="s">
        <v>3</v>
      </c>
      <c r="B73" s="7" t="s">
        <v>4</v>
      </c>
      <c r="C73" s="7" t="s">
        <v>49</v>
      </c>
      <c r="D73" s="16" t="n">
        <v>-0.561382802003966</v>
      </c>
      <c r="E73" s="16" t="n">
        <v>0.196162333710036</v>
      </c>
      <c r="F73" s="17" t="n">
        <v>19</v>
      </c>
      <c r="G73" s="18" t="n">
        <f aca="false">IF(E73&gt;0,D73/E73,"")</f>
        <v>-2.8618277086456</v>
      </c>
      <c r="H73" s="18" t="n">
        <f aca="false">IF(G73="","",TDIST(ABS(G73),F73-1,2))</f>
        <v>0.0103644787678518</v>
      </c>
    </row>
    <row r="74" customFormat="false" ht="15" hidden="false" customHeight="false" outlineLevel="0" collapsed="false">
      <c r="A74" s="7" t="s">
        <v>3</v>
      </c>
      <c r="B74" s="7" t="s">
        <v>5</v>
      </c>
      <c r="C74" s="7" t="s">
        <v>49</v>
      </c>
      <c r="D74" s="16" t="n">
        <v>-0.365777559251045</v>
      </c>
      <c r="E74" s="16" t="n">
        <v>0.404048047190359</v>
      </c>
      <c r="F74" s="17" t="n">
        <v>19</v>
      </c>
      <c r="G74" s="18" t="n">
        <f aca="false">IF(E74&gt;0,D74/E74,"")</f>
        <v>-0.905282334104974</v>
      </c>
      <c r="H74" s="18" t="n">
        <f aca="false">IF(G74="","",TDIST(ABS(G74),F74-1,2))</f>
        <v>0.377274170012901</v>
      </c>
    </row>
    <row r="75" customFormat="false" ht="15" hidden="false" customHeight="false" outlineLevel="0" collapsed="false">
      <c r="A75" s="7" t="s">
        <v>3</v>
      </c>
      <c r="B75" s="7" t="s">
        <v>6</v>
      </c>
      <c r="C75" s="7" t="s">
        <v>49</v>
      </c>
      <c r="D75" s="16" t="n">
        <v>0.0788201658903592</v>
      </c>
      <c r="E75" s="16" t="n">
        <v>0.337791745425719</v>
      </c>
      <c r="F75" s="17" t="n">
        <v>19</v>
      </c>
      <c r="G75" s="18" t="n">
        <f aca="false">IF(E75&gt;0,D75/E75,"")</f>
        <v>0.233339526373038</v>
      </c>
      <c r="H75" s="18" t="n">
        <f aca="false">IF(G75="","",TDIST(ABS(G75),F75-1,2))</f>
        <v>0.8181307567445</v>
      </c>
    </row>
    <row r="76" customFormat="false" ht="15" hidden="false" customHeight="false" outlineLevel="0" collapsed="false">
      <c r="A76" s="7" t="s">
        <v>2</v>
      </c>
      <c r="B76" s="7" t="s">
        <v>4</v>
      </c>
      <c r="C76" s="7" t="s">
        <v>50</v>
      </c>
      <c r="D76" s="16" t="n">
        <v>0.127284017220292</v>
      </c>
      <c r="E76" s="16" t="n">
        <v>0.23874557956768</v>
      </c>
      <c r="F76" s="17" t="n">
        <v>19</v>
      </c>
      <c r="G76" s="18" t="n">
        <f aca="false">IF(E76&gt;0,D76/E76,"")</f>
        <v>0.533136644669095</v>
      </c>
      <c r="H76" s="18" t="n">
        <f aca="false">IF(G76="","",TDIST(ABS(G76),F76-1,2))</f>
        <v>0.600460390504336</v>
      </c>
    </row>
    <row r="77" customFormat="false" ht="15" hidden="false" customHeight="false" outlineLevel="0" collapsed="false">
      <c r="A77" s="7" t="s">
        <v>2</v>
      </c>
      <c r="B77" s="7" t="s">
        <v>5</v>
      </c>
      <c r="C77" s="7" t="s">
        <v>50</v>
      </c>
      <c r="D77" s="16" t="n">
        <v>0.435313845232446</v>
      </c>
      <c r="E77" s="16" t="n">
        <v>0.344582642986753</v>
      </c>
      <c r="F77" s="17" t="n">
        <v>19</v>
      </c>
      <c r="G77" s="18" t="n">
        <f aca="false">IF(E77&gt;0,D77/E77,"")</f>
        <v>1.26330752315108</v>
      </c>
      <c r="H77" s="18" t="n">
        <f aca="false">IF(G77="","",TDIST(ABS(G77),F77-1,2))</f>
        <v>0.222597386524878</v>
      </c>
    </row>
    <row r="78" customFormat="false" ht="15" hidden="false" customHeight="false" outlineLevel="0" collapsed="false">
      <c r="A78" s="7" t="s">
        <v>2</v>
      </c>
      <c r="B78" s="7" t="s">
        <v>6</v>
      </c>
      <c r="C78" s="7" t="s">
        <v>50</v>
      </c>
      <c r="D78" s="16" t="n">
        <v>-0.155204166550019</v>
      </c>
      <c r="E78" s="16" t="n">
        <v>0.468753425989072</v>
      </c>
      <c r="F78" s="17" t="n">
        <v>19</v>
      </c>
      <c r="G78" s="18" t="n">
        <f aca="false">IF(E78&gt;0,D78/E78,"")</f>
        <v>-0.33109980203886</v>
      </c>
      <c r="H78" s="18" t="n">
        <f aca="false">IF(G78="","",TDIST(ABS(G78),F78-1,2))</f>
        <v>0.744392495743654</v>
      </c>
    </row>
    <row r="79" customFormat="false" ht="15" hidden="false" customHeight="false" outlineLevel="0" collapsed="false">
      <c r="A79" s="7" t="s">
        <v>3</v>
      </c>
      <c r="B79" s="7" t="s">
        <v>4</v>
      </c>
      <c r="C79" s="7" t="s">
        <v>50</v>
      </c>
      <c r="D79" s="16" t="n">
        <v>-0.484036277556285</v>
      </c>
      <c r="E79" s="16" t="n">
        <v>0.275601528734013</v>
      </c>
      <c r="F79" s="17" t="n">
        <v>19</v>
      </c>
      <c r="G79" s="18" t="n">
        <f aca="false">IF(E79&gt;0,D79/E79,"")</f>
        <v>-1.75629024911337</v>
      </c>
      <c r="H79" s="18" t="n">
        <f aca="false">IF(G79="","",TDIST(ABS(G79),F79-1,2))</f>
        <v>0.096038591691766</v>
      </c>
    </row>
    <row r="80" customFormat="false" ht="15" hidden="false" customHeight="false" outlineLevel="0" collapsed="false">
      <c r="A80" s="7" t="s">
        <v>3</v>
      </c>
      <c r="B80" s="7" t="s">
        <v>5</v>
      </c>
      <c r="C80" s="7" t="s">
        <v>50</v>
      </c>
      <c r="D80" s="16" t="n">
        <v>0.473399016382242</v>
      </c>
      <c r="E80" s="16" t="n">
        <v>0.62883484866667</v>
      </c>
      <c r="F80" s="17" t="n">
        <v>19</v>
      </c>
      <c r="G80" s="18" t="n">
        <f aca="false">IF(E80&gt;0,D80/E80,"")</f>
        <v>0.752819309212901</v>
      </c>
      <c r="H80" s="18" t="n">
        <f aca="false">IF(G80="","",TDIST(ABS(G80),F80-1,2))</f>
        <v>0.461291563526419</v>
      </c>
    </row>
    <row r="81" customFormat="false" ht="15" hidden="false" customHeight="false" outlineLevel="0" collapsed="false">
      <c r="A81" s="7" t="s">
        <v>3</v>
      </c>
      <c r="B81" s="7" t="s">
        <v>6</v>
      </c>
      <c r="C81" s="7" t="s">
        <v>50</v>
      </c>
      <c r="D81" s="16" t="n">
        <v>-0.36387188894547</v>
      </c>
      <c r="E81" s="16" t="n">
        <v>0.436395301939583</v>
      </c>
      <c r="F81" s="17" t="n">
        <v>19</v>
      </c>
      <c r="G81" s="18" t="n">
        <f aca="false">IF(E81&gt;0,D81/E81,"")</f>
        <v>-0.833812571602445</v>
      </c>
      <c r="H81" s="18" t="n">
        <f aca="false">IF(G81="","",TDIST(ABS(G81),F81-1,2))</f>
        <v>0.415315098623177</v>
      </c>
    </row>
    <row r="82" customFormat="false" ht="15" hidden="false" customHeight="false" outlineLevel="0" collapsed="false">
      <c r="A82" s="7" t="s">
        <v>2</v>
      </c>
      <c r="B82" s="7" t="s">
        <v>4</v>
      </c>
      <c r="C82" s="7" t="s">
        <v>51</v>
      </c>
      <c r="D82" s="16" t="n">
        <v>0.538726583299798</v>
      </c>
      <c r="E82" s="16" t="n">
        <v>0.373767320831578</v>
      </c>
      <c r="F82" s="17" t="n">
        <v>19</v>
      </c>
      <c r="G82" s="18" t="n">
        <f aca="false">IF(E82&gt;0,D82/E82,"")</f>
        <v>1.44134212188805</v>
      </c>
      <c r="H82" s="18" t="n">
        <f aca="false">IF(G82="","",TDIST(ABS(G82),F82-1,2))</f>
        <v>0.166659573513172</v>
      </c>
    </row>
    <row r="83" customFormat="false" ht="15" hidden="false" customHeight="false" outlineLevel="0" collapsed="false">
      <c r="A83" s="7" t="s">
        <v>2</v>
      </c>
      <c r="B83" s="7" t="s">
        <v>5</v>
      </c>
      <c r="C83" s="7" t="s">
        <v>51</v>
      </c>
      <c r="D83" s="16" t="n">
        <v>0.78089803358791</v>
      </c>
      <c r="E83" s="16" t="n">
        <v>0.693472828343894</v>
      </c>
      <c r="F83" s="17" t="n">
        <v>19</v>
      </c>
      <c r="G83" s="18" t="n">
        <f aca="false">IF(E83&gt;0,D83/E83,"")</f>
        <v>1.12606868167106</v>
      </c>
      <c r="H83" s="18" t="n">
        <f aca="false">IF(G83="","",TDIST(ABS(G83),F83-1,2))</f>
        <v>0.274926546129175</v>
      </c>
    </row>
    <row r="84" customFormat="false" ht="15" hidden="false" customHeight="false" outlineLevel="0" collapsed="false">
      <c r="A84" s="7" t="s">
        <v>2</v>
      </c>
      <c r="B84" s="7" t="s">
        <v>6</v>
      </c>
      <c r="C84" s="7" t="s">
        <v>51</v>
      </c>
      <c r="D84" s="16" t="n">
        <v>0.18682045131648</v>
      </c>
      <c r="E84" s="16" t="n">
        <v>0.711847525895843</v>
      </c>
      <c r="F84" s="17" t="n">
        <v>19</v>
      </c>
      <c r="G84" s="18" t="n">
        <f aca="false">IF(E84&gt;0,D84/E84,"")</f>
        <v>0.262444476549062</v>
      </c>
      <c r="H84" s="18" t="n">
        <f aca="false">IF(G84="","",TDIST(ABS(G84),F84-1,2))</f>
        <v>0.795958901011416</v>
      </c>
    </row>
    <row r="85" customFormat="false" ht="15" hidden="false" customHeight="false" outlineLevel="0" collapsed="false">
      <c r="A85" s="7" t="s">
        <v>3</v>
      </c>
      <c r="B85" s="7" t="s">
        <v>4</v>
      </c>
      <c r="C85" s="7" t="s">
        <v>51</v>
      </c>
      <c r="D85" s="16" t="n">
        <v>0.453696024243228</v>
      </c>
      <c r="E85" s="16" t="n">
        <v>0.459524883572587</v>
      </c>
      <c r="F85" s="17" t="n">
        <v>19</v>
      </c>
      <c r="G85" s="18" t="n">
        <f aca="false">IF(E85&gt;0,D85/E85,"")</f>
        <v>0.987315465303984</v>
      </c>
      <c r="H85" s="18" t="n">
        <f aca="false">IF(G85="","",TDIST(ABS(G85),F85-1,2))</f>
        <v>0.336574762484188</v>
      </c>
    </row>
    <row r="86" customFormat="false" ht="15" hidden="false" customHeight="false" outlineLevel="0" collapsed="false">
      <c r="A86" s="7" t="s">
        <v>3</v>
      </c>
      <c r="B86" s="7" t="s">
        <v>5</v>
      </c>
      <c r="C86" s="7" t="s">
        <v>51</v>
      </c>
      <c r="D86" s="16" t="n">
        <v>0.639823510323065</v>
      </c>
      <c r="E86" s="16" t="n">
        <v>0.535212835480889</v>
      </c>
      <c r="F86" s="17" t="n">
        <v>19</v>
      </c>
      <c r="G86" s="18" t="n">
        <f aca="false">IF(E86&gt;0,D86/E86,"")</f>
        <v>1.19545621462569</v>
      </c>
      <c r="H86" s="18" t="n">
        <f aca="false">IF(G86="","",TDIST(ABS(G86),F86-1,2))</f>
        <v>0.247421474116408</v>
      </c>
    </row>
    <row r="87" customFormat="false" ht="15" hidden="false" customHeight="false" outlineLevel="0" collapsed="false">
      <c r="A87" s="7" t="s">
        <v>3</v>
      </c>
      <c r="B87" s="7" t="s">
        <v>6</v>
      </c>
      <c r="C87" s="7" t="s">
        <v>51</v>
      </c>
      <c r="D87" s="16" t="n">
        <v>0.436950280040857</v>
      </c>
      <c r="E87" s="16" t="n">
        <v>0.604443981609576</v>
      </c>
      <c r="F87" s="17" t="n">
        <v>19</v>
      </c>
      <c r="G87" s="18" t="n">
        <f aca="false">IF(E87&gt;0,D87/E87,"")</f>
        <v>0.722896237426834</v>
      </c>
      <c r="H87" s="18" t="n">
        <f aca="false">IF(G87="","",TDIST(ABS(G87),F87-1,2))</f>
        <v>0.479032266962679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2026-10-19T20:18:16Z</dcterms:created>
  <dc:creator>openpyxl</dc:creator>
  <dc:description/>
  <dc:language>en-US</dc:language>
  <cp:lastModifiedBy/>
  <dcterms:modified xsi:type="dcterms:W3CDTF">2026-10-19T20:18:16Z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