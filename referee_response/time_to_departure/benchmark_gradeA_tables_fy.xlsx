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III Panel B" sheetId="1" state="visible" r:id="rId3"/>
    <sheet name="Interactions Panel B" sheetId="2" state="visible" r:id="rId4"/>
    <sheet name="Correlations" sheetId="3" state="visible" r:id="rId5"/>
    <sheet name="Estima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<sst xmlns="http://schemas.openxmlformats.org/spreadsheetml/2006/main" count="1075" uniqueCount="81">
  <si>
    <t xml:space="preserve">Table III: Peer- and Benchmark-Adjusted Returns by Benchmark Confidence</t>
  </si>
  <si>
    <t xml:space="preserve">This table re-estimates Table III. Panel A uses Peer-Adjusted Return, for all plan-years (as in the paper) and for the plan-years that also have the grade-A benchmark-adjusted return. Panel B uses Benchmark-Adjusted Return for three versions of the policy benchmark. Benchmark-Adjusted Return is the plan's return minus its policy benchmark return. 'Reported + inferred grade A/B' uses the benchmark return reported in the plan's financial report or, where none is stated, an inferred value graded A or B (the version in the earlier tables). 'Reported + inferred grade A only' drops the inferred values graded B (28 plan-years, 10 of them conflicted). 'Reported benchmarks only' drops all inferred values. Columns follow Table III: (1) base controls with year fixed effects; (2) all controls with year fixed effects; (3) plan fixed effects; (4) plan and year fixed effects; (5) and (6) code Conflicted CIO as 1 only in the last 5 or 10 years before the CIO departs. The standard errors are double clustered by plan and year. Coefficients marked with ***, **, and * are significant at the 1%, 5%, and 10% level, respectively.</t>
  </si>
  <si>
    <t xml:space="preserve">(1)</t>
  </si>
  <si>
    <t xml:space="preserve">(2)</t>
  </si>
  <si>
    <t xml:space="preserve">(3)</t>
  </si>
  <si>
    <t xml:space="preserve">(4)</t>
  </si>
  <si>
    <t xml:space="preserve">(5)</t>
  </si>
  <si>
    <t xml:space="preserve">(6)</t>
  </si>
  <si>
    <t xml:space="preserve">Panel A. Peer-Adjusted Returns</t>
  </si>
  <si>
    <t xml:space="preserve">All plan-years</t>
  </si>
  <si>
    <t xml:space="preserve">Conflicted CIO (0/1)</t>
  </si>
  <si>
    <t xml:space="preserve">Observations</t>
  </si>
  <si>
    <t xml:space="preserve">Conflicted plan-years</t>
  </si>
  <si>
    <t xml:space="preserve">Adjusted R-squared</t>
  </si>
  <si>
    <t xml:space="preserve">Plan-years with the grade-A benchmark-adjusted return</t>
  </si>
  <si>
    <t xml:space="preserve">Panel B. Benchmark-Adjusted Returns</t>
  </si>
  <si>
    <t xml:space="preserve">Reported + inferred grade A/B (as before)</t>
  </si>
  <si>
    <t xml:space="preserve">Reported + inferred grade A only</t>
  </si>
  <si>
    <t xml:space="preserve">Reported benchmarks only</t>
  </si>
  <si>
    <t xml:space="preserve">Controls</t>
  </si>
  <si>
    <t xml:space="preserve">Base</t>
  </si>
  <si>
    <t xml:space="preserve">All</t>
  </si>
  <si>
    <t xml:space="preserve">Plan FE</t>
  </si>
  <si>
    <t xml:space="preserve">No</t>
  </si>
  <si>
    <t xml:space="preserve">Yes</t>
  </si>
  <si>
    <t xml:space="preserve">Year FE</t>
  </si>
  <si>
    <t xml:space="preserve">Last n years</t>
  </si>
  <si>
    <t xml:space="preserve">5</t>
  </si>
  <si>
    <t xml:space="preserve">10</t>
  </si>
  <si>
    <t xml:space="preserve">Interaction Specification: Peer- and Benchmark-Adjusted Returns by Benchmark Confidence</t>
  </si>
  <si>
    <t xml:space="preserve">This table repeats the interaction specification of xsec_interactions_fye1.xlsx (all Table III controls, fiscal-year fixed effects instead of fiscal-year-end date fixed effects, Conflicted CIO interacted with X). Panel A uses Peer-Adjusted Return, for all plan-years and for the plan-years that also have the grade-A benchmark-adjusted return; Panel B uses Benchmark-Adjusted Return for three versions of the policy benchmark. Benchmark-Adjusted Return is the plan's return minus its policy benchmark return. 'Reported + inferred grade A/B' uses the benchmark return reported in the plan's financial report or, where none is stated, an inferred value graded A or B (the version in the earlier tables). 'Reported + inferred grade A only' drops the inferred values graded B (28 plan-years, 10 of them conflicted). 'Reported benchmarks only' drops all inferred values. For binary X, Conflicted CIO is the effect when X = 0 and the italic row gives the effect when X = 1. Continuous X (log pay, relative pay filled within spell, log CIO age) is centered at its regression-sample mean, so Conflicted CIO is the effect at average X, and the italic rows give the effect at the 25th and 75th percentiles. Log CIO Age is the paper's log_cio_age, ln(1 + age); that column drops the lagged log CIO age control. The standard errors are double clustered by plan and year. Coefficients marked with ***, **, and * are significant at the 1%, 5%, and 10% level, respectively.</t>
  </si>
  <si>
    <t xml:space="preserve">X = Underpaid</t>
  </si>
  <si>
    <t xml:space="preserve">X = Young CIO</t>
  </si>
  <si>
    <t xml:space="preserve">X = Prior Private Exp.</t>
  </si>
  <si>
    <t xml:space="preserve">X = Financial Center</t>
  </si>
  <si>
    <t xml:space="preserve">X = High Discount Rate</t>
  </si>
  <si>
    <t xml:space="preserve">X = High Funding</t>
  </si>
  <si>
    <t xml:space="preserve">X = Log CIO Total Comp.</t>
  </si>
  <si>
    <t xml:space="preserve">X = Relative CIO Pay (filled)</t>
  </si>
  <si>
    <t xml:space="preserve">X = Log CIO Age</t>
  </si>
  <si>
    <t xml:space="preserve">Conflicted CIO x X</t>
  </si>
  <si>
    <t xml:space="preserve">X</t>
  </si>
  <si>
    <t xml:space="preserve">Conflicted CIO effect when X = 1</t>
  </si>
  <si>
    <t xml:space="preserve">Conflicted CIO effect, 25th pct. of X</t>
  </si>
  <si>
    <t xml:space="preserve">Conflicted CIO effect, 75th pct. of X</t>
  </si>
  <si>
    <t xml:space="preserve">Correlation of Benchmark-Adjusted and Peer-Adjusted Returns</t>
  </si>
  <si>
    <t xml:space="preserve">Correlations are computed over Table III sample plan-years (cio_dum = 1, fy &lt;= 2020, curr1 = 0) where both returns are available. 'Within fiscal year' demeans both returns by fiscal year (fy) before correlating. Benchmark-Adjusted Return is the plan's return minus its policy benchmark return. 'Reported + inferred grade A/B' uses the benchmark return reported in the plan's financial report or, where none is stated, an inferred value graded A or B (the version in the earlier tables). 'Reported + inferred grade A only' drops the inferred values graded B (28 plan-years, 10 of them conflicted). 'Reported benchmarks only' drops all inferred values. </t>
  </si>
  <si>
    <t xml:space="preserve">Benchmark version</t>
  </si>
  <si>
    <t xml:space="preserve">Plan-years</t>
  </si>
  <si>
    <t xml:space="preserve">Pearson</t>
  </si>
  <si>
    <t xml:space="preserve">Spearman</t>
  </si>
  <si>
    <t xml:space="preserve">Pearson, within fiscal year</t>
  </si>
  <si>
    <t xml:space="preserve">Pearson, conflicted plan-years</t>
  </si>
  <si>
    <t xml:space="preserve">Pearson, other plan-years</t>
  </si>
  <si>
    <t xml:space="preserve">Estimates behind the tables. Blue = regression output (coefficient, SE, minimum cluster count). t and p are formulas; p uses the t distribution with (min clusters - 1) df. SE double clustered by plan and year, with the eigenvalue fix.</t>
  </si>
  <si>
    <t xml:space="preserve">Table</t>
  </si>
  <si>
    <t xml:space="preserve">Benchmark</t>
  </si>
  <si>
    <t xml:space="preserve">Column / X</t>
  </si>
  <si>
    <t xml:space="preserve">Term</t>
  </si>
  <si>
    <t xml:space="preserve">Coefficient</t>
  </si>
  <si>
    <t xml:space="preserve">SE</t>
  </si>
  <si>
    <t xml:space="preserve">Clusters (min)</t>
  </si>
  <si>
    <t xml:space="preserve">t</t>
  </si>
  <si>
    <t xml:space="preserve">p</t>
  </si>
  <si>
    <t xml:space="preserve">Table III B</t>
  </si>
  <si>
    <t xml:space="preserve">Peer-adjusted: All plan-years</t>
  </si>
  <si>
    <t xml:space="preserve">Conflicted CIO</t>
  </si>
  <si>
    <t xml:space="preserve">Peer-adjusted: Plan-years with the grade-A benchmark-adjusted return</t>
  </si>
  <si>
    <t xml:space="preserve">Benchmark-adjusted: Reported + inferred grade A/B (as before)</t>
  </si>
  <si>
    <t xml:space="preserve">Benchmark-adjusted: Reported + inferred grade A only</t>
  </si>
  <si>
    <t xml:space="preserve">Benchmark-adjusted: Reported benchmarks only</t>
  </si>
  <si>
    <t xml:space="preserve">Interactions B</t>
  </si>
  <si>
    <t xml:space="preserve">Underpaid</t>
  </si>
  <si>
    <t xml:space="preserve">Young CIO</t>
  </si>
  <si>
    <t xml:space="preserve">Prior Private Exp.</t>
  </si>
  <si>
    <t xml:space="preserve">Financial Center</t>
  </si>
  <si>
    <t xml:space="preserve">High Discount Rate</t>
  </si>
  <si>
    <t xml:space="preserve">High Funding</t>
  </si>
  <si>
    <t xml:space="preserve">Log CIO Total Comp.</t>
  </si>
  <si>
    <t xml:space="preserve">Relative CIO Pay (filled)</t>
  </si>
  <si>
    <t xml:space="preserve">Log CIO Age</t>
  </si>
</sst>
</file>

<file path=xl/styles.xml><?xml version="1.0" encoding="utf-8"?>
<styleSheet xmlns="http://schemas.openxmlformats.org/spreadsheetml/2006/main">
  <numFmts count="4">
    <numFmt numFmtId="164" formatCode="General"/>
    <numFmt numFmtId="165" formatCode="#,##0"/>
    <numFmt numFmtId="166" formatCode="0.000"/>
    <numFmt numFmtId="167"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i val="true"/>
      <sz val="10.5"/>
      <name val="Times New Roman"/>
      <family val="0"/>
      <charset val="1"/>
    </font>
    <font>
      <sz val="10.5"/>
      <color rgb="FF0000FF"/>
      <name val="Times New Roman"/>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6" fontId="5" fillId="0" borderId="2" xfId="0" applyFont="true" applyBorder="tru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5" fontId="5" fillId="0" borderId="2" xfId="0" applyFont="true" applyBorder="true" applyAlignment="true" applyProtection="false">
      <alignment horizontal="left" vertical="bottom" textRotation="0" wrapText="false" indent="0" shrinkToFit="false"/>
      <protection locked="true" hidden="false"/>
    </xf>
    <xf numFmtId="165" fontId="7" fillId="0" borderId="2" xfId="0" applyFont="true" applyBorder="true" applyAlignment="true" applyProtection="false">
      <alignment horizontal="right" vertical="bottom" textRotation="0" wrapText="false" indent="0" shrinkToFit="false"/>
      <protection locked="true" hidden="false"/>
    </xf>
    <xf numFmtId="166" fontId="7" fillId="0" borderId="2" xfId="0" applyFont="true" applyBorder="true" applyAlignment="true" applyProtection="false">
      <alignment horizontal="right"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3"/>
  </cols>
  <sheetData>
    <row r="1" customFormat="false" ht="15" hidden="false" customHeight="false" outlineLevel="0" collapsed="false">
      <c r="A1" s="1" t="s">
        <v>0</v>
      </c>
    </row>
    <row r="2" customFormat="false" ht="168" hidden="false" customHeight="true" outlineLevel="0" collapsed="false">
      <c r="A2" s="2" t="s">
        <v>1</v>
      </c>
      <c r="B2" s="2"/>
      <c r="C2" s="2"/>
      <c r="D2" s="2"/>
      <c r="E2" s="2"/>
      <c r="F2" s="2"/>
      <c r="G2" s="2"/>
    </row>
    <row r="4" customFormat="false" ht="15" hidden="false" customHeight="false" outlineLevel="0" collapsed="false">
      <c r="A4" s="3"/>
      <c r="B4" s="4" t="s">
        <v>2</v>
      </c>
      <c r="C4" s="4" t="s">
        <v>3</v>
      </c>
      <c r="D4" s="4" t="s">
        <v>4</v>
      </c>
      <c r="E4" s="4" t="s">
        <v>5</v>
      </c>
      <c r="F4" s="4" t="s">
        <v>6</v>
      </c>
      <c r="G4" s="4" t="s">
        <v>7</v>
      </c>
    </row>
    <row r="5" customFormat="false" ht="15" hidden="false" customHeight="false" outlineLevel="0" collapsed="false">
      <c r="A5" s="5" t="s">
        <v>8</v>
      </c>
    </row>
    <row r="6" customFormat="false" ht="15" hidden="false" customHeight="false" outlineLevel="0" collapsed="false">
      <c r="A6" s="6" t="s">
        <v>9</v>
      </c>
    </row>
    <row r="7" customFormat="false" ht="15" hidden="false" customHeight="false" outlineLevel="0" collapsed="false">
      <c r="A7" s="7" t="s">
        <v>10</v>
      </c>
      <c r="B7" s="8" t="str">
        <f aca="false">IF(Estimates!I4="","",TEXT(Estimates!E4,"0.000")&amp;IF(Estimates!I4&lt;0.01,"***",IF(Estimates!I4&lt;0.05,"**",IF(Estimates!I4&lt;0.1,"*",""))))</f>
        <v>-0.557***</v>
      </c>
      <c r="C7" s="8" t="str">
        <f aca="false">IF(Estimates!I5="","",TEXT(Estimates!E5,"0.000")&amp;IF(Estimates!I5&lt;0.01,"***",IF(Estimates!I5&lt;0.05,"**",IF(Estimates!I5&lt;0.1,"*",""))))</f>
        <v>-0.582***</v>
      </c>
      <c r="D7" s="8" t="str">
        <f aca="false">IF(Estimates!I6="","",TEXT(Estimates!E6,"0.000")&amp;IF(Estimates!I6&lt;0.01,"***",IF(Estimates!I6&lt;0.05,"**",IF(Estimates!I6&lt;0.1,"*",""))))</f>
        <v>-0.641**</v>
      </c>
      <c r="E7" s="8" t="str">
        <f aca="false">IF(Estimates!I7="","",TEXT(Estimates!E7,"0.000")&amp;IF(Estimates!I7&lt;0.01,"***",IF(Estimates!I7&lt;0.05,"**",IF(Estimates!I7&lt;0.1,"*",""))))</f>
        <v>-0.698**</v>
      </c>
      <c r="F7" s="8" t="str">
        <f aca="false">IF(Estimates!I8="","",TEXT(Estimates!E8,"0.000")&amp;IF(Estimates!I8&lt;0.01,"***",IF(Estimates!I8&lt;0.05,"**",IF(Estimates!I8&lt;0.1,"*",""))))</f>
        <v>-0.475*</v>
      </c>
      <c r="G7" s="8" t="str">
        <f aca="false">IF(Estimates!I9="","",TEXT(Estimates!E9,"0.000")&amp;IF(Estimates!I9&lt;0.01,"***",IF(Estimates!I9&lt;0.05,"**",IF(Estimates!I9&lt;0.1,"*",""))))</f>
        <v>-0.508**</v>
      </c>
    </row>
    <row r="8" customFormat="false" ht="15" hidden="false" customHeight="false" outlineLevel="0" collapsed="false">
      <c r="B8" s="8" t="str">
        <f aca="false">IF(Estimates!H4="","","("&amp;TEXT(Estimates!H4,"0.00")&amp;")")</f>
        <v>(-3.68)</v>
      </c>
      <c r="C8" s="8" t="str">
        <f aca="false">IF(Estimates!H5="","","("&amp;TEXT(Estimates!H5,"0.00")&amp;")")</f>
        <v>(-3.13)</v>
      </c>
      <c r="D8" s="8" t="str">
        <f aca="false">IF(Estimates!H6="","","("&amp;TEXT(Estimates!H6,"0.00")&amp;")")</f>
        <v>(-2.21)</v>
      </c>
      <c r="E8" s="8" t="str">
        <f aca="false">IF(Estimates!H7="","","("&amp;TEXT(Estimates!H7,"0.00")&amp;")")</f>
        <v>(-2.38)</v>
      </c>
      <c r="F8" s="8" t="str">
        <f aca="false">IF(Estimates!H8="","","("&amp;TEXT(Estimates!H8,"0.00")&amp;")")</f>
        <v>(-2.10)</v>
      </c>
      <c r="G8" s="8" t="str">
        <f aca="false">IF(Estimates!H9="","","("&amp;TEXT(Estimates!H9,"0.00")&amp;")")</f>
        <v>(-2.78)</v>
      </c>
    </row>
    <row r="9" customFormat="false" ht="15" hidden="false" customHeight="false" outlineLevel="0" collapsed="false">
      <c r="A9" s="7" t="s">
        <v>11</v>
      </c>
      <c r="B9" s="9" t="n">
        <v>1727</v>
      </c>
      <c r="C9" s="9" t="n">
        <v>1483</v>
      </c>
      <c r="D9" s="9" t="n">
        <v>1482</v>
      </c>
      <c r="E9" s="9" t="n">
        <v>1482</v>
      </c>
      <c r="F9" s="9" t="n">
        <v>1483</v>
      </c>
      <c r="G9" s="9" t="n">
        <v>1483</v>
      </c>
    </row>
    <row r="10" customFormat="false" ht="15" hidden="false" customHeight="false" outlineLevel="0" collapsed="false">
      <c r="A10" s="7" t="s">
        <v>12</v>
      </c>
      <c r="B10" s="9" t="n">
        <v>309</v>
      </c>
      <c r="C10" s="9" t="n">
        <v>283</v>
      </c>
      <c r="D10" s="9" t="n">
        <v>282</v>
      </c>
      <c r="E10" s="9" t="n">
        <v>282</v>
      </c>
      <c r="F10" s="9" t="n">
        <v>194</v>
      </c>
      <c r="G10" s="9" t="n">
        <v>220</v>
      </c>
    </row>
    <row r="11" customFormat="false" ht="15" hidden="false" customHeight="false" outlineLevel="0" collapsed="false">
      <c r="A11" s="7" t="s">
        <v>13</v>
      </c>
      <c r="B11" s="10" t="n">
        <v>0.0496840356224031</v>
      </c>
      <c r="C11" s="10" t="n">
        <v>0.0593981013806633</v>
      </c>
      <c r="D11" s="10" t="n">
        <v>0.0811821814459482</v>
      </c>
      <c r="E11" s="10" t="n">
        <v>0.095642067766866</v>
      </c>
      <c r="F11" s="10" t="n">
        <v>0.0555249057485127</v>
      </c>
      <c r="G11" s="10" t="n">
        <v>0.0567094976727539</v>
      </c>
    </row>
    <row r="13" customFormat="false" ht="15" hidden="false" customHeight="false" outlineLevel="0" collapsed="false">
      <c r="A13" s="6" t="s">
        <v>14</v>
      </c>
    </row>
    <row r="14" customFormat="false" ht="15" hidden="false" customHeight="false" outlineLevel="0" collapsed="false">
      <c r="A14" s="7" t="s">
        <v>10</v>
      </c>
      <c r="B14" s="8" t="str">
        <f aca="false">IF(Estimates!I10="","",TEXT(Estimates!E10,"0.000")&amp;IF(Estimates!I10&lt;0.01,"***",IF(Estimates!I10&lt;0.05,"**",IF(Estimates!I10&lt;0.1,"*",""))))</f>
        <v>-0.566***</v>
      </c>
      <c r="C14" s="8" t="str">
        <f aca="false">IF(Estimates!I11="","",TEXT(Estimates!E11,"0.000")&amp;IF(Estimates!I11&lt;0.01,"***",IF(Estimates!I11&lt;0.05,"**",IF(Estimates!I11&lt;0.1,"*",""))))</f>
        <v>-0.584**</v>
      </c>
      <c r="D14" s="8" t="str">
        <f aca="false">IF(Estimates!I12="","",TEXT(Estimates!E12,"0.000")&amp;IF(Estimates!I12&lt;0.01,"***",IF(Estimates!I12&lt;0.05,"**",IF(Estimates!I12&lt;0.1,"*",""))))</f>
        <v>-0.604*</v>
      </c>
      <c r="E14" s="8" t="str">
        <f aca="false">IF(Estimates!I13="","",TEXT(Estimates!E13,"0.000")&amp;IF(Estimates!I13&lt;0.01,"***",IF(Estimates!I13&lt;0.05,"**",IF(Estimates!I13&lt;0.1,"*",""))))</f>
        <v>-0.642**</v>
      </c>
      <c r="F14" s="8" t="str">
        <f aca="false">IF(Estimates!I14="","",TEXT(Estimates!E14,"0.000")&amp;IF(Estimates!I14&lt;0.01,"***",IF(Estimates!I14&lt;0.05,"**",IF(Estimates!I14&lt;0.1,"*",""))))</f>
        <v>-0.399*</v>
      </c>
      <c r="G14" s="8" t="str">
        <f aca="false">IF(Estimates!I15="","",TEXT(Estimates!E15,"0.000")&amp;IF(Estimates!I15&lt;0.01,"***",IF(Estimates!I15&lt;0.05,"**",IF(Estimates!I15&lt;0.1,"*",""))))</f>
        <v>-0.506**</v>
      </c>
    </row>
    <row r="15" customFormat="false" ht="15" hidden="false" customHeight="false" outlineLevel="0" collapsed="false">
      <c r="B15" s="8" t="str">
        <f aca="false">IF(Estimates!H10="","","("&amp;TEXT(Estimates!H10,"0.00")&amp;")")</f>
        <v>(-3.26)</v>
      </c>
      <c r="C15" s="8" t="str">
        <f aca="false">IF(Estimates!H11="","","("&amp;TEXT(Estimates!H11,"0.00")&amp;")")</f>
        <v>(-2.74)</v>
      </c>
      <c r="D15" s="8" t="str">
        <f aca="false">IF(Estimates!H12="","","("&amp;TEXT(Estimates!H12,"0.00")&amp;")")</f>
        <v>(-2.06)</v>
      </c>
      <c r="E15" s="8" t="str">
        <f aca="false">IF(Estimates!H13="","","("&amp;TEXT(Estimates!H13,"0.00")&amp;")")</f>
        <v>(-2.26)</v>
      </c>
      <c r="F15" s="8" t="str">
        <f aca="false">IF(Estimates!H14="","","("&amp;TEXT(Estimates!H14,"0.00")&amp;")")</f>
        <v>(-1.97)</v>
      </c>
      <c r="G15" s="8" t="str">
        <f aca="false">IF(Estimates!H15="","","("&amp;TEXT(Estimates!H15,"0.00")&amp;")")</f>
        <v>(-2.35)</v>
      </c>
    </row>
    <row r="16" customFormat="false" ht="15" hidden="false" customHeight="false" outlineLevel="0" collapsed="false">
      <c r="A16" s="7" t="s">
        <v>11</v>
      </c>
      <c r="B16" s="9" t="n">
        <v>1516</v>
      </c>
      <c r="C16" s="9" t="n">
        <v>1306</v>
      </c>
      <c r="D16" s="9" t="n">
        <v>1305</v>
      </c>
      <c r="E16" s="9" t="n">
        <v>1305</v>
      </c>
      <c r="F16" s="9" t="n">
        <v>1306</v>
      </c>
      <c r="G16" s="9" t="n">
        <v>1306</v>
      </c>
    </row>
    <row r="17" customFormat="false" ht="15" hidden="false" customHeight="false" outlineLevel="0" collapsed="false">
      <c r="A17" s="7" t="s">
        <v>12</v>
      </c>
      <c r="B17" s="9" t="n">
        <v>272</v>
      </c>
      <c r="C17" s="9" t="n">
        <v>250</v>
      </c>
      <c r="D17" s="9" t="n">
        <v>249</v>
      </c>
      <c r="E17" s="9" t="n">
        <v>249</v>
      </c>
      <c r="F17" s="9" t="n">
        <v>174</v>
      </c>
      <c r="G17" s="9" t="n">
        <v>197</v>
      </c>
    </row>
    <row r="18" customFormat="false" ht="15" hidden="false" customHeight="false" outlineLevel="0" collapsed="false">
      <c r="A18" s="7" t="s">
        <v>13</v>
      </c>
      <c r="B18" s="10" t="n">
        <v>0.0553821828474059</v>
      </c>
      <c r="C18" s="10" t="n">
        <v>0.0724599842925287</v>
      </c>
      <c r="D18" s="10" t="n">
        <v>0.0825523730429406</v>
      </c>
      <c r="E18" s="10" t="n">
        <v>0.104185873254466</v>
      </c>
      <c r="F18" s="10" t="n">
        <v>0.0674388145832005</v>
      </c>
      <c r="G18" s="10" t="n">
        <v>0.0700085904071194</v>
      </c>
    </row>
    <row r="20" customFormat="false" ht="15" hidden="false" customHeight="false" outlineLevel="0" collapsed="false">
      <c r="A20" s="5" t="s">
        <v>15</v>
      </c>
    </row>
    <row r="21" customFormat="false" ht="15" hidden="false" customHeight="false" outlineLevel="0" collapsed="false">
      <c r="A21" s="6" t="s">
        <v>16</v>
      </c>
    </row>
    <row r="22" customFormat="false" ht="15" hidden="false" customHeight="false" outlineLevel="0" collapsed="false">
      <c r="A22" s="7" t="s">
        <v>10</v>
      </c>
      <c r="B22" s="8" t="str">
        <f aca="false">IF(Estimates!I16="","",TEXT(Estimates!E16,"0.000")&amp;IF(Estimates!I16&lt;0.01,"***",IF(Estimates!I16&lt;0.05,"**",IF(Estimates!I16&lt;0.1,"*",""))))</f>
        <v>-0.385**</v>
      </c>
      <c r="C22" s="8" t="str">
        <f aca="false">IF(Estimates!I17="","",TEXT(Estimates!E17,"0.000")&amp;IF(Estimates!I17&lt;0.01,"***",IF(Estimates!I17&lt;0.05,"**",IF(Estimates!I17&lt;0.1,"*",""))))</f>
        <v>-0.491***</v>
      </c>
      <c r="D22" s="8" t="str">
        <f aca="false">IF(Estimates!I18="","",TEXT(Estimates!E18,"0.000")&amp;IF(Estimates!I18&lt;0.01,"***",IF(Estimates!I18&lt;0.05,"**",IF(Estimates!I18&lt;0.1,"*",""))))</f>
        <v>-0.373**</v>
      </c>
      <c r="E22" s="8" t="str">
        <f aca="false">IF(Estimates!I19="","",TEXT(Estimates!E19,"0.000")&amp;IF(Estimates!I19&lt;0.01,"***",IF(Estimates!I19&lt;0.05,"**",IF(Estimates!I19&lt;0.1,"*",""))))</f>
        <v>-0.411**</v>
      </c>
      <c r="F22" s="8" t="str">
        <f aca="false">IF(Estimates!I20="","",TEXT(Estimates!E20,"0.000")&amp;IF(Estimates!I20&lt;0.01,"***",IF(Estimates!I20&lt;0.05,"**",IF(Estimates!I20&lt;0.1,"*",""))))</f>
        <v>-0.384*</v>
      </c>
      <c r="G22" s="8" t="str">
        <f aca="false">IF(Estimates!I21="","",TEXT(Estimates!E21,"0.000")&amp;IF(Estimates!I21&lt;0.01,"***",IF(Estimates!I21&lt;0.05,"**",IF(Estimates!I21&lt;0.1,"*",""))))</f>
        <v>-0.441**</v>
      </c>
    </row>
    <row r="23" customFormat="false" ht="15" hidden="false" customHeight="false" outlineLevel="0" collapsed="false">
      <c r="B23" s="8" t="str">
        <f aca="false">IF(Estimates!H16="","","("&amp;TEXT(Estimates!H16,"0.00")&amp;")")</f>
        <v>(-2.46)</v>
      </c>
      <c r="C23" s="8" t="str">
        <f aca="false">IF(Estimates!H17="","","("&amp;TEXT(Estimates!H17,"0.00")&amp;")")</f>
        <v>(-4.15)</v>
      </c>
      <c r="D23" s="8" t="str">
        <f aca="false">IF(Estimates!H18="","","("&amp;TEXT(Estimates!H18,"0.00")&amp;")")</f>
        <v>(-2.23)</v>
      </c>
      <c r="E23" s="8" t="str">
        <f aca="false">IF(Estimates!H19="","","("&amp;TEXT(Estimates!H19,"0.00")&amp;")")</f>
        <v>(-2.15)</v>
      </c>
      <c r="F23" s="8" t="str">
        <f aca="false">IF(Estimates!H20="","","("&amp;TEXT(Estimates!H20,"0.00")&amp;")")</f>
        <v>(-1.84)</v>
      </c>
      <c r="G23" s="8" t="str">
        <f aca="false">IF(Estimates!H21="","","("&amp;TEXT(Estimates!H21,"0.00")&amp;")")</f>
        <v>(-2.36)</v>
      </c>
    </row>
    <row r="24" customFormat="false" ht="15" hidden="false" customHeight="false" outlineLevel="0" collapsed="false">
      <c r="A24" s="7" t="s">
        <v>11</v>
      </c>
      <c r="B24" s="9" t="n">
        <v>1538</v>
      </c>
      <c r="C24" s="9" t="n">
        <v>1320</v>
      </c>
      <c r="D24" s="9" t="n">
        <v>1319</v>
      </c>
      <c r="E24" s="9" t="n">
        <v>1319</v>
      </c>
      <c r="F24" s="9" t="n">
        <v>1320</v>
      </c>
      <c r="G24" s="9" t="n">
        <v>1320</v>
      </c>
    </row>
    <row r="25" customFormat="false" ht="15" hidden="false" customHeight="false" outlineLevel="0" collapsed="false">
      <c r="A25" s="7" t="s">
        <v>12</v>
      </c>
      <c r="B25" s="9" t="n">
        <v>280</v>
      </c>
      <c r="C25" s="9" t="n">
        <v>258</v>
      </c>
      <c r="D25" s="9" t="n">
        <v>257</v>
      </c>
      <c r="E25" s="9" t="n">
        <v>257</v>
      </c>
      <c r="F25" s="9" t="n">
        <v>180</v>
      </c>
      <c r="G25" s="9" t="n">
        <v>203</v>
      </c>
    </row>
    <row r="26" customFormat="false" ht="15" hidden="false" customHeight="false" outlineLevel="0" collapsed="false">
      <c r="A26" s="7" t="s">
        <v>13</v>
      </c>
      <c r="B26" s="10" t="n">
        <v>0.118530271851865</v>
      </c>
      <c r="C26" s="10" t="n">
        <v>0.127654081106356</v>
      </c>
      <c r="D26" s="10" t="n">
        <v>0.0207392892531291</v>
      </c>
      <c r="E26" s="10" t="n">
        <v>0.122153932551764</v>
      </c>
      <c r="F26" s="10" t="n">
        <v>0.124841777309274</v>
      </c>
      <c r="G26" s="10" t="n">
        <v>0.126196521214728</v>
      </c>
    </row>
    <row r="28" customFormat="false" ht="15" hidden="false" customHeight="false" outlineLevel="0" collapsed="false">
      <c r="A28" s="6" t="s">
        <v>17</v>
      </c>
    </row>
    <row r="29" customFormat="false" ht="15" hidden="false" customHeight="false" outlineLevel="0" collapsed="false">
      <c r="A29" s="7" t="s">
        <v>10</v>
      </c>
      <c r="B29" s="8" t="str">
        <f aca="false">IF(Estimates!I22="","",TEXT(Estimates!E22,"0.000")&amp;IF(Estimates!I22&lt;0.01,"***",IF(Estimates!I22&lt;0.05,"**",IF(Estimates!I22&lt;0.1,"*",""))))</f>
        <v>-0.366**</v>
      </c>
      <c r="C29" s="8" t="str">
        <f aca="false">IF(Estimates!I23="","",TEXT(Estimates!E23,"0.000")&amp;IF(Estimates!I23&lt;0.01,"***",IF(Estimates!I23&lt;0.05,"**",IF(Estimates!I23&lt;0.1,"*",""))))</f>
        <v>-0.462***</v>
      </c>
      <c r="D29" s="8" t="str">
        <f aca="false">IF(Estimates!I24="","",TEXT(Estimates!E24,"0.000")&amp;IF(Estimates!I24&lt;0.01,"***",IF(Estimates!I24&lt;0.05,"**",IF(Estimates!I24&lt;0.1,"*",""))))</f>
        <v>-0.364**</v>
      </c>
      <c r="E29" s="8" t="str">
        <f aca="false">IF(Estimates!I25="","",TEXT(Estimates!E25,"0.000")&amp;IF(Estimates!I25&lt;0.01,"***",IF(Estimates!I25&lt;0.05,"**",IF(Estimates!I25&lt;0.1,"*",""))))</f>
        <v>-0.388*</v>
      </c>
      <c r="F29" s="8" t="str">
        <f aca="false">IF(Estimates!I26="","",TEXT(Estimates!E26,"0.000")&amp;IF(Estimates!I26&lt;0.01,"***",IF(Estimates!I26&lt;0.05,"**",IF(Estimates!I26&lt;0.1,"*",""))))</f>
        <v>-0.355</v>
      </c>
      <c r="G29" s="8" t="str">
        <f aca="false">IF(Estimates!I27="","",TEXT(Estimates!E27,"0.000")&amp;IF(Estimates!I27&lt;0.01,"***",IF(Estimates!I27&lt;0.05,"**",IF(Estimates!I27&lt;0.1,"*",""))))</f>
        <v>-0.414**</v>
      </c>
    </row>
    <row r="30" customFormat="false" ht="15" hidden="false" customHeight="false" outlineLevel="0" collapsed="false">
      <c r="B30" s="8" t="str">
        <f aca="false">IF(Estimates!H22="","","("&amp;TEXT(Estimates!H22,"0.00")&amp;")")</f>
        <v>(-2.27)</v>
      </c>
      <c r="C30" s="8" t="str">
        <f aca="false">IF(Estimates!H23="","","("&amp;TEXT(Estimates!H23,"0.00")&amp;")")</f>
        <v>(-3.91)</v>
      </c>
      <c r="D30" s="8" t="str">
        <f aca="false">IF(Estimates!H24="","","("&amp;TEXT(Estimates!H24,"0.00")&amp;")")</f>
        <v>(-2.25)</v>
      </c>
      <c r="E30" s="8" t="str">
        <f aca="false">IF(Estimates!H25="","","("&amp;TEXT(Estimates!H25,"0.00")&amp;")")</f>
        <v>(-2.09)</v>
      </c>
      <c r="F30" s="8" t="str">
        <f aca="false">IF(Estimates!H26="","","("&amp;TEXT(Estimates!H26,"0.00")&amp;")")</f>
        <v>(-1.72)</v>
      </c>
      <c r="G30" s="8" t="str">
        <f aca="false">IF(Estimates!H27="","","("&amp;TEXT(Estimates!H27,"0.00")&amp;")")</f>
        <v>(-2.22)</v>
      </c>
    </row>
    <row r="31" customFormat="false" ht="15" hidden="false" customHeight="false" outlineLevel="0" collapsed="false">
      <c r="A31" s="7" t="s">
        <v>11</v>
      </c>
      <c r="B31" s="9" t="n">
        <v>1516</v>
      </c>
      <c r="C31" s="9" t="n">
        <v>1306</v>
      </c>
      <c r="D31" s="9" t="n">
        <v>1305</v>
      </c>
      <c r="E31" s="9" t="n">
        <v>1305</v>
      </c>
      <c r="F31" s="9" t="n">
        <v>1306</v>
      </c>
      <c r="G31" s="9" t="n">
        <v>1306</v>
      </c>
    </row>
    <row r="32" customFormat="false" ht="15" hidden="false" customHeight="false" outlineLevel="0" collapsed="false">
      <c r="A32" s="7" t="s">
        <v>12</v>
      </c>
      <c r="B32" s="9" t="n">
        <v>272</v>
      </c>
      <c r="C32" s="9" t="n">
        <v>250</v>
      </c>
      <c r="D32" s="9" t="n">
        <v>249</v>
      </c>
      <c r="E32" s="9" t="n">
        <v>249</v>
      </c>
      <c r="F32" s="9" t="n">
        <v>174</v>
      </c>
      <c r="G32" s="9" t="n">
        <v>197</v>
      </c>
    </row>
    <row r="33" customFormat="false" ht="15" hidden="false" customHeight="false" outlineLevel="0" collapsed="false">
      <c r="A33" s="7" t="s">
        <v>13</v>
      </c>
      <c r="B33" s="10" t="n">
        <v>0.118973140449449</v>
      </c>
      <c r="C33" s="10" t="n">
        <v>0.12861100502287</v>
      </c>
      <c r="D33" s="10" t="n">
        <v>0.021627094632006</v>
      </c>
      <c r="E33" s="10" t="n">
        <v>0.121740184553309</v>
      </c>
      <c r="F33" s="10" t="n">
        <v>0.126079127494547</v>
      </c>
      <c r="G33" s="10" t="n">
        <v>0.127367111894814</v>
      </c>
    </row>
    <row r="35" customFormat="false" ht="15" hidden="false" customHeight="false" outlineLevel="0" collapsed="false">
      <c r="A35" s="6" t="s">
        <v>18</v>
      </c>
    </row>
    <row r="36" customFormat="false" ht="15" hidden="false" customHeight="false" outlineLevel="0" collapsed="false">
      <c r="A36" s="7" t="s">
        <v>10</v>
      </c>
      <c r="B36" s="8" t="str">
        <f aca="false">IF(Estimates!I28="","",TEXT(Estimates!E28,"0.000")&amp;IF(Estimates!I28&lt;0.01,"***",IF(Estimates!I28&lt;0.05,"**",IF(Estimates!I28&lt;0.1,"*",""))))</f>
        <v>-0.393**</v>
      </c>
      <c r="C36" s="8" t="str">
        <f aca="false">IF(Estimates!I29="","",TEXT(Estimates!E29,"0.000")&amp;IF(Estimates!I29&lt;0.01,"***",IF(Estimates!I29&lt;0.05,"**",IF(Estimates!I29&lt;0.1,"*",""))))</f>
        <v>-0.434***</v>
      </c>
      <c r="D36" s="8" t="str">
        <f aca="false">IF(Estimates!I30="","",TEXT(Estimates!E30,"0.000")&amp;IF(Estimates!I30&lt;0.01,"***",IF(Estimates!I30&lt;0.05,"**",IF(Estimates!I30&lt;0.1,"*",""))))</f>
        <v>-0.319*</v>
      </c>
      <c r="E36" s="8" t="str">
        <f aca="false">IF(Estimates!I31="","",TEXT(Estimates!E31,"0.000")&amp;IF(Estimates!I31&lt;0.01,"***",IF(Estimates!I31&lt;0.05,"**",IF(Estimates!I31&lt;0.1,"*",""))))</f>
        <v>-0.333**</v>
      </c>
      <c r="F36" s="8" t="str">
        <f aca="false">IF(Estimates!I32="","",TEXT(Estimates!E32,"0.000")&amp;IF(Estimates!I32&lt;0.01,"***",IF(Estimates!I32&lt;0.05,"**",IF(Estimates!I32&lt;0.1,"*",""))))</f>
        <v>-0.380*</v>
      </c>
      <c r="G36" s="8" t="str">
        <f aca="false">IF(Estimates!I33="","",TEXT(Estimates!E33,"0.000")&amp;IF(Estimates!I33&lt;0.01,"***",IF(Estimates!I33&lt;0.05,"**",IF(Estimates!I33&lt;0.1,"*",""))))</f>
        <v>-0.424**</v>
      </c>
    </row>
    <row r="37" customFormat="false" ht="15" hidden="false" customHeight="false" outlineLevel="0" collapsed="false">
      <c r="B37" s="8" t="str">
        <f aca="false">IF(Estimates!H28="","","("&amp;TEXT(Estimates!H28,"0.00")&amp;")")</f>
        <v>(-2.49)</v>
      </c>
      <c r="C37" s="8" t="str">
        <f aca="false">IF(Estimates!H29="","","("&amp;TEXT(Estimates!H29,"0.00")&amp;")")</f>
        <v>(-4.12)</v>
      </c>
      <c r="D37" s="8" t="str">
        <f aca="false">IF(Estimates!H30="","","("&amp;TEXT(Estimates!H30,"0.00")&amp;")")</f>
        <v>(-1.92)</v>
      </c>
      <c r="E37" s="8" t="str">
        <f aca="false">IF(Estimates!H31="","","("&amp;TEXT(Estimates!H31,"0.00")&amp;")")</f>
        <v>(-2.12)</v>
      </c>
      <c r="F37" s="8" t="str">
        <f aca="false">IF(Estimates!H32="","","("&amp;TEXT(Estimates!H32,"0.00")&amp;")")</f>
        <v>(-1.92)</v>
      </c>
      <c r="G37" s="8" t="str">
        <f aca="false">IF(Estimates!H33="","","("&amp;TEXT(Estimates!H33,"0.00")&amp;")")</f>
        <v>(-2.42)</v>
      </c>
    </row>
    <row r="38" customFormat="false" ht="15" hidden="false" customHeight="false" outlineLevel="0" collapsed="false">
      <c r="A38" s="7" t="s">
        <v>11</v>
      </c>
      <c r="B38" s="9" t="n">
        <v>1453</v>
      </c>
      <c r="C38" s="9" t="n">
        <v>1249</v>
      </c>
      <c r="D38" s="9" t="n">
        <v>1248</v>
      </c>
      <c r="E38" s="9" t="n">
        <v>1248</v>
      </c>
      <c r="F38" s="9" t="n">
        <v>1249</v>
      </c>
      <c r="G38" s="9" t="n">
        <v>1249</v>
      </c>
    </row>
    <row r="39" customFormat="false" ht="15" hidden="false" customHeight="false" outlineLevel="0" collapsed="false">
      <c r="A39" s="7" t="s">
        <v>12</v>
      </c>
      <c r="B39" s="9" t="n">
        <v>256</v>
      </c>
      <c r="C39" s="9" t="n">
        <v>234</v>
      </c>
      <c r="D39" s="9" t="n">
        <v>233</v>
      </c>
      <c r="E39" s="9" t="n">
        <v>233</v>
      </c>
      <c r="F39" s="9" t="n">
        <v>158</v>
      </c>
      <c r="G39" s="9" t="n">
        <v>180</v>
      </c>
    </row>
    <row r="40" customFormat="false" ht="15" hidden="false" customHeight="false" outlineLevel="0" collapsed="false">
      <c r="A40" s="7" t="s">
        <v>13</v>
      </c>
      <c r="B40" s="10" t="n">
        <v>0.118051223067758</v>
      </c>
      <c r="C40" s="10" t="n">
        <v>0.118802247462915</v>
      </c>
      <c r="D40" s="10" t="n">
        <v>0.0160513439245875</v>
      </c>
      <c r="E40" s="10" t="n">
        <v>0.108381335691557</v>
      </c>
      <c r="F40" s="10" t="n">
        <v>0.117176365151909</v>
      </c>
      <c r="G40" s="10" t="n">
        <v>0.118268531405924</v>
      </c>
    </row>
    <row r="42" customFormat="false" ht="15" hidden="false" customHeight="false" outlineLevel="0" collapsed="false">
      <c r="A42" s="7" t="s">
        <v>19</v>
      </c>
      <c r="B42" s="11" t="s">
        <v>20</v>
      </c>
      <c r="C42" s="11" t="s">
        <v>21</v>
      </c>
      <c r="D42" s="11" t="s">
        <v>21</v>
      </c>
      <c r="E42" s="11" t="s">
        <v>21</v>
      </c>
      <c r="F42" s="11" t="s">
        <v>21</v>
      </c>
      <c r="G42" s="11" t="s">
        <v>21</v>
      </c>
    </row>
    <row r="43" customFormat="false" ht="15" hidden="false" customHeight="false" outlineLevel="0" collapsed="false">
      <c r="A43" s="7" t="s">
        <v>22</v>
      </c>
      <c r="B43" s="11" t="s">
        <v>23</v>
      </c>
      <c r="C43" s="11" t="s">
        <v>23</v>
      </c>
      <c r="D43" s="11" t="s">
        <v>24</v>
      </c>
      <c r="E43" s="11" t="s">
        <v>24</v>
      </c>
      <c r="F43" s="11" t="s">
        <v>23</v>
      </c>
      <c r="G43" s="11" t="s">
        <v>23</v>
      </c>
    </row>
    <row r="44" customFormat="false" ht="15" hidden="false" customHeight="false" outlineLevel="0" collapsed="false">
      <c r="A44" s="7" t="s">
        <v>25</v>
      </c>
      <c r="B44" s="11" t="s">
        <v>24</v>
      </c>
      <c r="C44" s="11" t="s">
        <v>24</v>
      </c>
      <c r="D44" s="11" t="s">
        <v>23</v>
      </c>
      <c r="E44" s="11" t="s">
        <v>24</v>
      </c>
      <c r="F44" s="11" t="s">
        <v>24</v>
      </c>
      <c r="G44" s="11" t="s">
        <v>24</v>
      </c>
    </row>
    <row r="45" customFormat="false" ht="15" hidden="false" customHeight="false" outlineLevel="0" collapsed="false">
      <c r="A45" s="12" t="s">
        <v>26</v>
      </c>
      <c r="B45" s="13"/>
      <c r="C45" s="13"/>
      <c r="D45" s="13"/>
      <c r="E45" s="13"/>
      <c r="F45" s="13" t="s">
        <v>27</v>
      </c>
      <c r="G45" s="13" t="s">
        <v>28</v>
      </c>
    </row>
  </sheetData>
  <mergeCells count="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10" min="2" style="0" width="13"/>
  </cols>
  <sheetData>
    <row r="1" customFormat="false" ht="15" hidden="false" customHeight="false" outlineLevel="0" collapsed="false">
      <c r="A1" s="1" t="s">
        <v>29</v>
      </c>
    </row>
    <row r="2" customFormat="false" ht="168" hidden="false" customHeight="true" outlineLevel="0" collapsed="false">
      <c r="A2" s="2" t="s">
        <v>30</v>
      </c>
      <c r="B2" s="2"/>
      <c r="C2" s="2"/>
      <c r="D2" s="2"/>
      <c r="E2" s="2"/>
      <c r="F2" s="2"/>
      <c r="G2" s="2"/>
      <c r="H2" s="2"/>
      <c r="I2" s="2"/>
      <c r="J2" s="2"/>
    </row>
    <row r="4" customFormat="false" ht="15" hidden="false" customHeight="false" outlineLevel="0" collapsed="false">
      <c r="A4" s="1" t="s">
        <v>8</v>
      </c>
    </row>
    <row r="5" customFormat="false" ht="15" hidden="false" customHeight="false" outlineLevel="0" collapsed="false">
      <c r="A5" s="6" t="s">
        <v>9</v>
      </c>
    </row>
    <row r="6" customFormat="false" ht="30" hidden="false" customHeight="true" outlineLevel="0" collapsed="false">
      <c r="A6" s="3"/>
      <c r="B6" s="4" t="s">
        <v>31</v>
      </c>
      <c r="C6" s="4" t="s">
        <v>32</v>
      </c>
      <c r="D6" s="4" t="s">
        <v>33</v>
      </c>
      <c r="E6" s="4" t="s">
        <v>34</v>
      </c>
      <c r="F6" s="4" t="s">
        <v>35</v>
      </c>
      <c r="G6" s="4" t="s">
        <v>36</v>
      </c>
      <c r="H6" s="4" t="s">
        <v>37</v>
      </c>
      <c r="I6" s="4" t="s">
        <v>38</v>
      </c>
      <c r="J6" s="4" t="s">
        <v>39</v>
      </c>
    </row>
    <row r="7" customFormat="false" ht="15" hidden="false" customHeight="false" outlineLevel="0" collapsed="false">
      <c r="A7" s="7" t="s">
        <v>10</v>
      </c>
      <c r="B7" s="8" t="str">
        <f aca="false">IF(Estimates!I34="","",TEXT(Estimates!E34,"0.000")&amp;IF(Estimates!I34&lt;0.01,"***",IF(Estimates!I34&lt;0.05,"**",IF(Estimates!I34&lt;0.1,"*",""))))</f>
        <v>-0.455</v>
      </c>
      <c r="C7" s="8" t="str">
        <f aca="false">IF(Estimates!I35="","",TEXT(Estimates!E35,"0.000")&amp;IF(Estimates!I35&lt;0.01,"***",IF(Estimates!I35&lt;0.05,"**",IF(Estimates!I35&lt;0.1,"*",""))))</f>
        <v>-0.223</v>
      </c>
      <c r="D7" s="8" t="str">
        <f aca="false">IF(Estimates!I36="","",TEXT(Estimates!E36,"0.000")&amp;IF(Estimates!I36&lt;0.01,"***",IF(Estimates!I36&lt;0.05,"**",IF(Estimates!I36&lt;0.1,"*",""))))</f>
        <v>-0.792***</v>
      </c>
      <c r="E7" s="8" t="str">
        <f aca="false">IF(Estimates!I37="","",TEXT(Estimates!E37,"0.000")&amp;IF(Estimates!I37&lt;0.01,"***",IF(Estimates!I37&lt;0.05,"**",IF(Estimates!I37&lt;0.1,"*",""))))</f>
        <v>-0.712***</v>
      </c>
      <c r="F7" s="8" t="str">
        <f aca="false">IF(Estimates!I38="","",TEXT(Estimates!E38,"0.000")&amp;IF(Estimates!I38&lt;0.01,"***",IF(Estimates!I38&lt;0.05,"**",IF(Estimates!I38&lt;0.1,"*",""))))</f>
        <v>-0.424**</v>
      </c>
      <c r="G7" s="8" t="str">
        <f aca="false">IF(Estimates!I39="","",TEXT(Estimates!E39,"0.000")&amp;IF(Estimates!I39&lt;0.01,"***",IF(Estimates!I39&lt;0.05,"**",IF(Estimates!I39&lt;0.1,"*",""))))</f>
        <v>-0.433**</v>
      </c>
      <c r="H7" s="8" t="str">
        <f aca="false">IF(Estimates!I40="","",TEXT(Estimates!E40,"0.000")&amp;IF(Estimates!I40&lt;0.01,"***",IF(Estimates!I40&lt;0.05,"**",IF(Estimates!I40&lt;0.1,"*",""))))</f>
        <v>-0.355**</v>
      </c>
      <c r="I7" s="8" t="str">
        <f aca="false">IF(Estimates!I41="","",TEXT(Estimates!E41,"0.000")&amp;IF(Estimates!I41&lt;0.01,"***",IF(Estimates!I41&lt;0.05,"**",IF(Estimates!I41&lt;0.1,"*",""))))</f>
        <v>-0.456***</v>
      </c>
      <c r="J7" s="8" t="str">
        <f aca="false">IF(Estimates!I42="","",TEXT(Estimates!E42,"0.000")&amp;IF(Estimates!I42&lt;0.01,"***",IF(Estimates!I42&lt;0.05,"**",IF(Estimates!I42&lt;0.1,"*",""))))</f>
        <v>-0.329**</v>
      </c>
    </row>
    <row r="8" customFormat="false" ht="15" hidden="false" customHeight="false" outlineLevel="0" collapsed="false">
      <c r="B8" s="8" t="str">
        <f aca="false">IF(Estimates!H34="","","("&amp;TEXT(Estimates!H34,"0.00")&amp;")")</f>
        <v>(-1.72)</v>
      </c>
      <c r="C8" s="8" t="str">
        <f aca="false">IF(Estimates!H35="","","("&amp;TEXT(Estimates!H35,"0.00")&amp;")")</f>
        <v>(-1.17)</v>
      </c>
      <c r="D8" s="8" t="str">
        <f aca="false">IF(Estimates!H36="","","("&amp;TEXT(Estimates!H36,"0.00")&amp;")")</f>
        <v>(-3.20)</v>
      </c>
      <c r="E8" s="8" t="str">
        <f aca="false">IF(Estimates!H37="","","("&amp;TEXT(Estimates!H37,"0.00")&amp;")")</f>
        <v>(-3.34)</v>
      </c>
      <c r="F8" s="8" t="str">
        <f aca="false">IF(Estimates!H38="","","("&amp;TEXT(Estimates!H38,"0.00")&amp;")")</f>
        <v>(-2.12)</v>
      </c>
      <c r="G8" s="8" t="str">
        <f aca="false">IF(Estimates!H39="","","("&amp;TEXT(Estimates!H39,"0.00")&amp;")")</f>
        <v>(-2.56)</v>
      </c>
      <c r="H8" s="8" t="str">
        <f aca="false">IF(Estimates!H40="","","("&amp;TEXT(Estimates!H40,"0.00")&amp;")")</f>
        <v>(-2.50)</v>
      </c>
      <c r="I8" s="8" t="str">
        <f aca="false">IF(Estimates!H41="","","("&amp;TEXT(Estimates!H41,"0.00")&amp;")")</f>
        <v>(-3.63)</v>
      </c>
      <c r="J8" s="8" t="str">
        <f aca="false">IF(Estimates!H42="","","("&amp;TEXT(Estimates!H42,"0.00")&amp;")")</f>
        <v>(-2.24)</v>
      </c>
    </row>
    <row r="9" customFormat="false" ht="15" hidden="false" customHeight="false" outlineLevel="0" collapsed="false">
      <c r="A9" s="7" t="s">
        <v>40</v>
      </c>
      <c r="B9" s="8" t="str">
        <f aca="false">IF(Estimates!I43="","",TEXT(Estimates!E43,"0.000")&amp;IF(Estimates!I43&lt;0.01,"***",IF(Estimates!I43&lt;0.05,"**",IF(Estimates!I43&lt;0.1,"*",""))))</f>
        <v>-0.219</v>
      </c>
      <c r="C9" s="8" t="str">
        <f aca="false">IF(Estimates!I44="","",TEXT(Estimates!E44,"0.000")&amp;IF(Estimates!I44&lt;0.01,"***",IF(Estimates!I44&lt;0.05,"**",IF(Estimates!I44&lt;0.1,"*",""))))</f>
        <v>-0.763</v>
      </c>
      <c r="D9" s="8" t="str">
        <f aca="false">IF(Estimates!I45="","",TEXT(Estimates!E45,"0.000")&amp;IF(Estimates!I45&lt;0.01,"***",IF(Estimates!I45&lt;0.05,"**",IF(Estimates!I45&lt;0.1,"*",""))))</f>
        <v>0.438</v>
      </c>
      <c r="E9" s="8" t="str">
        <f aca="false">IF(Estimates!I46="","",TEXT(Estimates!E46,"0.000")&amp;IF(Estimates!I46&lt;0.01,"***",IF(Estimates!I46&lt;0.05,"**",IF(Estimates!I46&lt;0.1,"*",""))))</f>
        <v>0.750**</v>
      </c>
      <c r="F9" s="8" t="str">
        <f aca="false">IF(Estimates!I47="","",TEXT(Estimates!E47,"0.000")&amp;IF(Estimates!I47&lt;0.01,"***",IF(Estimates!I47&lt;0.05,"**",IF(Estimates!I47&lt;0.1,"*",""))))</f>
        <v>-0.895**</v>
      </c>
      <c r="G9" s="8" t="str">
        <f aca="false">IF(Estimates!I48="","",TEXT(Estimates!E48,"0.000")&amp;IF(Estimates!I48&lt;0.01,"***",IF(Estimates!I48&lt;0.05,"**",IF(Estimates!I48&lt;0.1,"*",""))))</f>
        <v>-0.954***</v>
      </c>
      <c r="H9" s="8" t="str">
        <f aca="false">IF(Estimates!I49="","",TEXT(Estimates!E49,"0.000")&amp;IF(Estimates!I49&lt;0.01,"***",IF(Estimates!I49&lt;0.05,"**",IF(Estimates!I49&lt;0.1,"*",""))))</f>
        <v>0.523</v>
      </c>
      <c r="I9" s="8" t="str">
        <f aca="false">IF(Estimates!I50="","",TEXT(Estimates!E50,"0.000")&amp;IF(Estimates!I50&lt;0.01,"***",IF(Estimates!I50&lt;0.05,"**",IF(Estimates!I50&lt;0.1,"*",""))))</f>
        <v>-0.068</v>
      </c>
      <c r="J9" s="8" t="str">
        <f aca="false">IF(Estimates!I51="","",TEXT(Estimates!E51,"0.000")&amp;IF(Estimates!I51&lt;0.01,"***",IF(Estimates!I51&lt;0.05,"**",IF(Estimates!I51&lt;0.1,"*",""))))</f>
        <v>2.620**</v>
      </c>
    </row>
    <row r="10" customFormat="false" ht="15" hidden="false" customHeight="false" outlineLevel="0" collapsed="false">
      <c r="B10" s="8" t="str">
        <f aca="false">IF(Estimates!H43="","","("&amp;TEXT(Estimates!H43,"0.00")&amp;")")</f>
        <v>(-0.74)</v>
      </c>
      <c r="C10" s="8" t="str">
        <f aca="false">IF(Estimates!H44="","","("&amp;TEXT(Estimates!H44,"0.00")&amp;")")</f>
        <v>(-1.72)</v>
      </c>
      <c r="D10" s="8" t="str">
        <f aca="false">IF(Estimates!H45="","","("&amp;TEXT(Estimates!H45,"0.00")&amp;")")</f>
        <v>(1.37)</v>
      </c>
      <c r="E10" s="8" t="str">
        <f aca="false">IF(Estimates!H46="","","("&amp;TEXT(Estimates!H46,"0.00")&amp;")")</f>
        <v>(2.58)</v>
      </c>
      <c r="F10" s="8" t="str">
        <f aca="false">IF(Estimates!H47="","","("&amp;TEXT(Estimates!H47,"0.00")&amp;")")</f>
        <v>(-2.19)</v>
      </c>
      <c r="G10" s="8" t="str">
        <f aca="false">IF(Estimates!H48="","","("&amp;TEXT(Estimates!H48,"0.00")&amp;")")</f>
        <v>(-6.34)</v>
      </c>
      <c r="H10" s="8" t="str">
        <f aca="false">IF(Estimates!H49="","","("&amp;TEXT(Estimates!H49,"0.00")&amp;")")</f>
        <v>(1.25)</v>
      </c>
      <c r="I10" s="8" t="str">
        <f aca="false">IF(Estimates!H50="","","("&amp;TEXT(Estimates!H50,"0.00")&amp;")")</f>
        <v>(-0.25)</v>
      </c>
      <c r="J10" s="8" t="str">
        <f aca="false">IF(Estimates!H51="","","("&amp;TEXT(Estimates!H51,"0.00")&amp;")")</f>
        <v>(2.57)</v>
      </c>
    </row>
    <row r="11" customFormat="false" ht="15" hidden="false" customHeight="false" outlineLevel="0" collapsed="false">
      <c r="A11" s="7" t="s">
        <v>41</v>
      </c>
      <c r="B11" s="8" t="str">
        <f aca="false">IF(Estimates!I52="","",TEXT(Estimates!E52,"0.000")&amp;IF(Estimates!I52&lt;0.01,"***",IF(Estimates!I52&lt;0.05,"**",IF(Estimates!I52&lt;0.1,"*",""))))</f>
        <v>0.012</v>
      </c>
      <c r="C11" s="8" t="str">
        <f aca="false">IF(Estimates!I53="","",TEXT(Estimates!E53,"0.000")&amp;IF(Estimates!I53&lt;0.01,"***",IF(Estimates!I53&lt;0.05,"**",IF(Estimates!I53&lt;0.1,"*",""))))</f>
        <v>0.301</v>
      </c>
      <c r="D11" s="8" t="str">
        <f aca="false">IF(Estimates!I54="","",TEXT(Estimates!E54,"0.000")&amp;IF(Estimates!I54&lt;0.01,"***",IF(Estimates!I54&lt;0.05,"**",IF(Estimates!I54&lt;0.1,"*",""))))</f>
        <v>-0.103</v>
      </c>
      <c r="E11" s="8" t="str">
        <f aca="false">IF(Estimates!I55="","",TEXT(Estimates!E55,"0.000")&amp;IF(Estimates!I55&lt;0.01,"***",IF(Estimates!I55&lt;0.05,"**",IF(Estimates!I55&lt;0.1,"*",""))))</f>
        <v>-0.037</v>
      </c>
      <c r="F11" s="8" t="str">
        <f aca="false">IF(Estimates!I56="","",TEXT(Estimates!E56,"0.000")&amp;IF(Estimates!I56&lt;0.01,"***",IF(Estimates!I56&lt;0.05,"**",IF(Estimates!I56&lt;0.1,"*",""))))</f>
        <v>0.626**</v>
      </c>
      <c r="G11" s="8" t="str">
        <f aca="false">IF(Estimates!I57="","",TEXT(Estimates!E57,"0.000")&amp;IF(Estimates!I57&lt;0.01,"***",IF(Estimates!I57&lt;0.05,"**",IF(Estimates!I57&lt;0.1,"*",""))))</f>
        <v>0.148</v>
      </c>
      <c r="H11" s="8" t="str">
        <f aca="false">IF(Estimates!I58="","",TEXT(Estimates!E58,"0.000")&amp;IF(Estimates!I58&lt;0.01,"***",IF(Estimates!I58&lt;0.05,"**",IF(Estimates!I58&lt;0.1,"*",""))))</f>
        <v>0.299**</v>
      </c>
      <c r="I11" s="8" t="str">
        <f aca="false">IF(Estimates!I59="","",TEXT(Estimates!E59,"0.000")&amp;IF(Estimates!I59&lt;0.01,"***",IF(Estimates!I59&lt;0.05,"**",IF(Estimates!I59&lt;0.1,"*",""))))</f>
        <v>0.265*</v>
      </c>
      <c r="J11" s="8" t="str">
        <f aca="false">IF(Estimates!I60="","",TEXT(Estimates!E60,"0.000")&amp;IF(Estimates!I60&lt;0.01,"***",IF(Estimates!I60&lt;0.05,"**",IF(Estimates!I60&lt;0.1,"*",""))))</f>
        <v>-1.096</v>
      </c>
    </row>
    <row r="12" customFormat="false" ht="15" hidden="false" customHeight="false" outlineLevel="0" collapsed="false">
      <c r="B12" s="8" t="str">
        <f aca="false">IF(Estimates!H52="","","("&amp;TEXT(Estimates!H52,"0.00")&amp;")")</f>
        <v>(0.06)</v>
      </c>
      <c r="C12" s="8" t="str">
        <f aca="false">IF(Estimates!H53="","","("&amp;TEXT(Estimates!H53,"0.00")&amp;")")</f>
        <v>(1.08)</v>
      </c>
      <c r="D12" s="8" t="str">
        <f aca="false">IF(Estimates!H54="","","("&amp;TEXT(Estimates!H54,"0.00")&amp;")")</f>
        <v>(-0.60)</v>
      </c>
      <c r="E12" s="8" t="str">
        <f aca="false">IF(Estimates!H55="","","("&amp;TEXT(Estimates!H55,"0.00")&amp;")")</f>
        <v>(-0.25)</v>
      </c>
      <c r="F12" s="8" t="str">
        <f aca="false">IF(Estimates!H56="","","("&amp;TEXT(Estimates!H56,"0.00")&amp;")")</f>
        <v>(2.20)</v>
      </c>
      <c r="G12" s="8" t="str">
        <f aca="false">IF(Estimates!H57="","","("&amp;TEXT(Estimates!H57,"0.00")&amp;")")</f>
        <v>(0.73)</v>
      </c>
      <c r="H12" s="8" t="str">
        <f aca="false">IF(Estimates!H58="","","("&amp;TEXT(Estimates!H58,"0.00")&amp;")")</f>
        <v>(2.86)</v>
      </c>
      <c r="I12" s="8" t="str">
        <f aca="false">IF(Estimates!H59="","","("&amp;TEXT(Estimates!H59,"0.00")&amp;")")</f>
        <v>(1.96)</v>
      </c>
      <c r="J12" s="8" t="str">
        <f aca="false">IF(Estimates!H60="","","("&amp;TEXT(Estimates!H60,"0.00")&amp;")")</f>
        <v>(-1.70)</v>
      </c>
    </row>
    <row r="14" customFormat="false" ht="15" hidden="false" customHeight="false" outlineLevel="0" collapsed="false">
      <c r="A14" s="6" t="s">
        <v>42</v>
      </c>
      <c r="B14" s="14" t="str">
        <f aca="false">IF(Estimates!I61="","",TEXT(Estimates!E61,"0.000")&amp;IF(Estimates!I61&lt;0.01,"***",IF(Estimates!I61&lt;0.05,"**",IF(Estimates!I61&lt;0.1,"*",""))))</f>
        <v>-0.673***</v>
      </c>
      <c r="C14" s="14" t="str">
        <f aca="false">IF(Estimates!I62="","",TEXT(Estimates!E62,"0.000")&amp;IF(Estimates!I62&lt;0.01,"***",IF(Estimates!I62&lt;0.05,"**",IF(Estimates!I62&lt;0.1,"*",""))))</f>
        <v>-0.986**</v>
      </c>
      <c r="D14" s="14" t="str">
        <f aca="false">IF(Estimates!I63="","",TEXT(Estimates!E63,"0.000")&amp;IF(Estimates!I63&lt;0.01,"***",IF(Estimates!I63&lt;0.05,"**",IF(Estimates!I63&lt;0.1,"*",""))))</f>
        <v>-0.354</v>
      </c>
      <c r="E14" s="14" t="str">
        <f aca="false">IF(Estimates!I64="","",TEXT(Estimates!E64,"0.000")&amp;IF(Estimates!I64&lt;0.01,"***",IF(Estimates!I64&lt;0.05,"**",IF(Estimates!I64&lt;0.1,"*",""))))</f>
        <v>0.038</v>
      </c>
      <c r="F14" s="14" t="str">
        <f aca="false">IF(Estimates!I65="","",TEXT(Estimates!E65,"0.000")&amp;IF(Estimates!I65&lt;0.01,"***",IF(Estimates!I65&lt;0.05,"**",IF(Estimates!I65&lt;0.1,"*",""))))</f>
        <v>-1.319***</v>
      </c>
      <c r="G14" s="14" t="str">
        <f aca="false">IF(Estimates!I66="","",TEXT(Estimates!E66,"0.000")&amp;IF(Estimates!I66&lt;0.01,"***",IF(Estimates!I66&lt;0.05,"**",IF(Estimates!I66&lt;0.1,"*",""))))</f>
        <v>-1.387***</v>
      </c>
    </row>
    <row r="15" customFormat="false" ht="15" hidden="false" customHeight="false" outlineLevel="0" collapsed="false">
      <c r="B15" s="14" t="str">
        <f aca="false">IF(Estimates!H61="","","("&amp;TEXT(Estimates!H61,"0.00")&amp;")")</f>
        <v>(-3.29)</v>
      </c>
      <c r="C15" s="14" t="str">
        <f aca="false">IF(Estimates!H62="","","("&amp;TEXT(Estimates!H62,"0.00")&amp;")")</f>
        <v>(-2.74)</v>
      </c>
      <c r="D15" s="14" t="str">
        <f aca="false">IF(Estimates!H63="","","("&amp;TEXT(Estimates!H63,"0.00")&amp;")")</f>
        <v>(-1.69)</v>
      </c>
      <c r="E15" s="14" t="str">
        <f aca="false">IF(Estimates!H64="","","("&amp;TEXT(Estimates!H64,"0.00")&amp;")")</f>
        <v>(0.16)</v>
      </c>
      <c r="F15" s="14" t="str">
        <f aca="false">IF(Estimates!H65="","","("&amp;TEXT(Estimates!H65,"0.00")&amp;")")</f>
        <v>(-3.98)</v>
      </c>
      <c r="G15" s="14" t="str">
        <f aca="false">IF(Estimates!H66="","","("&amp;TEXT(Estimates!H66,"0.00")&amp;")")</f>
        <v>(-6.42)</v>
      </c>
    </row>
    <row r="16" customFormat="false" ht="15" hidden="false" customHeight="false" outlineLevel="0" collapsed="false">
      <c r="A16" s="6" t="s">
        <v>43</v>
      </c>
      <c r="H16" s="14" t="str">
        <f aca="false">IF(Estimates!I67="","",TEXT(Estimates!E67,"0.000")&amp;IF(Estimates!I67&lt;0.01,"***",IF(Estimates!I67&lt;0.05,"**",IF(Estimates!I67&lt;0.1,"*",""))))</f>
        <v>-0.590**</v>
      </c>
      <c r="I16" s="14" t="str">
        <f aca="false">IF(Estimates!I68="","",TEXT(Estimates!E68,"0.000")&amp;IF(Estimates!I68&lt;0.01,"***",IF(Estimates!I68&lt;0.05,"**",IF(Estimates!I68&lt;0.1,"*",""))))</f>
        <v>-0.433**</v>
      </c>
      <c r="J16" s="14" t="str">
        <f aca="false">IF(Estimates!I69="","",TEXT(Estimates!E69,"0.000")&amp;IF(Estimates!I69&lt;0.01,"***",IF(Estimates!I69&lt;0.05,"**",IF(Estimates!I69&lt;0.1,"*",""))))</f>
        <v>-0.623***</v>
      </c>
    </row>
    <row r="17" customFormat="false" ht="15" hidden="false" customHeight="false" outlineLevel="0" collapsed="false">
      <c r="H17" s="14" t="str">
        <f aca="false">IF(Estimates!H67="","","("&amp;TEXT(Estimates!H67,"0.00")&amp;")")</f>
        <v>(-2.80)</v>
      </c>
      <c r="I17" s="14" t="str">
        <f aca="false">IF(Estimates!H68="","","("&amp;TEXT(Estimates!H68,"0.00")&amp;")")</f>
        <v>(-2.52)</v>
      </c>
      <c r="J17" s="14" t="str">
        <f aca="false">IF(Estimates!H69="","","("&amp;TEXT(Estimates!H69,"0.00")&amp;")")</f>
        <v>(-3.48)</v>
      </c>
    </row>
    <row r="18" customFormat="false" ht="15" hidden="false" customHeight="false" outlineLevel="0" collapsed="false">
      <c r="A18" s="6" t="s">
        <v>44</v>
      </c>
      <c r="H18" s="14" t="str">
        <f aca="false">IF(Estimates!I70="","",TEXT(Estimates!E70,"0.000")&amp;IF(Estimates!I70&lt;0.01,"***",IF(Estimates!I70&lt;0.05,"**",IF(Estimates!I70&lt;0.1,"*",""))))</f>
        <v>-0.159</v>
      </c>
      <c r="I18" s="14" t="str">
        <f aca="false">IF(Estimates!I71="","",TEXT(Estimates!E71,"0.000")&amp;IF(Estimates!I71&lt;0.01,"***",IF(Estimates!I71&lt;0.05,"**",IF(Estimates!I71&lt;0.1,"*",""))))</f>
        <v>-0.480***</v>
      </c>
      <c r="J18" s="14" t="str">
        <f aca="false">IF(Estimates!I72="","",TEXT(Estimates!E72,"0.000")&amp;IF(Estimates!I72&lt;0.01,"***",IF(Estimates!I72&lt;0.05,"**",IF(Estimates!I72&lt;0.1,"*",""))))</f>
        <v>-0.027</v>
      </c>
    </row>
    <row r="19" customFormat="false" ht="15" hidden="false" customHeight="false" outlineLevel="0" collapsed="false">
      <c r="H19" s="14" t="str">
        <f aca="false">IF(Estimates!H70="","","("&amp;TEXT(Estimates!H70,"0.00")&amp;")")</f>
        <v>(-0.69)</v>
      </c>
      <c r="I19" s="14" t="str">
        <f aca="false">IF(Estimates!H71="","","("&amp;TEXT(Estimates!H71,"0.00")&amp;")")</f>
        <v>(-3.51)</v>
      </c>
      <c r="J19" s="14" t="str">
        <f aca="false">IF(Estimates!H72="","","("&amp;TEXT(Estimates!H72,"0.00")&amp;")")</f>
        <v>(-0.14)</v>
      </c>
    </row>
    <row r="20" customFormat="false" ht="15" hidden="false" customHeight="false" outlineLevel="0" collapsed="false">
      <c r="A20" s="7" t="s">
        <v>11</v>
      </c>
      <c r="B20" s="9" t="n">
        <v>1412</v>
      </c>
      <c r="C20" s="9" t="n">
        <v>1480</v>
      </c>
      <c r="D20" s="9" t="n">
        <v>1483</v>
      </c>
      <c r="E20" s="9" t="n">
        <v>1483</v>
      </c>
      <c r="F20" s="9" t="n">
        <v>1468</v>
      </c>
      <c r="G20" s="9" t="n">
        <v>1483</v>
      </c>
      <c r="H20" s="9" t="n">
        <v>1040</v>
      </c>
      <c r="I20" s="9" t="n">
        <v>1266</v>
      </c>
      <c r="J20" s="9" t="n">
        <v>1480</v>
      </c>
    </row>
    <row r="21" customFormat="false" ht="15" hidden="false" customHeight="false" outlineLevel="0" collapsed="false">
      <c r="A21" s="12" t="s">
        <v>13</v>
      </c>
      <c r="B21" s="15" t="n">
        <v>0.061586370652865</v>
      </c>
      <c r="C21" s="15" t="n">
        <v>0.0631009963142304</v>
      </c>
      <c r="D21" s="15" t="n">
        <v>0.06016529269418</v>
      </c>
      <c r="E21" s="15" t="n">
        <v>0.0613026246415813</v>
      </c>
      <c r="F21" s="15" t="n">
        <v>0.066169994336157</v>
      </c>
      <c r="G21" s="15" t="n">
        <v>0.0619725414460636</v>
      </c>
      <c r="H21" s="15" t="n">
        <v>0.0616785987430022</v>
      </c>
      <c r="I21" s="15" t="n">
        <v>0.0705547059420797</v>
      </c>
      <c r="J21" s="15" t="n">
        <v>0.0653849661126327</v>
      </c>
    </row>
    <row r="24" customFormat="false" ht="15" hidden="false" customHeight="false" outlineLevel="0" collapsed="false">
      <c r="A24" s="6" t="s">
        <v>14</v>
      </c>
    </row>
    <row r="25" customFormat="false" ht="30" hidden="false" customHeight="true" outlineLevel="0" collapsed="false">
      <c r="A25" s="3"/>
      <c r="B25" s="4" t="s">
        <v>31</v>
      </c>
      <c r="C25" s="4" t="s">
        <v>32</v>
      </c>
      <c r="D25" s="4" t="s">
        <v>33</v>
      </c>
      <c r="E25" s="4" t="s">
        <v>34</v>
      </c>
      <c r="F25" s="4" t="s">
        <v>35</v>
      </c>
      <c r="G25" s="4" t="s">
        <v>36</v>
      </c>
      <c r="H25" s="4" t="s">
        <v>37</v>
      </c>
      <c r="I25" s="4" t="s">
        <v>38</v>
      </c>
      <c r="J25" s="4" t="s">
        <v>39</v>
      </c>
    </row>
    <row r="26" customFormat="false" ht="15" hidden="false" customHeight="false" outlineLevel="0" collapsed="false">
      <c r="A26" s="7" t="s">
        <v>10</v>
      </c>
      <c r="B26" s="8" t="str">
        <f aca="false">IF(Estimates!I73="","",TEXT(Estimates!E73,"0.000")&amp;IF(Estimates!I73&lt;0.01,"***",IF(Estimates!I73&lt;0.05,"**",IF(Estimates!I73&lt;0.1,"*",""))))</f>
        <v>-0.459</v>
      </c>
      <c r="C26" s="8" t="str">
        <f aca="false">IF(Estimates!I74="","",TEXT(Estimates!E74,"0.000")&amp;IF(Estimates!I74&lt;0.01,"***",IF(Estimates!I74&lt;0.05,"**",IF(Estimates!I74&lt;0.1,"*",""))))</f>
        <v>-0.195</v>
      </c>
      <c r="D26" s="8" t="str">
        <f aca="false">IF(Estimates!I75="","",TEXT(Estimates!E75,"0.000")&amp;IF(Estimates!I75&lt;0.01,"***",IF(Estimates!I75&lt;0.05,"**",IF(Estimates!I75&lt;0.1,"*",""))))</f>
        <v>-0.868***</v>
      </c>
      <c r="E26" s="8" t="str">
        <f aca="false">IF(Estimates!I76="","",TEXT(Estimates!E76,"0.000")&amp;IF(Estimates!I76&lt;0.01,"***",IF(Estimates!I76&lt;0.05,"**",IF(Estimates!I76&lt;0.1,"*",""))))</f>
        <v>-0.746***</v>
      </c>
      <c r="F26" s="8" t="str">
        <f aca="false">IF(Estimates!I77="","",TEXT(Estimates!E77,"0.000")&amp;IF(Estimates!I77&lt;0.01,"***",IF(Estimates!I77&lt;0.05,"**",IF(Estimates!I77&lt;0.1,"*",""))))</f>
        <v>-0.400</v>
      </c>
      <c r="G26" s="8" t="str">
        <f aca="false">IF(Estimates!I78="","",TEXT(Estimates!E78,"0.000")&amp;IF(Estimates!I78&lt;0.01,"***",IF(Estimates!I78&lt;0.05,"**",IF(Estimates!I78&lt;0.1,"*",""))))</f>
        <v>-0.452**</v>
      </c>
      <c r="H26" s="8" t="str">
        <f aca="false">IF(Estimates!I79="","",TEXT(Estimates!E79,"0.000")&amp;IF(Estimates!I79&lt;0.01,"***",IF(Estimates!I79&lt;0.05,"**",IF(Estimates!I79&lt;0.1,"*",""))))</f>
        <v>-0.337**</v>
      </c>
      <c r="I26" s="8" t="str">
        <f aca="false">IF(Estimates!I80="","",TEXT(Estimates!E80,"0.000")&amp;IF(Estimates!I80&lt;0.01,"***",IF(Estimates!I80&lt;0.05,"**",IF(Estimates!I80&lt;0.1,"*",""))))</f>
        <v>-0.460***</v>
      </c>
      <c r="J26" s="8" t="str">
        <f aca="false">IF(Estimates!I81="","",TEXT(Estimates!E81,"0.000")&amp;IF(Estimates!I81&lt;0.01,"***",IF(Estimates!I81&lt;0.05,"**",IF(Estimates!I81&lt;0.1,"*",""))))</f>
        <v>-0.298*</v>
      </c>
    </row>
    <row r="27" customFormat="false" ht="15" hidden="false" customHeight="false" outlineLevel="0" collapsed="false">
      <c r="B27" s="8" t="str">
        <f aca="false">IF(Estimates!H73="","","("&amp;TEXT(Estimates!H73,"0.00")&amp;")")</f>
        <v>(-1.44)</v>
      </c>
      <c r="C27" s="8" t="str">
        <f aca="false">IF(Estimates!H74="","","("&amp;TEXT(Estimates!H74,"0.00")&amp;")")</f>
        <v>(-0.98)</v>
      </c>
      <c r="D27" s="8" t="str">
        <f aca="false">IF(Estimates!H75="","","("&amp;TEXT(Estimates!H75,"0.00")&amp;")")</f>
        <v>(-3.13)</v>
      </c>
      <c r="E27" s="8" t="str">
        <f aca="false">IF(Estimates!H76="","","("&amp;TEXT(Estimates!H76,"0.00")&amp;")")</f>
        <v>(-2.98)</v>
      </c>
      <c r="F27" s="8" t="str">
        <f aca="false">IF(Estimates!H77="","","("&amp;TEXT(Estimates!H77,"0.00")&amp;")")</f>
        <v>(-1.73)</v>
      </c>
      <c r="G27" s="8" t="str">
        <f aca="false">IF(Estimates!H78="","","("&amp;TEXT(Estimates!H78,"0.00")&amp;")")</f>
        <v>(-2.52)</v>
      </c>
      <c r="H27" s="8" t="str">
        <f aca="false">IF(Estimates!H79="","","("&amp;TEXT(Estimates!H79,"0.00")&amp;")")</f>
        <v>(-2.54)</v>
      </c>
      <c r="I27" s="8" t="str">
        <f aca="false">IF(Estimates!H80="","","("&amp;TEXT(Estimates!H80,"0.00")&amp;")")</f>
        <v>(-3.49)</v>
      </c>
      <c r="J27" s="8" t="str">
        <f aca="false">IF(Estimates!H81="","","("&amp;TEXT(Estimates!H81,"0.00")&amp;")")</f>
        <v>(-1.93)</v>
      </c>
    </row>
    <row r="28" customFormat="false" ht="15" hidden="false" customHeight="false" outlineLevel="0" collapsed="false">
      <c r="A28" s="7" t="s">
        <v>40</v>
      </c>
      <c r="B28" s="8" t="str">
        <f aca="false">IF(Estimates!I82="","",TEXT(Estimates!E82,"0.000")&amp;IF(Estimates!I82&lt;0.01,"***",IF(Estimates!I82&lt;0.05,"**",IF(Estimates!I82&lt;0.1,"*",""))))</f>
        <v>-0.269</v>
      </c>
      <c r="C28" s="8" t="str">
        <f aca="false">IF(Estimates!I83="","",TEXT(Estimates!E83,"0.000")&amp;IF(Estimates!I83&lt;0.01,"***",IF(Estimates!I83&lt;0.05,"**",IF(Estimates!I83&lt;0.1,"*",""))))</f>
        <v>-0.842*</v>
      </c>
      <c r="D28" s="8" t="str">
        <f aca="false">IF(Estimates!I84="","",TEXT(Estimates!E84,"0.000")&amp;IF(Estimates!I84&lt;0.01,"***",IF(Estimates!I84&lt;0.05,"**",IF(Estimates!I84&lt;0.1,"*",""))))</f>
        <v>0.564</v>
      </c>
      <c r="E28" s="8" t="str">
        <f aca="false">IF(Estimates!I85="","",TEXT(Estimates!E85,"0.000")&amp;IF(Estimates!I85&lt;0.01,"***",IF(Estimates!I85&lt;0.05,"**",IF(Estimates!I85&lt;0.1,"*",""))))</f>
        <v>0.995***</v>
      </c>
      <c r="F28" s="8" t="str">
        <f aca="false">IF(Estimates!I86="","",TEXT(Estimates!E86,"0.000")&amp;IF(Estimates!I86&lt;0.01,"***",IF(Estimates!I86&lt;0.05,"**",IF(Estimates!I86&lt;0.1,"*",""))))</f>
        <v>-0.998**</v>
      </c>
      <c r="G28" s="8" t="str">
        <f aca="false">IF(Estimates!I87="","",TEXT(Estimates!E87,"0.000")&amp;IF(Estimates!I87&lt;0.01,"***",IF(Estimates!I87&lt;0.05,"**",IF(Estimates!I87&lt;0.1,"*",""))))</f>
        <v>-1.097**</v>
      </c>
      <c r="H28" s="8" t="str">
        <f aca="false">IF(Estimates!I88="","",TEXT(Estimates!E88,"0.000")&amp;IF(Estimates!I88&lt;0.01,"***",IF(Estimates!I88&lt;0.05,"**",IF(Estimates!I88&lt;0.1,"*",""))))</f>
        <v>0.587</v>
      </c>
      <c r="I28" s="8" t="str">
        <f aca="false">IF(Estimates!I89="","",TEXT(Estimates!E89,"0.000")&amp;IF(Estimates!I89&lt;0.01,"***",IF(Estimates!I89&lt;0.05,"**",IF(Estimates!I89&lt;0.1,"*",""))))</f>
        <v>-0.149</v>
      </c>
      <c r="J28" s="8" t="str">
        <f aca="false">IF(Estimates!I90="","",TEXT(Estimates!E90,"0.000")&amp;IF(Estimates!I90&lt;0.01,"***",IF(Estimates!I90&lt;0.05,"**",IF(Estimates!I90&lt;0.1,"*",""))))</f>
        <v>3.081**</v>
      </c>
    </row>
    <row r="29" customFormat="false" ht="15" hidden="false" customHeight="false" outlineLevel="0" collapsed="false">
      <c r="B29" s="8" t="str">
        <f aca="false">IF(Estimates!H82="","","("&amp;TEXT(Estimates!H82,"0.00")&amp;")")</f>
        <v>(-0.79)</v>
      </c>
      <c r="C29" s="8" t="str">
        <f aca="false">IF(Estimates!H83="","","("&amp;TEXT(Estimates!H83,"0.00")&amp;")")</f>
        <v>(-1.83)</v>
      </c>
      <c r="D29" s="8" t="str">
        <f aca="false">IF(Estimates!H84="","","("&amp;TEXT(Estimates!H84,"0.00")&amp;")")</f>
        <v>(1.60)</v>
      </c>
      <c r="E29" s="8" t="str">
        <f aca="false">IF(Estimates!H85="","","("&amp;TEXT(Estimates!H85,"0.00")&amp;")")</f>
        <v>(3.01)</v>
      </c>
      <c r="F29" s="8" t="str">
        <f aca="false">IF(Estimates!H86="","","("&amp;TEXT(Estimates!H86,"0.00")&amp;")")</f>
        <v>(-2.25)</v>
      </c>
      <c r="G29" s="8" t="str">
        <f aca="false">IF(Estimates!H87="","","("&amp;TEXT(Estimates!H87,"0.00")&amp;")")</f>
        <v>(-2.35)</v>
      </c>
      <c r="H29" s="8" t="str">
        <f aca="false">IF(Estimates!H88="","","("&amp;TEXT(Estimates!H88,"0.00")&amp;")")</f>
        <v>(1.42)</v>
      </c>
      <c r="I29" s="8" t="str">
        <f aca="false">IF(Estimates!H89="","","("&amp;TEXT(Estimates!H89,"0.00")&amp;")")</f>
        <v>(-0.51)</v>
      </c>
      <c r="J29" s="8" t="str">
        <f aca="false">IF(Estimates!H90="","","("&amp;TEXT(Estimates!H90,"0.00")&amp;")")</f>
        <v>(2.60)</v>
      </c>
    </row>
    <row r="30" customFormat="false" ht="15" hidden="false" customHeight="false" outlineLevel="0" collapsed="false">
      <c r="A30" s="7" t="s">
        <v>41</v>
      </c>
      <c r="B30" s="8" t="str">
        <f aca="false">IF(Estimates!I91="","",TEXT(Estimates!E91,"0.000")&amp;IF(Estimates!I91&lt;0.01,"***",IF(Estimates!I91&lt;0.05,"**",IF(Estimates!I91&lt;0.1,"*",""))))</f>
        <v>0.009</v>
      </c>
      <c r="C30" s="8" t="str">
        <f aca="false">IF(Estimates!I92="","",TEXT(Estimates!E92,"0.000")&amp;IF(Estimates!I92&lt;0.01,"***",IF(Estimates!I92&lt;0.05,"**",IF(Estimates!I92&lt;0.1,"*",""))))</f>
        <v>0.247</v>
      </c>
      <c r="D30" s="8" t="str">
        <f aca="false">IF(Estimates!I93="","",TEXT(Estimates!E93,"0.000")&amp;IF(Estimates!I93&lt;0.01,"***",IF(Estimates!I93&lt;0.05,"**",IF(Estimates!I93&lt;0.1,"*",""))))</f>
        <v>-0.057</v>
      </c>
      <c r="E30" s="8" t="str">
        <f aca="false">IF(Estimates!I94="","",TEXT(Estimates!E94,"0.000")&amp;IF(Estimates!I94&lt;0.01,"***",IF(Estimates!I94&lt;0.05,"**",IF(Estimates!I94&lt;0.1,"*",""))))</f>
        <v>-0.104</v>
      </c>
      <c r="F30" s="8" t="str">
        <f aca="false">IF(Estimates!I95="","",TEXT(Estimates!E95,"0.000")&amp;IF(Estimates!I95&lt;0.01,"***",IF(Estimates!I95&lt;0.05,"**",IF(Estimates!I95&lt;0.1,"*",""))))</f>
        <v>0.577**</v>
      </c>
      <c r="G30" s="8" t="str">
        <f aca="false">IF(Estimates!I96="","",TEXT(Estimates!E96,"0.000")&amp;IF(Estimates!I96&lt;0.01,"***",IF(Estimates!I96&lt;0.05,"**",IF(Estimates!I96&lt;0.1,"*",""))))</f>
        <v>0.095</v>
      </c>
      <c r="H30" s="8" t="str">
        <f aca="false">IF(Estimates!I97="","",TEXT(Estimates!E97,"0.000")&amp;IF(Estimates!I97&lt;0.01,"***",IF(Estimates!I97&lt;0.05,"**",IF(Estimates!I97&lt;0.1,"*",""))))</f>
        <v>0.200*</v>
      </c>
      <c r="I30" s="8" t="str">
        <f aca="false">IF(Estimates!I98="","",TEXT(Estimates!E98,"0.000")&amp;IF(Estimates!I98&lt;0.01,"***",IF(Estimates!I98&lt;0.05,"**",IF(Estimates!I98&lt;0.1,"*",""))))</f>
        <v>0.240*</v>
      </c>
      <c r="J30" s="8" t="str">
        <f aca="false">IF(Estimates!I99="","",TEXT(Estimates!E99,"0.000")&amp;IF(Estimates!I99&lt;0.01,"***",IF(Estimates!I99&lt;0.05,"**",IF(Estimates!I99&lt;0.1,"*",""))))</f>
        <v>-1.250</v>
      </c>
    </row>
    <row r="31" customFormat="false" ht="15" hidden="false" customHeight="false" outlineLevel="0" collapsed="false">
      <c r="B31" s="8" t="str">
        <f aca="false">IF(Estimates!H91="","","("&amp;TEXT(Estimates!H91,"0.00")&amp;")")</f>
        <v>(0.04)</v>
      </c>
      <c r="C31" s="8" t="str">
        <f aca="false">IF(Estimates!H92="","","("&amp;TEXT(Estimates!H92,"0.00")&amp;")")</f>
        <v>(0.87)</v>
      </c>
      <c r="D31" s="8" t="str">
        <f aca="false">IF(Estimates!H93="","","("&amp;TEXT(Estimates!H93,"0.00")&amp;")")</f>
        <v>(-0.32)</v>
      </c>
      <c r="E31" s="8" t="str">
        <f aca="false">IF(Estimates!H94="","","("&amp;TEXT(Estimates!H94,"0.00")&amp;")")</f>
        <v>(-0.54)</v>
      </c>
      <c r="F31" s="8" t="str">
        <f aca="false">IF(Estimates!H95="","","("&amp;TEXT(Estimates!H95,"0.00")&amp;")")</f>
        <v>(2.37)</v>
      </c>
      <c r="G31" s="8" t="str">
        <f aca="false">IF(Estimates!H96="","","("&amp;TEXT(Estimates!H96,"0.00")&amp;")")</f>
        <v>(0.45)</v>
      </c>
      <c r="H31" s="8" t="str">
        <f aca="false">IF(Estimates!H97="","","("&amp;TEXT(Estimates!H97,"0.00")&amp;")")</f>
        <v>(1.79)</v>
      </c>
      <c r="I31" s="8" t="str">
        <f aca="false">IF(Estimates!H98="","","("&amp;TEXT(Estimates!H98,"0.00")&amp;")")</f>
        <v>(2.00)</v>
      </c>
      <c r="J31" s="8" t="str">
        <f aca="false">IF(Estimates!H99="","","("&amp;TEXT(Estimates!H99,"0.00")&amp;")")</f>
        <v>(-1.68)</v>
      </c>
    </row>
    <row r="33" customFormat="false" ht="15" hidden="false" customHeight="false" outlineLevel="0" collapsed="false">
      <c r="A33" s="6" t="s">
        <v>42</v>
      </c>
      <c r="B33" s="14" t="str">
        <f aca="false">IF(Estimates!I100="","",TEXT(Estimates!E100,"0.000")&amp;IF(Estimates!I100&lt;0.01,"***",IF(Estimates!I100&lt;0.05,"**",IF(Estimates!I100&lt;0.1,"*",""))))</f>
        <v>-0.728***</v>
      </c>
      <c r="C33" s="14" t="str">
        <f aca="false">IF(Estimates!I101="","",TEXT(Estimates!E101,"0.000")&amp;IF(Estimates!I101&lt;0.01,"***",IF(Estimates!I101&lt;0.05,"**",IF(Estimates!I101&lt;0.1,"*",""))))</f>
        <v>-1.037**</v>
      </c>
      <c r="D33" s="14" t="str">
        <f aca="false">IF(Estimates!I102="","",TEXT(Estimates!E102,"0.000")&amp;IF(Estimates!I102&lt;0.01,"***",IF(Estimates!I102&lt;0.05,"**",IF(Estimates!I102&lt;0.1,"*",""))))</f>
        <v>-0.305</v>
      </c>
      <c r="E33" s="14" t="str">
        <f aca="false">IF(Estimates!I103="","",TEXT(Estimates!E103,"0.000")&amp;IF(Estimates!I103&lt;0.01,"***",IF(Estimates!I103&lt;0.05,"**",IF(Estimates!I103&lt;0.1,"*",""))))</f>
        <v>0.249</v>
      </c>
      <c r="F33" s="14" t="str">
        <f aca="false">IF(Estimates!I104="","",TEXT(Estimates!E104,"0.000")&amp;IF(Estimates!I104&lt;0.01,"***",IF(Estimates!I104&lt;0.05,"**",IF(Estimates!I104&lt;0.1,"*",""))))</f>
        <v>-1.398***</v>
      </c>
      <c r="G33" s="14" t="str">
        <f aca="false">IF(Estimates!I105="","",TEXT(Estimates!E105,"0.000")&amp;IF(Estimates!I105&lt;0.01,"***",IF(Estimates!I105&lt;0.05,"**",IF(Estimates!I105&lt;0.1,"*",""))))</f>
        <v>-1.550***</v>
      </c>
    </row>
    <row r="34" customFormat="false" ht="15" hidden="false" customHeight="false" outlineLevel="0" collapsed="false">
      <c r="B34" s="14" t="str">
        <f aca="false">IF(Estimates!H100="","","("&amp;TEXT(Estimates!H100,"0.00")&amp;")")</f>
        <v>(-3.30)</v>
      </c>
      <c r="C34" s="14" t="str">
        <f aca="false">IF(Estimates!H101="","","("&amp;TEXT(Estimates!H101,"0.00")&amp;")")</f>
        <v>(-2.64)</v>
      </c>
      <c r="D34" s="14" t="str">
        <f aca="false">IF(Estimates!H102="","","("&amp;TEXT(Estimates!H102,"0.00")&amp;")")</f>
        <v>(-1.32)</v>
      </c>
      <c r="E34" s="14" t="str">
        <f aca="false">IF(Estimates!H103="","","("&amp;TEXT(Estimates!H103,"0.00")&amp;")")</f>
        <v>(1.24)</v>
      </c>
      <c r="F34" s="14" t="str">
        <f aca="false">IF(Estimates!H104="","","("&amp;TEXT(Estimates!H104,"0.00")&amp;")")</f>
        <v>(-4.21)</v>
      </c>
      <c r="G34" s="14" t="str">
        <f aca="false">IF(Estimates!H105="","","("&amp;TEXT(Estimates!H105,"0.00")&amp;")")</f>
        <v>(-3.00)</v>
      </c>
    </row>
    <row r="35" customFormat="false" ht="15" hidden="false" customHeight="false" outlineLevel="0" collapsed="false">
      <c r="A35" s="6" t="s">
        <v>43</v>
      </c>
      <c r="H35" s="14" t="str">
        <f aca="false">IF(Estimates!I106="","",TEXT(Estimates!E106,"0.000")&amp;IF(Estimates!I106&lt;0.01,"***",IF(Estimates!I106&lt;0.05,"**",IF(Estimates!I106&lt;0.1,"*",""))))</f>
        <v>-0.586***</v>
      </c>
      <c r="I35" s="14" t="str">
        <f aca="false">IF(Estimates!I107="","",TEXT(Estimates!E107,"0.000")&amp;IF(Estimates!I107&lt;0.01,"***",IF(Estimates!I107&lt;0.05,"**",IF(Estimates!I107&lt;0.1,"*",""))))</f>
        <v>-0.414**</v>
      </c>
      <c r="J35" s="14" t="str">
        <f aca="false">IF(Estimates!I108="","",TEXT(Estimates!E108,"0.000")&amp;IF(Estimates!I108&lt;0.01,"***",IF(Estimates!I108&lt;0.05,"**",IF(Estimates!I108&lt;0.1,"*",""))))</f>
        <v>-0.636***</v>
      </c>
    </row>
    <row r="36" customFormat="false" ht="15" hidden="false" customHeight="false" outlineLevel="0" collapsed="false">
      <c r="H36" s="14" t="str">
        <f aca="false">IF(Estimates!H106="","","("&amp;TEXT(Estimates!H106,"0.00")&amp;")")</f>
        <v>(-3.09)</v>
      </c>
      <c r="I36" s="14" t="str">
        <f aca="false">IF(Estimates!H107="","","("&amp;TEXT(Estimates!H107,"0.00")&amp;")")</f>
        <v>(-2.32)</v>
      </c>
      <c r="J36" s="14" t="str">
        <f aca="false">IF(Estimates!H108="","","("&amp;TEXT(Estimates!H108,"0.00")&amp;")")</f>
        <v>(-3.02)</v>
      </c>
    </row>
    <row r="37" customFormat="false" ht="15" hidden="false" customHeight="false" outlineLevel="0" collapsed="false">
      <c r="A37" s="6" t="s">
        <v>44</v>
      </c>
      <c r="H37" s="14" t="str">
        <f aca="false">IF(Estimates!I109="","",TEXT(Estimates!E109,"0.000")&amp;IF(Estimates!I109&lt;0.01,"***",IF(Estimates!I109&lt;0.05,"**",IF(Estimates!I109&lt;0.1,"*",""))))</f>
        <v>-0.144</v>
      </c>
      <c r="I37" s="14" t="str">
        <f aca="false">IF(Estimates!I110="","",TEXT(Estimates!E110,"0.000")&amp;IF(Estimates!I110&lt;0.01,"***",IF(Estimates!I110&lt;0.05,"**",IF(Estimates!I110&lt;0.1,"*",""))))</f>
        <v>-0.509***</v>
      </c>
      <c r="J37" s="14" t="str">
        <f aca="false">IF(Estimates!I111="","",TEXT(Estimates!E111,"0.000")&amp;IF(Estimates!I111&lt;0.01,"***",IF(Estimates!I111&lt;0.05,"**",IF(Estimates!I111&lt;0.1,"*",""))))</f>
        <v>0.065</v>
      </c>
    </row>
    <row r="38" customFormat="false" ht="15" hidden="false" customHeight="false" outlineLevel="0" collapsed="false">
      <c r="H38" s="14" t="str">
        <f aca="false">IF(Estimates!H109="","","("&amp;TEXT(Estimates!H109,"0.00")&amp;")")</f>
        <v>(-0.68)</v>
      </c>
      <c r="I38" s="14" t="str">
        <f aca="false">IF(Estimates!H110="","","("&amp;TEXT(Estimates!H110,"0.00")&amp;")")</f>
        <v>(-3.61)</v>
      </c>
      <c r="J38" s="14" t="str">
        <f aca="false">IF(Estimates!H111="","","("&amp;TEXT(Estimates!H111,"0.00")&amp;")")</f>
        <v>(0.33)</v>
      </c>
    </row>
    <row r="39" customFormat="false" ht="15" hidden="false" customHeight="false" outlineLevel="0" collapsed="false">
      <c r="A39" s="7" t="s">
        <v>11</v>
      </c>
      <c r="B39" s="9" t="n">
        <v>1239</v>
      </c>
      <c r="C39" s="9" t="n">
        <v>1303</v>
      </c>
      <c r="D39" s="9" t="n">
        <v>1306</v>
      </c>
      <c r="E39" s="9" t="n">
        <v>1306</v>
      </c>
      <c r="F39" s="9" t="n">
        <v>1293</v>
      </c>
      <c r="G39" s="9" t="n">
        <v>1306</v>
      </c>
      <c r="H39" s="9" t="n">
        <v>930</v>
      </c>
      <c r="I39" s="9" t="n">
        <v>1124</v>
      </c>
      <c r="J39" s="9" t="n">
        <v>1303</v>
      </c>
    </row>
    <row r="40" customFormat="false" ht="15" hidden="false" customHeight="false" outlineLevel="0" collapsed="false">
      <c r="A40" s="12" t="s">
        <v>13</v>
      </c>
      <c r="B40" s="15" t="n">
        <v>0.0742507564007888</v>
      </c>
      <c r="C40" s="15" t="n">
        <v>0.0767783478895218</v>
      </c>
      <c r="D40" s="15" t="n">
        <v>0.0740067595151512</v>
      </c>
      <c r="E40" s="15" t="n">
        <v>0.0759860829719725</v>
      </c>
      <c r="F40" s="15" t="n">
        <v>0.0793217418576586</v>
      </c>
      <c r="G40" s="15" t="n">
        <v>0.0751810969962609</v>
      </c>
      <c r="H40" s="15" t="n">
        <v>0.067480098711487</v>
      </c>
      <c r="I40" s="15" t="n">
        <v>0.0830092291809539</v>
      </c>
      <c r="J40" s="15" t="n">
        <v>0.0802296256027342</v>
      </c>
    </row>
    <row r="43" customFormat="false" ht="15" hidden="false" customHeight="false" outlineLevel="0" collapsed="false">
      <c r="A43" s="1" t="s">
        <v>15</v>
      </c>
    </row>
    <row r="44" customFormat="false" ht="15" hidden="false" customHeight="false" outlineLevel="0" collapsed="false">
      <c r="A44" s="6" t="s">
        <v>16</v>
      </c>
    </row>
    <row r="45" customFormat="false" ht="30" hidden="false" customHeight="true" outlineLevel="0" collapsed="false">
      <c r="A45" s="3"/>
      <c r="B45" s="4" t="s">
        <v>31</v>
      </c>
      <c r="C45" s="4" t="s">
        <v>32</v>
      </c>
      <c r="D45" s="4" t="s">
        <v>33</v>
      </c>
      <c r="E45" s="4" t="s">
        <v>34</v>
      </c>
      <c r="F45" s="4" t="s">
        <v>35</v>
      </c>
      <c r="G45" s="4" t="s">
        <v>36</v>
      </c>
      <c r="H45" s="4" t="s">
        <v>37</v>
      </c>
      <c r="I45" s="4" t="s">
        <v>38</v>
      </c>
      <c r="J45" s="4" t="s">
        <v>39</v>
      </c>
    </row>
    <row r="46" customFormat="false" ht="15" hidden="false" customHeight="false" outlineLevel="0" collapsed="false">
      <c r="A46" s="7" t="s">
        <v>10</v>
      </c>
      <c r="B46" s="8" t="str">
        <f aca="false">IF(Estimates!I112="","",TEXT(Estimates!E112,"0.000")&amp;IF(Estimates!I112&lt;0.01,"***",IF(Estimates!I112&lt;0.05,"**",IF(Estimates!I112&lt;0.1,"*",""))))</f>
        <v>-0.344*</v>
      </c>
      <c r="C46" s="8" t="str">
        <f aca="false">IF(Estimates!I113="","",TEXT(Estimates!E113,"0.000")&amp;IF(Estimates!I113&lt;0.01,"***",IF(Estimates!I113&lt;0.05,"**",IF(Estimates!I113&lt;0.1,"*",""))))</f>
        <v>-0.315**</v>
      </c>
      <c r="D46" s="8" t="str">
        <f aca="false">IF(Estimates!I114="","",TEXT(Estimates!E114,"0.000")&amp;IF(Estimates!I114&lt;0.01,"***",IF(Estimates!I114&lt;0.05,"**",IF(Estimates!I114&lt;0.1,"*",""))))</f>
        <v>-0.527**</v>
      </c>
      <c r="E46" s="8" t="str">
        <f aca="false">IF(Estimates!I115="","",TEXT(Estimates!E115,"0.000")&amp;IF(Estimates!I115&lt;0.01,"***",IF(Estimates!I115&lt;0.05,"**",IF(Estimates!I115&lt;0.1,"*",""))))</f>
        <v>-0.512***</v>
      </c>
      <c r="F46" s="8" t="str">
        <f aca="false">IF(Estimates!I116="","",TEXT(Estimates!E116,"0.000")&amp;IF(Estimates!I116&lt;0.01,"***",IF(Estimates!I116&lt;0.05,"**",IF(Estimates!I116&lt;0.1,"*",""))))</f>
        <v>-0.316**</v>
      </c>
      <c r="G46" s="8" t="str">
        <f aca="false">IF(Estimates!I117="","",TEXT(Estimates!E117,"0.000")&amp;IF(Estimates!I117&lt;0.01,"***",IF(Estimates!I117&lt;0.05,"**",IF(Estimates!I117&lt;0.1,"*",""))))</f>
        <v>-0.402***</v>
      </c>
      <c r="H46" s="8" t="str">
        <f aca="false">IF(Estimates!I118="","",TEXT(Estimates!E118,"0.000")&amp;IF(Estimates!I118&lt;0.01,"***",IF(Estimates!I118&lt;0.05,"**",IF(Estimates!I118&lt;0.1,"*",""))))</f>
        <v>-0.492***</v>
      </c>
      <c r="I46" s="8" t="str">
        <f aca="false">IF(Estimates!I119="","",TEXT(Estimates!E119,"0.000")&amp;IF(Estimates!I119&lt;0.01,"***",IF(Estimates!I119&lt;0.05,"**",IF(Estimates!I119&lt;0.1,"*",""))))</f>
        <v>-0.489***</v>
      </c>
      <c r="J46" s="8" t="str">
        <f aca="false">IF(Estimates!I120="","",TEXT(Estimates!E120,"0.000")&amp;IF(Estimates!I120&lt;0.01,"***",IF(Estimates!I120&lt;0.05,"**",IF(Estimates!I120&lt;0.1,"*",""))))</f>
        <v>-0.371**</v>
      </c>
    </row>
    <row r="47" customFormat="false" ht="15" hidden="false" customHeight="false" outlineLevel="0" collapsed="false">
      <c r="B47" s="8" t="str">
        <f aca="false">IF(Estimates!H112="","","("&amp;TEXT(Estimates!H112,"0.00")&amp;")")</f>
        <v>(-2.06)</v>
      </c>
      <c r="C47" s="8" t="str">
        <f aca="false">IF(Estimates!H113="","","("&amp;TEXT(Estimates!H113,"0.00")&amp;")")</f>
        <v>(-2.70)</v>
      </c>
      <c r="D47" s="8" t="str">
        <f aca="false">IF(Estimates!H114="","","("&amp;TEXT(Estimates!H114,"0.00")&amp;")")</f>
        <v>(-2.71)</v>
      </c>
      <c r="E47" s="8" t="str">
        <f aca="false">IF(Estimates!H115="","","("&amp;TEXT(Estimates!H115,"0.00")&amp;")")</f>
        <v>(-3.63)</v>
      </c>
      <c r="F47" s="8" t="str">
        <f aca="false">IF(Estimates!H116="","","("&amp;TEXT(Estimates!H116,"0.00")&amp;")")</f>
        <v>(-2.40)</v>
      </c>
      <c r="G47" s="8" t="str">
        <f aca="false">IF(Estimates!H117="","","("&amp;TEXT(Estimates!H117,"0.00")&amp;")")</f>
        <v>(-3.83)</v>
      </c>
      <c r="H47" s="8" t="str">
        <f aca="false">IF(Estimates!H118="","","("&amp;TEXT(Estimates!H118,"0.00")&amp;")")</f>
        <v>(-4.23)</v>
      </c>
      <c r="I47" s="8" t="str">
        <f aca="false">IF(Estimates!H119="","","("&amp;TEXT(Estimates!H119,"0.00")&amp;")")</f>
        <v>(-3.69)</v>
      </c>
      <c r="J47" s="8" t="str">
        <f aca="false">IF(Estimates!H120="","","("&amp;TEXT(Estimates!H120,"0.00")&amp;")")</f>
        <v>(-2.72)</v>
      </c>
    </row>
    <row r="48" customFormat="false" ht="15" hidden="false" customHeight="false" outlineLevel="0" collapsed="false">
      <c r="A48" s="7" t="s">
        <v>40</v>
      </c>
      <c r="B48" s="8" t="str">
        <f aca="false">IF(Estimates!I121="","",TEXT(Estimates!E121,"0.000")&amp;IF(Estimates!I121&lt;0.01,"***",IF(Estimates!I121&lt;0.05,"**",IF(Estimates!I121&lt;0.1,"*",""))))</f>
        <v>-0.287</v>
      </c>
      <c r="C48" s="8" t="str">
        <f aca="false">IF(Estimates!I122="","",TEXT(Estimates!E122,"0.000")&amp;IF(Estimates!I122&lt;0.01,"***",IF(Estimates!I122&lt;0.05,"**",IF(Estimates!I122&lt;0.1,"*",""))))</f>
        <v>-0.374*</v>
      </c>
      <c r="D48" s="8" t="str">
        <f aca="false">IF(Estimates!I123="","",TEXT(Estimates!E123,"0.000")&amp;IF(Estimates!I123&lt;0.01,"***",IF(Estimates!I123&lt;0.05,"**",IF(Estimates!I123&lt;0.1,"*",""))))</f>
        <v>0.073</v>
      </c>
      <c r="E48" s="8" t="str">
        <f aca="false">IF(Estimates!I124="","",TEXT(Estimates!E124,"0.000")&amp;IF(Estimates!I124&lt;0.01,"***",IF(Estimates!I124&lt;0.05,"**",IF(Estimates!I124&lt;0.1,"*",""))))</f>
        <v>0.118</v>
      </c>
      <c r="F48" s="8" t="str">
        <f aca="false">IF(Estimates!I125="","",TEXT(Estimates!E125,"0.000")&amp;IF(Estimates!I125&lt;0.01,"***",IF(Estimates!I125&lt;0.05,"**",IF(Estimates!I125&lt;0.1,"*",""))))</f>
        <v>-0.854***</v>
      </c>
      <c r="G48" s="8" t="str">
        <f aca="false">IF(Estimates!I126="","",TEXT(Estimates!E126,"0.000")&amp;IF(Estimates!I126&lt;0.01,"***",IF(Estimates!I126&lt;0.05,"**",IF(Estimates!I126&lt;0.1,"*",""))))</f>
        <v>-0.823*</v>
      </c>
      <c r="H48" s="8" t="str">
        <f aca="false">IF(Estimates!I127="","",TEXT(Estimates!E127,"0.000")&amp;IF(Estimates!I127&lt;0.01,"***",IF(Estimates!I127&lt;0.05,"**",IF(Estimates!I127&lt;0.1,"*",""))))</f>
        <v>0.713***</v>
      </c>
      <c r="I48" s="8" t="str">
        <f aca="false">IF(Estimates!I128="","",TEXT(Estimates!E128,"0.000")&amp;IF(Estimates!I128&lt;0.01,"***",IF(Estimates!I128&lt;0.05,"**",IF(Estimates!I128&lt;0.1,"*",""))))</f>
        <v>0.135</v>
      </c>
      <c r="J48" s="8" t="str">
        <f aca="false">IF(Estimates!I129="","",TEXT(Estimates!E129,"0.000")&amp;IF(Estimates!I129&lt;0.01,"***",IF(Estimates!I129&lt;0.05,"**",IF(Estimates!I129&lt;0.1,"*",""))))</f>
        <v>1.223*</v>
      </c>
    </row>
    <row r="49" customFormat="false" ht="15" hidden="false" customHeight="false" outlineLevel="0" collapsed="false">
      <c r="B49" s="8" t="str">
        <f aca="false">IF(Estimates!H121="","","("&amp;TEXT(Estimates!H121,"0.00")&amp;")")</f>
        <v>(-1.17)</v>
      </c>
      <c r="C49" s="8" t="str">
        <f aca="false">IF(Estimates!H122="","","("&amp;TEXT(Estimates!H122,"0.00")&amp;")")</f>
        <v>(-2.00)</v>
      </c>
      <c r="D49" s="8" t="str">
        <f aca="false">IF(Estimates!H123="","","("&amp;TEXT(Estimates!H123,"0.00")&amp;")")</f>
        <v>(0.25)</v>
      </c>
      <c r="E49" s="8" t="str">
        <f aca="false">IF(Estimates!H124="","","("&amp;TEXT(Estimates!H124,"0.00")&amp;")")</f>
        <v>(0.42)</v>
      </c>
      <c r="F49" s="8" t="str">
        <f aca="false">IF(Estimates!H125="","","("&amp;TEXT(Estimates!H125,"0.00")&amp;")")</f>
        <v>(-3.67)</v>
      </c>
      <c r="G49" s="8" t="str">
        <f aca="false">IF(Estimates!H126="","","("&amp;TEXT(Estimates!H126,"0.00")&amp;")")</f>
        <v>(-1.99)</v>
      </c>
      <c r="H49" s="8" t="str">
        <f aca="false">IF(Estimates!H127="","","("&amp;TEXT(Estimates!H127,"0.00")&amp;")")</f>
        <v>(3.67)</v>
      </c>
      <c r="I49" s="8" t="str">
        <f aca="false">IF(Estimates!H128="","","("&amp;TEXT(Estimates!H128,"0.00")&amp;")")</f>
        <v>(0.78)</v>
      </c>
      <c r="J49" s="8" t="str">
        <f aca="false">IF(Estimates!H129="","","("&amp;TEXT(Estimates!H129,"0.00")&amp;")")</f>
        <v>(2.09)</v>
      </c>
    </row>
    <row r="50" customFormat="false" ht="15" hidden="false" customHeight="false" outlineLevel="0" collapsed="false">
      <c r="A50" s="7" t="s">
        <v>41</v>
      </c>
      <c r="B50" s="8" t="str">
        <f aca="false">IF(Estimates!I130="","",TEXT(Estimates!E130,"0.000")&amp;IF(Estimates!I130&lt;0.01,"***",IF(Estimates!I130&lt;0.05,"**",IF(Estimates!I130&lt;0.1,"*",""))))</f>
        <v>0.200</v>
      </c>
      <c r="C50" s="8" t="str">
        <f aca="false">IF(Estimates!I131="","",TEXT(Estimates!E131,"0.000")&amp;IF(Estimates!I131&lt;0.01,"***",IF(Estimates!I131&lt;0.05,"**",IF(Estimates!I131&lt;0.1,"*",""))))</f>
        <v>0.012</v>
      </c>
      <c r="D50" s="8" t="str">
        <f aca="false">IF(Estimates!I132="","",TEXT(Estimates!E132,"0.000")&amp;IF(Estimates!I132&lt;0.01,"***",IF(Estimates!I132&lt;0.05,"**",IF(Estimates!I132&lt;0.1,"*",""))))</f>
        <v>0.093</v>
      </c>
      <c r="E50" s="8" t="str">
        <f aca="false">IF(Estimates!I133="","",TEXT(Estimates!E133,"0.000")&amp;IF(Estimates!I133&lt;0.01,"***",IF(Estimates!I133&lt;0.05,"**",IF(Estimates!I133&lt;0.1,"*",""))))</f>
        <v>-0.164</v>
      </c>
      <c r="F50" s="8" t="str">
        <f aca="false">IF(Estimates!I134="","",TEXT(Estimates!E134,"0.000")&amp;IF(Estimates!I134&lt;0.01,"***",IF(Estimates!I134&lt;0.05,"**",IF(Estimates!I134&lt;0.1,"*",""))))</f>
        <v>0.436**</v>
      </c>
      <c r="G50" s="8" t="str">
        <f aca="false">IF(Estimates!I135="","",TEXT(Estimates!E135,"0.000")&amp;IF(Estimates!I135&lt;0.01,"***",IF(Estimates!I135&lt;0.05,"**",IF(Estimates!I135&lt;0.1,"*",""))))</f>
        <v>-0.188</v>
      </c>
      <c r="H50" s="8" t="str">
        <f aca="false">IF(Estimates!I136="","",TEXT(Estimates!E136,"0.000")&amp;IF(Estimates!I136&lt;0.01,"***",IF(Estimates!I136&lt;0.05,"**",IF(Estimates!I136&lt;0.1,"*",""))))</f>
        <v>0.029</v>
      </c>
      <c r="I50" s="8" t="str">
        <f aca="false">IF(Estimates!I137="","",TEXT(Estimates!E137,"0.000")&amp;IF(Estimates!I137&lt;0.01,"***",IF(Estimates!I137&lt;0.05,"**",IF(Estimates!I137&lt;0.1,"*",""))))</f>
        <v>0.060</v>
      </c>
      <c r="J50" s="8" t="str">
        <f aca="false">IF(Estimates!I138="","",TEXT(Estimates!E138,"0.000")&amp;IF(Estimates!I138&lt;0.01,"***",IF(Estimates!I138&lt;0.05,"**",IF(Estimates!I138&lt;0.1,"*",""))))</f>
        <v>-1.215**</v>
      </c>
    </row>
    <row r="51" customFormat="false" ht="15" hidden="false" customHeight="false" outlineLevel="0" collapsed="false">
      <c r="B51" s="8" t="str">
        <f aca="false">IF(Estimates!H130="","","("&amp;TEXT(Estimates!H130,"0.00")&amp;")")</f>
        <v>(1.04)</v>
      </c>
      <c r="C51" s="8" t="str">
        <f aca="false">IF(Estimates!H131="","","("&amp;TEXT(Estimates!H131,"0.00")&amp;")")</f>
        <v>(0.07)</v>
      </c>
      <c r="D51" s="8" t="str">
        <f aca="false">IF(Estimates!H132="","","("&amp;TEXT(Estimates!H132,"0.00")&amp;")")</f>
        <v>(1.25)</v>
      </c>
      <c r="E51" s="8" t="str">
        <f aca="false">IF(Estimates!H133="","","("&amp;TEXT(Estimates!H133,"0.00")&amp;")")</f>
        <v>(-1.17)</v>
      </c>
      <c r="F51" s="8" t="str">
        <f aca="false">IF(Estimates!H134="","","("&amp;TEXT(Estimates!H134,"0.00")&amp;")")</f>
        <v>(2.30)</v>
      </c>
      <c r="G51" s="8" t="str">
        <f aca="false">IF(Estimates!H135="","","("&amp;TEXT(Estimates!H135,"0.00")&amp;")")</f>
        <v>(-1.40)</v>
      </c>
      <c r="H51" s="8" t="str">
        <f aca="false">IF(Estimates!H136="","","("&amp;TEXT(Estimates!H136,"0.00")&amp;")")</f>
        <v>(0.21)</v>
      </c>
      <c r="I51" s="8" t="str">
        <f aca="false">IF(Estimates!H137="","","("&amp;TEXT(Estimates!H137,"0.00")&amp;")")</f>
        <v>(0.49)</v>
      </c>
      <c r="J51" s="8" t="str">
        <f aca="false">IF(Estimates!H138="","","("&amp;TEXT(Estimates!H138,"0.00")&amp;")")</f>
        <v>(-2.59)</v>
      </c>
    </row>
    <row r="53" customFormat="false" ht="15" hidden="false" customHeight="false" outlineLevel="0" collapsed="false">
      <c r="A53" s="6" t="s">
        <v>42</v>
      </c>
      <c r="B53" s="14" t="str">
        <f aca="false">IF(Estimates!I139="","",TEXT(Estimates!E139,"0.000")&amp;IF(Estimates!I139&lt;0.01,"***",IF(Estimates!I139&lt;0.05,"**",IF(Estimates!I139&lt;0.1,"*",""))))</f>
        <v>-0.631***</v>
      </c>
      <c r="C53" s="14" t="str">
        <f aca="false">IF(Estimates!I140="","",TEXT(Estimates!E140,"0.000")&amp;IF(Estimates!I140&lt;0.01,"***",IF(Estimates!I140&lt;0.05,"**",IF(Estimates!I140&lt;0.1,"*",""))))</f>
        <v>-0.688***</v>
      </c>
      <c r="D53" s="14" t="str">
        <f aca="false">IF(Estimates!I141="","",TEXT(Estimates!E141,"0.000")&amp;IF(Estimates!I141&lt;0.01,"***",IF(Estimates!I141&lt;0.05,"**",IF(Estimates!I141&lt;0.1,"*",""))))</f>
        <v>-0.455**</v>
      </c>
      <c r="E53" s="14" t="str">
        <f aca="false">IF(Estimates!I142="","",TEXT(Estimates!E142,"0.000")&amp;IF(Estimates!I142&lt;0.01,"***",IF(Estimates!I142&lt;0.05,"**",IF(Estimates!I142&lt;0.1,"*",""))))</f>
        <v>-0.394*</v>
      </c>
      <c r="F53" s="14" t="str">
        <f aca="false">IF(Estimates!I143="","",TEXT(Estimates!E143,"0.000")&amp;IF(Estimates!I143&lt;0.01,"***",IF(Estimates!I143&lt;0.05,"**",IF(Estimates!I143&lt;0.1,"*",""))))</f>
        <v>-1.171***</v>
      </c>
      <c r="G53" s="14" t="str">
        <f aca="false">IF(Estimates!I144="","",TEXT(Estimates!E144,"0.000")&amp;IF(Estimates!I144&lt;0.01,"***",IF(Estimates!I144&lt;0.05,"**",IF(Estimates!I144&lt;0.1,"*",""))))</f>
        <v>-1.225***</v>
      </c>
    </row>
    <row r="54" customFormat="false" ht="15" hidden="false" customHeight="false" outlineLevel="0" collapsed="false">
      <c r="B54" s="14" t="str">
        <f aca="false">IF(Estimates!H139="","","("&amp;TEXT(Estimates!H139,"0.00")&amp;")")</f>
        <v>(-3.76)</v>
      </c>
      <c r="C54" s="14" t="str">
        <f aca="false">IF(Estimates!H140="","","("&amp;TEXT(Estimates!H140,"0.00")&amp;")")</f>
        <v>(-4.04)</v>
      </c>
      <c r="D54" s="14" t="str">
        <f aca="false">IF(Estimates!H141="","","("&amp;TEXT(Estimates!H141,"0.00")&amp;")")</f>
        <v>(-2.62)</v>
      </c>
      <c r="E54" s="14" t="str">
        <f aca="false">IF(Estimates!H142="","","("&amp;TEXT(Estimates!H142,"0.00")&amp;")")</f>
        <v>(-1.77)</v>
      </c>
      <c r="F54" s="14" t="str">
        <f aca="false">IF(Estimates!H143="","","("&amp;TEXT(Estimates!H143,"0.00")&amp;")")</f>
        <v>(-7.59)</v>
      </c>
      <c r="G54" s="14" t="str">
        <f aca="false">IF(Estimates!H144="","","("&amp;TEXT(Estimates!H144,"0.00")&amp;")")</f>
        <v>(-3.17)</v>
      </c>
    </row>
    <row r="55" customFormat="false" ht="15" hidden="false" customHeight="false" outlineLevel="0" collapsed="false">
      <c r="A55" s="6" t="s">
        <v>43</v>
      </c>
      <c r="H55" s="14" t="str">
        <f aca="false">IF(Estimates!I145="","",TEXT(Estimates!E145,"0.000")&amp;IF(Estimates!I145&lt;0.01,"***",IF(Estimates!I145&lt;0.05,"**",IF(Estimates!I145&lt;0.1,"*",""))))</f>
        <v>-0.797***</v>
      </c>
      <c r="I55" s="14" t="str">
        <f aca="false">IF(Estimates!I146="","",TEXT(Estimates!E146,"0.000")&amp;IF(Estimates!I146&lt;0.01,"***",IF(Estimates!I146&lt;0.05,"**",IF(Estimates!I146&lt;0.1,"*",""))))</f>
        <v>-0.531***</v>
      </c>
      <c r="J55" s="14" t="str">
        <f aca="false">IF(Estimates!I147="","",TEXT(Estimates!E147,"0.000")&amp;IF(Estimates!I147&lt;0.01,"***",IF(Estimates!I147&lt;0.05,"**",IF(Estimates!I147&lt;0.1,"*",""))))</f>
        <v>-0.505***</v>
      </c>
    </row>
    <row r="56" customFormat="false" ht="15" hidden="false" customHeight="false" outlineLevel="0" collapsed="false">
      <c r="H56" s="14" t="str">
        <f aca="false">IF(Estimates!H145="","","("&amp;TEXT(Estimates!H145,"0.00")&amp;")")</f>
        <v>(-5.25)</v>
      </c>
      <c r="I56" s="14" t="str">
        <f aca="false">IF(Estimates!H146="","","("&amp;TEXT(Estimates!H146,"0.00")&amp;")")</f>
        <v>(-3.47)</v>
      </c>
      <c r="J56" s="14" t="str">
        <f aca="false">IF(Estimates!H147="","","("&amp;TEXT(Estimates!H147,"0.00")&amp;")")</f>
        <v>(-4.30)</v>
      </c>
    </row>
    <row r="57" customFormat="false" ht="15" hidden="false" customHeight="false" outlineLevel="0" collapsed="false">
      <c r="A57" s="6" t="s">
        <v>44</v>
      </c>
      <c r="H57" s="14" t="str">
        <f aca="false">IF(Estimates!I148="","",TEXT(Estimates!E148,"0.000")&amp;IF(Estimates!I148&lt;0.01,"***",IF(Estimates!I148&lt;0.05,"**",IF(Estimates!I148&lt;0.1,"*",""))))</f>
        <v>-0.255*</v>
      </c>
      <c r="I57" s="14" t="str">
        <f aca="false">IF(Estimates!I149="","",TEXT(Estimates!E149,"0.000")&amp;IF(Estimates!I149&lt;0.01,"***",IF(Estimates!I149&lt;0.05,"**",IF(Estimates!I149&lt;0.1,"*",""))))</f>
        <v>-0.445***</v>
      </c>
      <c r="J57" s="14" t="str">
        <f aca="false">IF(Estimates!I150="","",TEXT(Estimates!E150,"0.000")&amp;IF(Estimates!I150&lt;0.01,"***",IF(Estimates!I150&lt;0.05,"**",IF(Estimates!I150&lt;0.1,"*",""))))</f>
        <v>-0.227</v>
      </c>
    </row>
    <row r="58" customFormat="false" ht="15" hidden="false" customHeight="false" outlineLevel="0" collapsed="false">
      <c r="H58" s="14" t="str">
        <f aca="false">IF(Estimates!H148="","","("&amp;TEXT(Estimates!H148,"0.00")&amp;")")</f>
        <v>(-2.04)</v>
      </c>
      <c r="I58" s="14" t="str">
        <f aca="false">IF(Estimates!H149="","","("&amp;TEXT(Estimates!H149,"0.00")&amp;")")</f>
        <v>(-3.34)</v>
      </c>
      <c r="J58" s="14" t="str">
        <f aca="false">IF(Estimates!H150="","","("&amp;TEXT(Estimates!H150,"0.00")&amp;")")</f>
        <v>(-1.25)</v>
      </c>
    </row>
    <row r="59" customFormat="false" ht="15" hidden="false" customHeight="false" outlineLevel="0" collapsed="false">
      <c r="A59" s="7" t="s">
        <v>11</v>
      </c>
      <c r="B59" s="9" t="n">
        <v>1251</v>
      </c>
      <c r="C59" s="9" t="n">
        <v>1317</v>
      </c>
      <c r="D59" s="9" t="n">
        <v>1320</v>
      </c>
      <c r="E59" s="9" t="n">
        <v>1320</v>
      </c>
      <c r="F59" s="9" t="n">
        <v>1307</v>
      </c>
      <c r="G59" s="9" t="n">
        <v>1320</v>
      </c>
      <c r="H59" s="9" t="n">
        <v>939</v>
      </c>
      <c r="I59" s="9" t="n">
        <v>1135</v>
      </c>
      <c r="J59" s="9" t="n">
        <v>1317</v>
      </c>
    </row>
    <row r="60" customFormat="false" ht="15" hidden="false" customHeight="false" outlineLevel="0" collapsed="false">
      <c r="A60" s="12" t="s">
        <v>13</v>
      </c>
      <c r="B60" s="15" t="n">
        <v>0.121333028621104</v>
      </c>
      <c r="C60" s="15" t="n">
        <v>0.127162777106813</v>
      </c>
      <c r="D60" s="15" t="n">
        <v>0.127011962120453</v>
      </c>
      <c r="E60" s="15" t="n">
        <v>0.127036573517954</v>
      </c>
      <c r="F60" s="15" t="n">
        <v>0.131024407484787</v>
      </c>
      <c r="G60" s="15" t="n">
        <v>0.130270636634709</v>
      </c>
      <c r="H60" s="15" t="n">
        <v>0.108091172924775</v>
      </c>
      <c r="I60" s="15" t="n">
        <v>0.129653733493075</v>
      </c>
      <c r="J60" s="15" t="n">
        <v>0.124960748506812</v>
      </c>
    </row>
    <row r="63" customFormat="false" ht="15" hidden="false" customHeight="false" outlineLevel="0" collapsed="false">
      <c r="A63" s="6" t="s">
        <v>17</v>
      </c>
    </row>
    <row r="64" customFormat="false" ht="30" hidden="false" customHeight="true" outlineLevel="0" collapsed="false">
      <c r="A64" s="3"/>
      <c r="B64" s="4" t="s">
        <v>31</v>
      </c>
      <c r="C64" s="4" t="s">
        <v>32</v>
      </c>
      <c r="D64" s="4" t="s">
        <v>33</v>
      </c>
      <c r="E64" s="4" t="s">
        <v>34</v>
      </c>
      <c r="F64" s="4" t="s">
        <v>35</v>
      </c>
      <c r="G64" s="4" t="s">
        <v>36</v>
      </c>
      <c r="H64" s="4" t="s">
        <v>37</v>
      </c>
      <c r="I64" s="4" t="s">
        <v>38</v>
      </c>
      <c r="J64" s="4" t="s">
        <v>39</v>
      </c>
    </row>
    <row r="65" customFormat="false" ht="15" hidden="false" customHeight="false" outlineLevel="0" collapsed="false">
      <c r="A65" s="7" t="s">
        <v>10</v>
      </c>
      <c r="B65" s="8" t="str">
        <f aca="false">IF(Estimates!I151="","",TEXT(Estimates!E151,"0.000")&amp;IF(Estimates!I151&lt;0.01,"***",IF(Estimates!I151&lt;0.05,"**",IF(Estimates!I151&lt;0.1,"*",""))))</f>
        <v>-0.278*</v>
      </c>
      <c r="C65" s="8" t="str">
        <f aca="false">IF(Estimates!I152="","",TEXT(Estimates!E152,"0.000")&amp;IF(Estimates!I152&lt;0.01,"***",IF(Estimates!I152&lt;0.05,"**",IF(Estimates!I152&lt;0.1,"*",""))))</f>
        <v>-0.288**</v>
      </c>
      <c r="D65" s="8" t="str">
        <f aca="false">IF(Estimates!I153="","",TEXT(Estimates!E153,"0.000")&amp;IF(Estimates!I153&lt;0.01,"***",IF(Estimates!I153&lt;0.05,"**",IF(Estimates!I153&lt;0.1,"*",""))))</f>
        <v>-0.478**</v>
      </c>
      <c r="E65" s="8" t="str">
        <f aca="false">IF(Estimates!I154="","",TEXT(Estimates!E154,"0.000")&amp;IF(Estimates!I154&lt;0.01,"***",IF(Estimates!I154&lt;0.05,"**",IF(Estimates!I154&lt;0.1,"*",""))))</f>
        <v>-0.484***</v>
      </c>
      <c r="F65" s="8" t="str">
        <f aca="false">IF(Estimates!I155="","",TEXT(Estimates!E155,"0.000")&amp;IF(Estimates!I155&lt;0.01,"***",IF(Estimates!I155&lt;0.05,"**",IF(Estimates!I155&lt;0.1,"*",""))))</f>
        <v>-0.276**</v>
      </c>
      <c r="G65" s="8" t="str">
        <f aca="false">IF(Estimates!I156="","",TEXT(Estimates!E156,"0.000")&amp;IF(Estimates!I156&lt;0.01,"***",IF(Estimates!I156&lt;0.05,"**",IF(Estimates!I156&lt;0.1,"*",""))))</f>
        <v>-0.393***</v>
      </c>
      <c r="H65" s="8" t="str">
        <f aca="false">IF(Estimates!I157="","",TEXT(Estimates!E157,"0.000")&amp;IF(Estimates!I157&lt;0.01,"***",IF(Estimates!I157&lt;0.05,"**",IF(Estimates!I157&lt;0.1,"*",""))))</f>
        <v>-0.503***</v>
      </c>
      <c r="I65" s="8" t="str">
        <f aca="false">IF(Estimates!I158="","",TEXT(Estimates!E158,"0.000")&amp;IF(Estimates!I158&lt;0.01,"***",IF(Estimates!I158&lt;0.05,"**",IF(Estimates!I158&lt;0.1,"*",""))))</f>
        <v>-0.486***</v>
      </c>
      <c r="J65" s="8" t="str">
        <f aca="false">IF(Estimates!I159="","",TEXT(Estimates!E159,"0.000")&amp;IF(Estimates!I159&lt;0.01,"***",IF(Estimates!I159&lt;0.05,"**",IF(Estimates!I159&lt;0.1,"*",""))))</f>
        <v>-0.349**</v>
      </c>
    </row>
    <row r="66" customFormat="false" ht="15" hidden="false" customHeight="false" outlineLevel="0" collapsed="false">
      <c r="B66" s="8" t="str">
        <f aca="false">IF(Estimates!H151="","","("&amp;TEXT(Estimates!H151,"0.00")&amp;")")</f>
        <v>(-1.80)</v>
      </c>
      <c r="C66" s="8" t="str">
        <f aca="false">IF(Estimates!H152="","","("&amp;TEXT(Estimates!H152,"0.00")&amp;")")</f>
        <v>(-2.36)</v>
      </c>
      <c r="D66" s="8" t="str">
        <f aca="false">IF(Estimates!H153="","","("&amp;TEXT(Estimates!H153,"0.00")&amp;")")</f>
        <v>(-2.33)</v>
      </c>
      <c r="E66" s="8" t="str">
        <f aca="false">IF(Estimates!H154="","","("&amp;TEXT(Estimates!H154,"0.00")&amp;")")</f>
        <v>(-3.50)</v>
      </c>
      <c r="F66" s="8" t="str">
        <f aca="false">IF(Estimates!H155="","","("&amp;TEXT(Estimates!H155,"0.00")&amp;")")</f>
        <v>(-2.27)</v>
      </c>
      <c r="G66" s="8" t="str">
        <f aca="false">IF(Estimates!H156="","","("&amp;TEXT(Estimates!H156,"0.00")&amp;")")</f>
        <v>(-3.56)</v>
      </c>
      <c r="H66" s="8" t="str">
        <f aca="false">IF(Estimates!H157="","","("&amp;TEXT(Estimates!H157,"0.00")&amp;")")</f>
        <v>(-4.25)</v>
      </c>
      <c r="I66" s="8" t="str">
        <f aca="false">IF(Estimates!H158="","","("&amp;TEXT(Estimates!H158,"0.00")&amp;")")</f>
        <v>(-3.57)</v>
      </c>
      <c r="J66" s="8" t="str">
        <f aca="false">IF(Estimates!H159="","","("&amp;TEXT(Estimates!H159,"0.00")&amp;")")</f>
        <v>(-2.53)</v>
      </c>
    </row>
    <row r="67" customFormat="false" ht="15" hidden="false" customHeight="false" outlineLevel="0" collapsed="false">
      <c r="A67" s="7" t="s">
        <v>40</v>
      </c>
      <c r="B67" s="8" t="str">
        <f aca="false">IF(Estimates!I160="","",TEXT(Estimates!E160,"0.000")&amp;IF(Estimates!I160&lt;0.01,"***",IF(Estimates!I160&lt;0.05,"**",IF(Estimates!I160&lt;0.1,"*",""))))</f>
        <v>-0.364</v>
      </c>
      <c r="C67" s="8" t="str">
        <f aca="false">IF(Estimates!I161="","",TEXT(Estimates!E161,"0.000")&amp;IF(Estimates!I161&lt;0.01,"***",IF(Estimates!I161&lt;0.05,"**",IF(Estimates!I161&lt;0.1,"*",""))))</f>
        <v>-0.362*</v>
      </c>
      <c r="D67" s="8" t="str">
        <f aca="false">IF(Estimates!I162="","",TEXT(Estimates!E162,"0.000")&amp;IF(Estimates!I162&lt;0.01,"***",IF(Estimates!I162&lt;0.05,"**",IF(Estimates!I162&lt;0.1,"*",""))))</f>
        <v>0.032</v>
      </c>
      <c r="E67" s="8" t="str">
        <f aca="false">IF(Estimates!I163="","",TEXT(Estimates!E163,"0.000")&amp;IF(Estimates!I163&lt;0.01,"***",IF(Estimates!I163&lt;0.05,"**",IF(Estimates!I163&lt;0.1,"*",""))))</f>
        <v>0.140</v>
      </c>
      <c r="F67" s="8" t="str">
        <f aca="false">IF(Estimates!I164="","",TEXT(Estimates!E164,"0.000")&amp;IF(Estimates!I164&lt;0.01,"***",IF(Estimates!I164&lt;0.05,"**",IF(Estimates!I164&lt;0.1,"*",""))))</f>
        <v>-0.880***</v>
      </c>
      <c r="G67" s="8" t="str">
        <f aca="false">IF(Estimates!I165="","",TEXT(Estimates!E165,"0.000")&amp;IF(Estimates!I165&lt;0.01,"***",IF(Estimates!I165&lt;0.05,"**",IF(Estimates!I165&lt;0.1,"*",""))))</f>
        <v>-0.729</v>
      </c>
      <c r="H67" s="8" t="str">
        <f aca="false">IF(Estimates!I166="","",TEXT(Estimates!E166,"0.000")&amp;IF(Estimates!I166&lt;0.01,"***",IF(Estimates!I166&lt;0.05,"**",IF(Estimates!I166&lt;0.1,"*",""))))</f>
        <v>0.723***</v>
      </c>
      <c r="I67" s="8" t="str">
        <f aca="false">IF(Estimates!I167="","",TEXT(Estimates!E167,"0.000")&amp;IF(Estimates!I167&lt;0.01,"***",IF(Estimates!I167&lt;0.05,"**",IF(Estimates!I167&lt;0.1,"*",""))))</f>
        <v>0.150</v>
      </c>
      <c r="J67" s="8" t="str">
        <f aca="false">IF(Estimates!I168="","",TEXT(Estimates!E168,"0.000")&amp;IF(Estimates!I168&lt;0.01,"***",IF(Estimates!I168&lt;0.05,"**",IF(Estimates!I168&lt;0.1,"*",""))))</f>
        <v>1.139*</v>
      </c>
    </row>
    <row r="68" customFormat="false" ht="15" hidden="false" customHeight="false" outlineLevel="0" collapsed="false">
      <c r="B68" s="8" t="str">
        <f aca="false">IF(Estimates!H160="","","("&amp;TEXT(Estimates!H160,"0.00")&amp;")")</f>
        <v>(-1.52)</v>
      </c>
      <c r="C68" s="8" t="str">
        <f aca="false">IF(Estimates!H161="","","("&amp;TEXT(Estimates!H161,"0.00")&amp;")")</f>
        <v>(-1.81)</v>
      </c>
      <c r="D68" s="8" t="str">
        <f aca="false">IF(Estimates!H162="","","("&amp;TEXT(Estimates!H162,"0.00")&amp;")")</f>
        <v>(0.11)</v>
      </c>
      <c r="E68" s="8" t="str">
        <f aca="false">IF(Estimates!H163="","","("&amp;TEXT(Estimates!H163,"0.00")&amp;")")</f>
        <v>(0.49)</v>
      </c>
      <c r="F68" s="8" t="str">
        <f aca="false">IF(Estimates!H164="","","("&amp;TEXT(Estimates!H164,"0.00")&amp;")")</f>
        <v>(-4.01)</v>
      </c>
      <c r="G68" s="8" t="str">
        <f aca="false">IF(Estimates!H165="","","("&amp;TEXT(Estimates!H165,"0.00")&amp;")")</f>
        <v>(-1.66)</v>
      </c>
      <c r="H68" s="8" t="str">
        <f aca="false">IF(Estimates!H166="","","("&amp;TEXT(Estimates!H166,"0.00")&amp;")")</f>
        <v>(3.70)</v>
      </c>
      <c r="I68" s="8" t="str">
        <f aca="false">IF(Estimates!H167="","","("&amp;TEXT(Estimates!H167,"0.00")&amp;")")</f>
        <v>(0.85)</v>
      </c>
      <c r="J68" s="8" t="str">
        <f aca="false">IF(Estimates!H168="","","("&amp;TEXT(Estimates!H168,"0.00")&amp;")")</f>
        <v>(1.96)</v>
      </c>
    </row>
    <row r="69" customFormat="false" ht="15" hidden="false" customHeight="false" outlineLevel="0" collapsed="false">
      <c r="A69" s="7" t="s">
        <v>41</v>
      </c>
      <c r="B69" s="8" t="str">
        <f aca="false">IF(Estimates!I169="","",TEXT(Estimates!E169,"0.000")&amp;IF(Estimates!I169&lt;0.01,"***",IF(Estimates!I169&lt;0.05,"**",IF(Estimates!I169&lt;0.1,"*",""))))</f>
        <v>0.205</v>
      </c>
      <c r="C69" s="8" t="str">
        <f aca="false">IF(Estimates!I170="","",TEXT(Estimates!E170,"0.000")&amp;IF(Estimates!I170&lt;0.01,"***",IF(Estimates!I170&lt;0.05,"**",IF(Estimates!I170&lt;0.1,"*",""))))</f>
        <v>-0.010</v>
      </c>
      <c r="D69" s="8" t="str">
        <f aca="false">IF(Estimates!I171="","",TEXT(Estimates!E171,"0.000")&amp;IF(Estimates!I171&lt;0.01,"***",IF(Estimates!I171&lt;0.05,"**",IF(Estimates!I171&lt;0.1,"*",""))))</f>
        <v>0.094</v>
      </c>
      <c r="E69" s="8" t="str">
        <f aca="false">IF(Estimates!I172="","",TEXT(Estimates!E172,"0.000")&amp;IF(Estimates!I172&lt;0.01,"***",IF(Estimates!I172&lt;0.05,"**",IF(Estimates!I172&lt;0.1,"*",""))))</f>
        <v>-0.166</v>
      </c>
      <c r="F69" s="8" t="str">
        <f aca="false">IF(Estimates!I173="","",TEXT(Estimates!E173,"0.000")&amp;IF(Estimates!I173&lt;0.01,"***",IF(Estimates!I173&lt;0.05,"**",IF(Estimates!I173&lt;0.1,"*",""))))</f>
        <v>0.430**</v>
      </c>
      <c r="G69" s="8" t="str">
        <f aca="false">IF(Estimates!I174="","",TEXT(Estimates!E174,"0.000")&amp;IF(Estimates!I174&lt;0.01,"***",IF(Estimates!I174&lt;0.05,"**",IF(Estimates!I174&lt;0.1,"*",""))))</f>
        <v>-0.187</v>
      </c>
      <c r="H69" s="8" t="str">
        <f aca="false">IF(Estimates!I175="","",TEXT(Estimates!E175,"0.000")&amp;IF(Estimates!I175&lt;0.01,"***",IF(Estimates!I175&lt;0.05,"**",IF(Estimates!I175&lt;0.1,"*",""))))</f>
        <v>0.022</v>
      </c>
      <c r="I69" s="8" t="str">
        <f aca="false">IF(Estimates!I176="","",TEXT(Estimates!E176,"0.000")&amp;IF(Estimates!I176&lt;0.01,"***",IF(Estimates!I176&lt;0.05,"**",IF(Estimates!I176&lt;0.1,"*",""))))</f>
        <v>0.054</v>
      </c>
      <c r="J69" s="8" t="str">
        <f aca="false">IF(Estimates!I177="","",TEXT(Estimates!E177,"0.000")&amp;IF(Estimates!I177&lt;0.01,"***",IF(Estimates!I177&lt;0.05,"**",IF(Estimates!I177&lt;0.1,"*",""))))</f>
        <v>-1.219**</v>
      </c>
    </row>
    <row r="70" customFormat="false" ht="15" hidden="false" customHeight="false" outlineLevel="0" collapsed="false">
      <c r="B70" s="8" t="str">
        <f aca="false">IF(Estimates!H169="","","("&amp;TEXT(Estimates!H169,"0.00")&amp;")")</f>
        <v>(1.07)</v>
      </c>
      <c r="C70" s="8" t="str">
        <f aca="false">IF(Estimates!H170="","","("&amp;TEXT(Estimates!H170,"0.00")&amp;")")</f>
        <v>(-0.05)</v>
      </c>
      <c r="D70" s="8" t="str">
        <f aca="false">IF(Estimates!H171="","","("&amp;TEXT(Estimates!H171,"0.00")&amp;")")</f>
        <v>(1.24)</v>
      </c>
      <c r="E70" s="8" t="str">
        <f aca="false">IF(Estimates!H172="","","("&amp;TEXT(Estimates!H172,"0.00")&amp;")")</f>
        <v>(-1.17)</v>
      </c>
      <c r="F70" s="8" t="str">
        <f aca="false">IF(Estimates!H173="","","("&amp;TEXT(Estimates!H173,"0.00")&amp;")")</f>
        <v>(2.26)</v>
      </c>
      <c r="G70" s="8" t="str">
        <f aca="false">IF(Estimates!H174="","","("&amp;TEXT(Estimates!H174,"0.00")&amp;")")</f>
        <v>(-1.39)</v>
      </c>
      <c r="H70" s="8" t="str">
        <f aca="false">IF(Estimates!H175="","","("&amp;TEXT(Estimates!H175,"0.00")&amp;")")</f>
        <v>(0.17)</v>
      </c>
      <c r="I70" s="8" t="str">
        <f aca="false">IF(Estimates!H176="","","("&amp;TEXT(Estimates!H176,"0.00")&amp;")")</f>
        <v>(0.46)</v>
      </c>
      <c r="J70" s="8" t="str">
        <f aca="false">IF(Estimates!H177="","","("&amp;TEXT(Estimates!H177,"0.00")&amp;")")</f>
        <v>(-2.56)</v>
      </c>
    </row>
    <row r="72" customFormat="false" ht="15" hidden="false" customHeight="false" outlineLevel="0" collapsed="false">
      <c r="A72" s="6" t="s">
        <v>42</v>
      </c>
      <c r="B72" s="14" t="str">
        <f aca="false">IF(Estimates!I178="","",TEXT(Estimates!E178,"0.000")&amp;IF(Estimates!I178&lt;0.01,"***",IF(Estimates!I178&lt;0.05,"**",IF(Estimates!I178&lt;0.1,"*",""))))</f>
        <v>-0.643***</v>
      </c>
      <c r="C72" s="14" t="str">
        <f aca="false">IF(Estimates!I179="","",TEXT(Estimates!E179,"0.000")&amp;IF(Estimates!I179&lt;0.01,"***",IF(Estimates!I179&lt;0.05,"**",IF(Estimates!I179&lt;0.1,"*",""))))</f>
        <v>-0.650***</v>
      </c>
      <c r="D72" s="14" t="str">
        <f aca="false">IF(Estimates!I180="","",TEXT(Estimates!E180,"0.000")&amp;IF(Estimates!I180&lt;0.01,"***",IF(Estimates!I180&lt;0.05,"**",IF(Estimates!I180&lt;0.1,"*",""))))</f>
        <v>-0.446**</v>
      </c>
      <c r="E72" s="14" t="str">
        <f aca="false">IF(Estimates!I181="","",TEXT(Estimates!E181,"0.000")&amp;IF(Estimates!I181&lt;0.01,"***",IF(Estimates!I181&lt;0.05,"**",IF(Estimates!I181&lt;0.1,"*",""))))</f>
        <v>-0.344</v>
      </c>
      <c r="F72" s="14" t="str">
        <f aca="false">IF(Estimates!I182="","",TEXT(Estimates!E182,"0.000")&amp;IF(Estimates!I182&lt;0.01,"***",IF(Estimates!I182&lt;0.05,"**",IF(Estimates!I182&lt;0.1,"*",""))))</f>
        <v>-1.156***</v>
      </c>
      <c r="G72" s="14" t="str">
        <f aca="false">IF(Estimates!I183="","",TEXT(Estimates!E183,"0.000")&amp;IF(Estimates!I183&lt;0.01,"***",IF(Estimates!I183&lt;0.05,"**",IF(Estimates!I183&lt;0.1,"*",""))))</f>
        <v>-1.123**</v>
      </c>
    </row>
    <row r="73" customFormat="false" ht="15" hidden="false" customHeight="false" outlineLevel="0" collapsed="false">
      <c r="B73" s="14" t="str">
        <f aca="false">IF(Estimates!H178="","","("&amp;TEXT(Estimates!H178,"0.00")&amp;")")</f>
        <v>(-3.74)</v>
      </c>
      <c r="C73" s="14" t="str">
        <f aca="false">IF(Estimates!H179="","","("&amp;TEXT(Estimates!H179,"0.00")&amp;")")</f>
        <v>(-3.78)</v>
      </c>
      <c r="D73" s="14" t="str">
        <f aca="false">IF(Estimates!H180="","","("&amp;TEXT(Estimates!H180,"0.00")&amp;")")</f>
        <v>(-2.55)</v>
      </c>
      <c r="E73" s="14" t="str">
        <f aca="false">IF(Estimates!H181="","","("&amp;TEXT(Estimates!H181,"0.00")&amp;")")</f>
        <v>(-1.50)</v>
      </c>
      <c r="F73" s="14" t="str">
        <f aca="false">IF(Estimates!H182="","","("&amp;TEXT(Estimates!H182,"0.00")&amp;")")</f>
        <v>(-7.39)</v>
      </c>
      <c r="G73" s="14" t="str">
        <f aca="false">IF(Estimates!H183="","","("&amp;TEXT(Estimates!H183,"0.00")&amp;")")</f>
        <v>(-2.71)</v>
      </c>
    </row>
    <row r="74" customFormat="false" ht="15" hidden="false" customHeight="false" outlineLevel="0" collapsed="false">
      <c r="A74" s="6" t="s">
        <v>43</v>
      </c>
      <c r="H74" s="14" t="str">
        <f aca="false">IF(Estimates!I184="","",TEXT(Estimates!E184,"0.000")&amp;IF(Estimates!I184&lt;0.01,"***",IF(Estimates!I184&lt;0.05,"**",IF(Estimates!I184&lt;0.1,"*",""))))</f>
        <v>-0.811***</v>
      </c>
      <c r="I74" s="14" t="str">
        <f aca="false">IF(Estimates!I185="","",TEXT(Estimates!E185,"0.000")&amp;IF(Estimates!I185&lt;0.01,"***",IF(Estimates!I185&lt;0.05,"**",IF(Estimates!I185&lt;0.1,"*",""))))</f>
        <v>-0.533***</v>
      </c>
      <c r="J74" s="14" t="str">
        <f aca="false">IF(Estimates!I186="","",TEXT(Estimates!E186,"0.000")&amp;IF(Estimates!I186&lt;0.01,"***",IF(Estimates!I186&lt;0.05,"**",IF(Estimates!I186&lt;0.1,"*",""))))</f>
        <v>-0.474***</v>
      </c>
    </row>
    <row r="75" customFormat="false" ht="15" hidden="false" customHeight="false" outlineLevel="0" collapsed="false">
      <c r="H75" s="14" t="str">
        <f aca="false">IF(Estimates!H184="","","("&amp;TEXT(Estimates!H184,"0.00")&amp;")")</f>
        <v>(-5.19)</v>
      </c>
      <c r="I75" s="14" t="str">
        <f aca="false">IF(Estimates!H185="","","("&amp;TEXT(Estimates!H185,"0.00")&amp;")")</f>
        <v>(-3.38)</v>
      </c>
      <c r="J75" s="14" t="str">
        <f aca="false">IF(Estimates!H186="","","("&amp;TEXT(Estimates!H186,"0.00")&amp;")")</f>
        <v>(-4.09)</v>
      </c>
    </row>
    <row r="76" customFormat="false" ht="15" hidden="false" customHeight="false" outlineLevel="0" collapsed="false">
      <c r="A76" s="6" t="s">
        <v>44</v>
      </c>
      <c r="H76" s="14" t="str">
        <f aca="false">IF(Estimates!I187="","",TEXT(Estimates!E187,"0.000")&amp;IF(Estimates!I187&lt;0.01,"***",IF(Estimates!I187&lt;0.05,"**",IF(Estimates!I187&lt;0.1,"*",""))))</f>
        <v>-0.266**</v>
      </c>
      <c r="I76" s="14" t="str">
        <f aca="false">IF(Estimates!I188="","",TEXT(Estimates!E188,"0.000")&amp;IF(Estimates!I188&lt;0.01,"***",IF(Estimates!I188&lt;0.05,"**",IF(Estimates!I188&lt;0.1,"*",""))))</f>
        <v>-0.437***</v>
      </c>
      <c r="J76" s="14" t="str">
        <f aca="false">IF(Estimates!I189="","",TEXT(Estimates!E189,"0.000")&amp;IF(Estimates!I189&lt;0.01,"***",IF(Estimates!I189&lt;0.05,"**",IF(Estimates!I189&lt;0.1,"*",""))))</f>
        <v>-0.215</v>
      </c>
    </row>
    <row r="77" customFormat="false" ht="15" hidden="false" customHeight="false" outlineLevel="0" collapsed="false">
      <c r="H77" s="14" t="str">
        <f aca="false">IF(Estimates!H187="","","("&amp;TEXT(Estimates!H187,"0.00")&amp;")")</f>
        <v>(-2.14)</v>
      </c>
      <c r="I77" s="14" t="str">
        <f aca="false">IF(Estimates!H188="","","("&amp;TEXT(Estimates!H188,"0.00")&amp;")")</f>
        <v>(-3.21)</v>
      </c>
      <c r="J77" s="14" t="str">
        <f aca="false">IF(Estimates!H189="","","("&amp;TEXT(Estimates!H189,"0.00")&amp;")")</f>
        <v>(-1.16)</v>
      </c>
    </row>
    <row r="78" customFormat="false" ht="15" hidden="false" customHeight="false" outlineLevel="0" collapsed="false">
      <c r="A78" s="7" t="s">
        <v>11</v>
      </c>
      <c r="B78" s="9" t="n">
        <v>1239</v>
      </c>
      <c r="C78" s="9" t="n">
        <v>1303</v>
      </c>
      <c r="D78" s="9" t="n">
        <v>1306</v>
      </c>
      <c r="E78" s="9" t="n">
        <v>1306</v>
      </c>
      <c r="F78" s="9" t="n">
        <v>1293</v>
      </c>
      <c r="G78" s="9" t="n">
        <v>1306</v>
      </c>
      <c r="H78" s="9" t="n">
        <v>930</v>
      </c>
      <c r="I78" s="9" t="n">
        <v>1124</v>
      </c>
      <c r="J78" s="9" t="n">
        <v>1303</v>
      </c>
    </row>
    <row r="79" customFormat="false" ht="15" hidden="false" customHeight="false" outlineLevel="0" collapsed="false">
      <c r="A79" s="12" t="s">
        <v>13</v>
      </c>
      <c r="B79" s="15" t="n">
        <v>0.122362107749737</v>
      </c>
      <c r="C79" s="15" t="n">
        <v>0.128067331859088</v>
      </c>
      <c r="D79" s="15" t="n">
        <v>0.12793055755428</v>
      </c>
      <c r="E79" s="15" t="n">
        <v>0.128007130359529</v>
      </c>
      <c r="F79" s="15" t="n">
        <v>0.132103903469222</v>
      </c>
      <c r="G79" s="15" t="n">
        <v>0.130291836458694</v>
      </c>
      <c r="H79" s="15" t="n">
        <v>0.108150683482122</v>
      </c>
      <c r="I79" s="15" t="n">
        <v>0.129578499203237</v>
      </c>
      <c r="J79" s="15" t="n">
        <v>0.125559456352949</v>
      </c>
    </row>
    <row r="82" customFormat="false" ht="15" hidden="false" customHeight="false" outlineLevel="0" collapsed="false">
      <c r="A82" s="6" t="s">
        <v>18</v>
      </c>
    </row>
    <row r="83" customFormat="false" ht="30" hidden="false" customHeight="true" outlineLevel="0" collapsed="false">
      <c r="A83" s="3"/>
      <c r="B83" s="4" t="s">
        <v>31</v>
      </c>
      <c r="C83" s="4" t="s">
        <v>32</v>
      </c>
      <c r="D83" s="4" t="s">
        <v>33</v>
      </c>
      <c r="E83" s="4" t="s">
        <v>34</v>
      </c>
      <c r="F83" s="4" t="s">
        <v>35</v>
      </c>
      <c r="G83" s="4" t="s">
        <v>36</v>
      </c>
      <c r="H83" s="4" t="s">
        <v>37</v>
      </c>
      <c r="I83" s="4" t="s">
        <v>38</v>
      </c>
      <c r="J83" s="4" t="s">
        <v>39</v>
      </c>
    </row>
    <row r="84" customFormat="false" ht="15" hidden="false" customHeight="false" outlineLevel="0" collapsed="false">
      <c r="A84" s="7" t="s">
        <v>10</v>
      </c>
      <c r="B84" s="8" t="str">
        <f aca="false">IF(Estimates!I190="","",TEXT(Estimates!E190,"0.000")&amp;IF(Estimates!I190&lt;0.01,"***",IF(Estimates!I190&lt;0.05,"**",IF(Estimates!I190&lt;0.1,"*",""))))</f>
        <v>-0.312**</v>
      </c>
      <c r="C84" s="8" t="str">
        <f aca="false">IF(Estimates!I191="","",TEXT(Estimates!E191,"0.000")&amp;IF(Estimates!I191&lt;0.01,"***",IF(Estimates!I191&lt;0.05,"**",IF(Estimates!I191&lt;0.1,"*",""))))</f>
        <v>-0.283**</v>
      </c>
      <c r="D84" s="8" t="str">
        <f aca="false">IF(Estimates!I192="","",TEXT(Estimates!E192,"0.000")&amp;IF(Estimates!I192&lt;0.01,"***",IF(Estimates!I192&lt;0.05,"**",IF(Estimates!I192&lt;0.1,"*",""))))</f>
        <v>-0.396**</v>
      </c>
      <c r="E84" s="8" t="str">
        <f aca="false">IF(Estimates!I193="","",TEXT(Estimates!E193,"0.000")&amp;IF(Estimates!I193&lt;0.01,"***",IF(Estimates!I193&lt;0.05,"**",IF(Estimates!I193&lt;0.1,"*",""))))</f>
        <v>-0.441***</v>
      </c>
      <c r="F84" s="8" t="str">
        <f aca="false">IF(Estimates!I194="","",TEXT(Estimates!E194,"0.000")&amp;IF(Estimates!I194&lt;0.01,"***",IF(Estimates!I194&lt;0.05,"**",IF(Estimates!I194&lt;0.1,"*",""))))</f>
        <v>-0.251**</v>
      </c>
      <c r="G84" s="8" t="str">
        <f aca="false">IF(Estimates!I195="","",TEXT(Estimates!E195,"0.000")&amp;IF(Estimates!I195&lt;0.01,"***",IF(Estimates!I195&lt;0.05,"**",IF(Estimates!I195&lt;0.1,"*",""))))</f>
        <v>-0.351**</v>
      </c>
      <c r="H84" s="8" t="str">
        <f aca="false">IF(Estimates!I196="","",TEXT(Estimates!E196,"0.000")&amp;IF(Estimates!I196&lt;0.01,"***",IF(Estimates!I196&lt;0.05,"**",IF(Estimates!I196&lt;0.1,"*",""))))</f>
        <v>-0.503***</v>
      </c>
      <c r="I84" s="8" t="str">
        <f aca="false">IF(Estimates!I197="","",TEXT(Estimates!E197,"0.000")&amp;IF(Estimates!I197&lt;0.01,"***",IF(Estimates!I197&lt;0.05,"**",IF(Estimates!I197&lt;0.1,"*",""))))</f>
        <v>-0.449***</v>
      </c>
      <c r="J84" s="8" t="str">
        <f aca="false">IF(Estimates!I198="","",TEXT(Estimates!E198,"0.000")&amp;IF(Estimates!I198&lt;0.01,"***",IF(Estimates!I198&lt;0.05,"**",IF(Estimates!I198&lt;0.1,"*",""))))</f>
        <v>-0.343**</v>
      </c>
    </row>
    <row r="85" customFormat="false" ht="15" hidden="false" customHeight="false" outlineLevel="0" collapsed="false">
      <c r="B85" s="8" t="str">
        <f aca="false">IF(Estimates!H190="","","("&amp;TEXT(Estimates!H190,"0.00")&amp;")")</f>
        <v>(-2.23)</v>
      </c>
      <c r="C85" s="8" t="str">
        <f aca="false">IF(Estimates!H191="","","("&amp;TEXT(Estimates!H191,"0.00")&amp;")")</f>
        <v>(-2.28)</v>
      </c>
      <c r="D85" s="8" t="str">
        <f aca="false">IF(Estimates!H192="","","("&amp;TEXT(Estimates!H192,"0.00")&amp;")")</f>
        <v>(-2.15)</v>
      </c>
      <c r="E85" s="8" t="str">
        <f aca="false">IF(Estimates!H193="","","("&amp;TEXT(Estimates!H193,"0.00")&amp;")")</f>
        <v>(-3.50)</v>
      </c>
      <c r="F85" s="8" t="str">
        <f aca="false">IF(Estimates!H194="","","("&amp;TEXT(Estimates!H194,"0.00")&amp;")")</f>
        <v>(-2.13)</v>
      </c>
      <c r="G85" s="8" t="str">
        <f aca="false">IF(Estimates!H195="","","("&amp;TEXT(Estimates!H195,"0.00")&amp;")")</f>
        <v>(-2.78)</v>
      </c>
      <c r="H85" s="8" t="str">
        <f aca="false">IF(Estimates!H196="","","("&amp;TEXT(Estimates!H196,"0.00")&amp;")")</f>
        <v>(-4.35)</v>
      </c>
      <c r="I85" s="8" t="str">
        <f aca="false">IF(Estimates!H197="","","("&amp;TEXT(Estimates!H197,"0.00")&amp;")")</f>
        <v>(-3.48)</v>
      </c>
      <c r="J85" s="8" t="str">
        <f aca="false">IF(Estimates!H198="","","("&amp;TEXT(Estimates!H198,"0.00")&amp;")")</f>
        <v>(-2.56)</v>
      </c>
    </row>
    <row r="86" customFormat="false" ht="15" hidden="false" customHeight="false" outlineLevel="0" collapsed="false">
      <c r="A86" s="7" t="s">
        <v>40</v>
      </c>
      <c r="B86" s="8" t="str">
        <f aca="false">IF(Estimates!I199="","",TEXT(Estimates!E199,"0.000")&amp;IF(Estimates!I199&lt;0.01,"***",IF(Estimates!I199&lt;0.05,"**",IF(Estimates!I199&lt;0.1,"*",""))))</f>
        <v>-0.257</v>
      </c>
      <c r="C86" s="8" t="str">
        <f aca="false">IF(Estimates!I200="","",TEXT(Estimates!E200,"0.000")&amp;IF(Estimates!I200&lt;0.01,"***",IF(Estimates!I200&lt;0.05,"**",IF(Estimates!I200&lt;0.1,"*",""))))</f>
        <v>-0.305</v>
      </c>
      <c r="D86" s="8" t="str">
        <f aca="false">IF(Estimates!I201="","",TEXT(Estimates!E201,"0.000")&amp;IF(Estimates!I201&lt;0.01,"***",IF(Estimates!I201&lt;0.05,"**",IF(Estimates!I201&lt;0.1,"*",""))))</f>
        <v>-0.075</v>
      </c>
      <c r="E86" s="8" t="str">
        <f aca="false">IF(Estimates!I202="","",TEXT(Estimates!E202,"0.000")&amp;IF(Estimates!I202&lt;0.01,"***",IF(Estimates!I202&lt;0.05,"**",IF(Estimates!I202&lt;0.1,"*",""))))</f>
        <v>0.040</v>
      </c>
      <c r="F86" s="8" t="str">
        <f aca="false">IF(Estimates!I203="","",TEXT(Estimates!E203,"0.000")&amp;IF(Estimates!I203&lt;0.01,"***",IF(Estimates!I203&lt;0.05,"**",IF(Estimates!I203&lt;0.1,"*",""))))</f>
        <v>-0.813***</v>
      </c>
      <c r="G86" s="8" t="str">
        <f aca="false">IF(Estimates!I204="","",TEXT(Estimates!E204,"0.000")&amp;IF(Estimates!I204&lt;0.01,"***",IF(Estimates!I204&lt;0.05,"**",IF(Estimates!I204&lt;0.1,"*",""))))</f>
        <v>-0.827*</v>
      </c>
      <c r="H86" s="8" t="str">
        <f aca="false">IF(Estimates!I205="","",TEXT(Estimates!E205,"0.000")&amp;IF(Estimates!I205&lt;0.01,"***",IF(Estimates!I205&lt;0.05,"**",IF(Estimates!I205&lt;0.1,"*",""))))</f>
        <v>0.623***</v>
      </c>
      <c r="I86" s="8" t="str">
        <f aca="false">IF(Estimates!I206="","",TEXT(Estimates!E206,"0.000")&amp;IF(Estimates!I206&lt;0.01,"***",IF(Estimates!I206&lt;0.05,"**",IF(Estimates!I206&lt;0.1,"*",""))))</f>
        <v>0.190</v>
      </c>
      <c r="J86" s="8" t="str">
        <f aca="false">IF(Estimates!I207="","",TEXT(Estimates!E207,"0.000")&amp;IF(Estimates!I207&lt;0.01,"***",IF(Estimates!I207&lt;0.05,"**",IF(Estimates!I207&lt;0.1,"*",""))))</f>
        <v>0.884</v>
      </c>
    </row>
    <row r="87" customFormat="false" ht="15" hidden="false" customHeight="false" outlineLevel="0" collapsed="false">
      <c r="B87" s="8" t="str">
        <f aca="false">IF(Estimates!H199="","","("&amp;TEXT(Estimates!H199,"0.00")&amp;")")</f>
        <v>(-1.37)</v>
      </c>
      <c r="C87" s="8" t="str">
        <f aca="false">IF(Estimates!H200="","","("&amp;TEXT(Estimates!H200,"0.00")&amp;")")</f>
        <v>(-1.41)</v>
      </c>
      <c r="D87" s="8" t="str">
        <f aca="false">IF(Estimates!H201="","","("&amp;TEXT(Estimates!H201,"0.00")&amp;")")</f>
        <v>(-0.26)</v>
      </c>
      <c r="E87" s="8" t="str">
        <f aca="false">IF(Estimates!H202="","","("&amp;TEXT(Estimates!H202,"0.00")&amp;")")</f>
        <v>(0.14)</v>
      </c>
      <c r="F87" s="8" t="str">
        <f aca="false">IF(Estimates!H203="","","("&amp;TEXT(Estimates!H203,"0.00")&amp;")")</f>
        <v>(-3.61)</v>
      </c>
      <c r="G87" s="8" t="str">
        <f aca="false">IF(Estimates!H204="","","("&amp;TEXT(Estimates!H204,"0.00")&amp;")")</f>
        <v>(-1.81)</v>
      </c>
      <c r="H87" s="8" t="str">
        <f aca="false">IF(Estimates!H205="","","("&amp;TEXT(Estimates!H205,"0.00")&amp;")")</f>
        <v>(3.64)</v>
      </c>
      <c r="I87" s="8" t="str">
        <f aca="false">IF(Estimates!H206="","","("&amp;TEXT(Estimates!H206,"0.00")&amp;")")</f>
        <v>(0.97)</v>
      </c>
      <c r="J87" s="8" t="str">
        <f aca="false">IF(Estimates!H207="","","("&amp;TEXT(Estimates!H207,"0.00")&amp;")")</f>
        <v>(1.58)</v>
      </c>
    </row>
    <row r="88" customFormat="false" ht="15" hidden="false" customHeight="false" outlineLevel="0" collapsed="false">
      <c r="A88" s="7" t="s">
        <v>41</v>
      </c>
      <c r="B88" s="8" t="str">
        <f aca="false">IF(Estimates!I208="","",TEXT(Estimates!E208,"0.000")&amp;IF(Estimates!I208&lt;0.01,"***",IF(Estimates!I208&lt;0.05,"**",IF(Estimates!I208&lt;0.1,"*",""))))</f>
        <v>0.141</v>
      </c>
      <c r="C88" s="8" t="str">
        <f aca="false">IF(Estimates!I209="","",TEXT(Estimates!E209,"0.000")&amp;IF(Estimates!I209&lt;0.01,"***",IF(Estimates!I209&lt;0.05,"**",IF(Estimates!I209&lt;0.1,"*",""))))</f>
        <v>-0.095</v>
      </c>
      <c r="D88" s="8" t="str">
        <f aca="false">IF(Estimates!I210="","",TEXT(Estimates!E210,"0.000")&amp;IF(Estimates!I210&lt;0.01,"***",IF(Estimates!I210&lt;0.05,"**",IF(Estimates!I210&lt;0.1,"*",""))))</f>
        <v>0.136*</v>
      </c>
      <c r="E88" s="8" t="str">
        <f aca="false">IF(Estimates!I211="","",TEXT(Estimates!E211,"0.000")&amp;IF(Estimates!I211&lt;0.01,"***",IF(Estimates!I211&lt;0.05,"**",IF(Estimates!I211&lt;0.1,"*",""))))</f>
        <v>-0.083</v>
      </c>
      <c r="F88" s="8" t="str">
        <f aca="false">IF(Estimates!I212="","",TEXT(Estimates!E212,"0.000")&amp;IF(Estimates!I212&lt;0.01,"***",IF(Estimates!I212&lt;0.05,"**",IF(Estimates!I212&lt;0.1,"*",""))))</f>
        <v>0.514***</v>
      </c>
      <c r="G88" s="8" t="str">
        <f aca="false">IF(Estimates!I213="","",TEXT(Estimates!E213,"0.000")&amp;IF(Estimates!I213&lt;0.01,"***",IF(Estimates!I213&lt;0.05,"**",IF(Estimates!I213&lt;0.1,"*",""))))</f>
        <v>-0.112</v>
      </c>
      <c r="H88" s="8" t="str">
        <f aca="false">IF(Estimates!I214="","",TEXT(Estimates!E214,"0.000")&amp;IF(Estimates!I214&lt;0.01,"***",IF(Estimates!I214&lt;0.05,"**",IF(Estimates!I214&lt;0.1,"*",""))))</f>
        <v>0.003</v>
      </c>
      <c r="I88" s="8" t="str">
        <f aca="false">IF(Estimates!I215="","",TEXT(Estimates!E215,"0.000")&amp;IF(Estimates!I215&lt;0.01,"***",IF(Estimates!I215&lt;0.05,"**",IF(Estimates!I215&lt;0.1,"*",""))))</f>
        <v>0.017</v>
      </c>
      <c r="J88" s="8" t="str">
        <f aca="false">IF(Estimates!I216="","",TEXT(Estimates!E216,"0.000")&amp;IF(Estimates!I216&lt;0.01,"***",IF(Estimates!I216&lt;0.05,"**",IF(Estimates!I216&lt;0.1,"*",""))))</f>
        <v>-0.920**</v>
      </c>
    </row>
    <row r="89" customFormat="false" ht="15" hidden="false" customHeight="false" outlineLevel="0" collapsed="false">
      <c r="B89" s="8" t="str">
        <f aca="false">IF(Estimates!H208="","","("&amp;TEXT(Estimates!H208,"0.00")&amp;")")</f>
        <v>(0.78)</v>
      </c>
      <c r="C89" s="8" t="str">
        <f aca="false">IF(Estimates!H209="","","("&amp;TEXT(Estimates!H209,"0.00")&amp;")")</f>
        <v>(-0.55)</v>
      </c>
      <c r="D89" s="8" t="str">
        <f aca="false">IF(Estimates!H210="","","("&amp;TEXT(Estimates!H210,"0.00")&amp;")")</f>
        <v>(1.86)</v>
      </c>
      <c r="E89" s="8" t="str">
        <f aca="false">IF(Estimates!H211="","","("&amp;TEXT(Estimates!H211,"0.00")&amp;")")</f>
        <v>(-0.56)</v>
      </c>
      <c r="F89" s="8" t="str">
        <f aca="false">IF(Estimates!H212="","","("&amp;TEXT(Estimates!H212,"0.00")&amp;")")</f>
        <v>(3.25)</v>
      </c>
      <c r="G89" s="8" t="str">
        <f aca="false">IF(Estimates!H213="","","("&amp;TEXT(Estimates!H213,"0.00")&amp;")")</f>
        <v>(-0.75)</v>
      </c>
      <c r="H89" s="8" t="str">
        <f aca="false">IF(Estimates!H214="","","("&amp;TEXT(Estimates!H214,"0.00")&amp;")")</f>
        <v>(0.02)</v>
      </c>
      <c r="I89" s="8" t="str">
        <f aca="false">IF(Estimates!H215="","","("&amp;TEXT(Estimates!H215,"0.00")&amp;")")</f>
        <v>(0.15)</v>
      </c>
      <c r="J89" s="8" t="str">
        <f aca="false">IF(Estimates!H216="","","("&amp;TEXT(Estimates!H216,"0.00")&amp;")")</f>
        <v>(-2.20)</v>
      </c>
    </row>
    <row r="91" customFormat="false" ht="15" hidden="false" customHeight="false" outlineLevel="0" collapsed="false">
      <c r="A91" s="6" t="s">
        <v>42</v>
      </c>
      <c r="B91" s="14" t="str">
        <f aca="false">IF(Estimates!I217="","",TEXT(Estimates!E217,"0.000")&amp;IF(Estimates!I217&lt;0.01,"***",IF(Estimates!I217&lt;0.05,"**",IF(Estimates!I217&lt;0.1,"*",""))))</f>
        <v>-0.569***</v>
      </c>
      <c r="C91" s="14" t="str">
        <f aca="false">IF(Estimates!I218="","",TEXT(Estimates!E218,"0.000")&amp;IF(Estimates!I218&lt;0.01,"***",IF(Estimates!I218&lt;0.05,"**",IF(Estimates!I218&lt;0.1,"*",""))))</f>
        <v>-0.588***</v>
      </c>
      <c r="D91" s="14" t="str">
        <f aca="false">IF(Estimates!I219="","",TEXT(Estimates!E219,"0.000")&amp;IF(Estimates!I219&lt;0.01,"***",IF(Estimates!I219&lt;0.05,"**",IF(Estimates!I219&lt;0.1,"*",""))))</f>
        <v>-0.471**</v>
      </c>
      <c r="E91" s="14" t="str">
        <f aca="false">IF(Estimates!I220="","",TEXT(Estimates!E220,"0.000")&amp;IF(Estimates!I220&lt;0.01,"***",IF(Estimates!I220&lt;0.05,"**",IF(Estimates!I220&lt;0.1,"*",""))))</f>
        <v>-0.400</v>
      </c>
      <c r="F91" s="14" t="str">
        <f aca="false">IF(Estimates!I221="","",TEXT(Estimates!E221,"0.000")&amp;IF(Estimates!I221&lt;0.01,"***",IF(Estimates!I221&lt;0.05,"**",IF(Estimates!I221&lt;0.1,"*",""))))</f>
        <v>-1.064***</v>
      </c>
      <c r="G91" s="14" t="str">
        <f aca="false">IF(Estimates!I222="","",TEXT(Estimates!E222,"0.000")&amp;IF(Estimates!I222&lt;0.01,"***",IF(Estimates!I222&lt;0.05,"**",IF(Estimates!I222&lt;0.1,"*",""))))</f>
        <v>-1.178***</v>
      </c>
    </row>
    <row r="92" customFormat="false" ht="15" hidden="false" customHeight="false" outlineLevel="0" collapsed="false">
      <c r="B92" s="14" t="str">
        <f aca="false">IF(Estimates!H217="","","("&amp;TEXT(Estimates!H217,"0.00")&amp;")")</f>
        <v>(-4.08)</v>
      </c>
      <c r="C92" s="14" t="str">
        <f aca="false">IF(Estimates!H218="","","("&amp;TEXT(Estimates!H218,"0.00")&amp;")")</f>
        <v>(-3.48)</v>
      </c>
      <c r="D92" s="14" t="str">
        <f aca="false">IF(Estimates!H219="","","("&amp;TEXT(Estimates!H219,"0.00")&amp;")")</f>
        <v>(-2.59)</v>
      </c>
      <c r="E92" s="14" t="str">
        <f aca="false">IF(Estimates!H220="","","("&amp;TEXT(Estimates!H220,"0.00")&amp;")")</f>
        <v>(-1.72)</v>
      </c>
      <c r="F92" s="14" t="str">
        <f aca="false">IF(Estimates!H221="","","("&amp;TEXT(Estimates!H221,"0.00")&amp;")")</f>
        <v>(-6.39)</v>
      </c>
      <c r="G92" s="14" t="str">
        <f aca="false">IF(Estimates!H222="","","("&amp;TEXT(Estimates!H222,"0.00")&amp;")")</f>
        <v>(-3.09)</v>
      </c>
    </row>
    <row r="93" customFormat="false" ht="15" hidden="false" customHeight="false" outlineLevel="0" collapsed="false">
      <c r="A93" s="6" t="s">
        <v>43</v>
      </c>
      <c r="H93" s="14" t="str">
        <f aca="false">IF(Estimates!I223="","",TEXT(Estimates!E223,"0.000")&amp;IF(Estimates!I223&lt;0.01,"***",IF(Estimates!I223&lt;0.05,"**",IF(Estimates!I223&lt;0.1,"*",""))))</f>
        <v>-0.772***</v>
      </c>
      <c r="I93" s="14" t="str">
        <f aca="false">IF(Estimates!I224="","",TEXT(Estimates!E224,"0.000")&amp;IF(Estimates!I224&lt;0.01,"***",IF(Estimates!I224&lt;0.05,"**",IF(Estimates!I224&lt;0.1,"*",""))))</f>
        <v>-0.508***</v>
      </c>
      <c r="J93" s="14" t="str">
        <f aca="false">IF(Estimates!I225="","",TEXT(Estimates!E225,"0.000")&amp;IF(Estimates!I225&lt;0.01,"***",IF(Estimates!I225&lt;0.05,"**",IF(Estimates!I225&lt;0.1,"*",""))))</f>
        <v>-0.423***</v>
      </c>
    </row>
    <row r="94" customFormat="false" ht="15" hidden="false" customHeight="false" outlineLevel="0" collapsed="false">
      <c r="H94" s="14" t="str">
        <f aca="false">IF(Estimates!H223="","","("&amp;TEXT(Estimates!H223,"0.00")&amp;")")</f>
        <v>(-4.84)</v>
      </c>
      <c r="I94" s="14" t="str">
        <f aca="false">IF(Estimates!H224="","","("&amp;TEXT(Estimates!H224,"0.00")&amp;")")</f>
        <v>(-3.08)</v>
      </c>
      <c r="J94" s="14" t="str">
        <f aca="false">IF(Estimates!H225="","","("&amp;TEXT(Estimates!H225,"0.00")&amp;")")</f>
        <v>(-4.02)</v>
      </c>
    </row>
    <row r="95" customFormat="false" ht="15" hidden="false" customHeight="false" outlineLevel="0" collapsed="false">
      <c r="A95" s="6" t="s">
        <v>44</v>
      </c>
      <c r="H95" s="14" t="str">
        <f aca="false">IF(Estimates!I226="","",TEXT(Estimates!E226,"0.000")&amp;IF(Estimates!I226&lt;0.01,"***",IF(Estimates!I226&lt;0.05,"**",IF(Estimates!I226&lt;0.1,"*",""))))</f>
        <v>-0.289**</v>
      </c>
      <c r="I95" s="14" t="str">
        <f aca="false">IF(Estimates!I227="","",TEXT(Estimates!E227,"0.000")&amp;IF(Estimates!I227&lt;0.01,"***",IF(Estimates!I227&lt;0.05,"**",IF(Estimates!I227&lt;0.1,"*",""))))</f>
        <v>-0.384***</v>
      </c>
      <c r="J95" s="14" t="str">
        <f aca="false">IF(Estimates!I228="","",TEXT(Estimates!E228,"0.000")&amp;IF(Estimates!I228&lt;0.01,"***",IF(Estimates!I228&lt;0.05,"**",IF(Estimates!I228&lt;0.1,"*",""))))</f>
        <v>-0.241</v>
      </c>
    </row>
    <row r="96" customFormat="false" ht="15" hidden="false" customHeight="false" outlineLevel="0" collapsed="false">
      <c r="H96" s="14" t="str">
        <f aca="false">IF(Estimates!H226="","","("&amp;TEXT(Estimates!H226,"0.00")&amp;")")</f>
        <v>(-2.69)</v>
      </c>
      <c r="I96" s="14" t="str">
        <f aca="false">IF(Estimates!H227="","","("&amp;TEXT(Estimates!H227,"0.00")&amp;")")</f>
        <v>(-3.30)</v>
      </c>
      <c r="J96" s="14" t="str">
        <f aca="false">IF(Estimates!H228="","","("&amp;TEXT(Estimates!H228,"0.00")&amp;")")</f>
        <v>(-1.30)</v>
      </c>
    </row>
    <row r="97" customFormat="false" ht="15" hidden="false" customHeight="false" outlineLevel="0" collapsed="false">
      <c r="A97" s="7" t="s">
        <v>11</v>
      </c>
      <c r="B97" s="9" t="n">
        <v>1182</v>
      </c>
      <c r="C97" s="9" t="n">
        <v>1246</v>
      </c>
      <c r="D97" s="9" t="n">
        <v>1249</v>
      </c>
      <c r="E97" s="9" t="n">
        <v>1249</v>
      </c>
      <c r="F97" s="9" t="n">
        <v>1236</v>
      </c>
      <c r="G97" s="9" t="n">
        <v>1249</v>
      </c>
      <c r="H97" s="9" t="n">
        <v>890</v>
      </c>
      <c r="I97" s="9" t="n">
        <v>1069</v>
      </c>
      <c r="J97" s="9" t="n">
        <v>1246</v>
      </c>
    </row>
    <row r="98" customFormat="false" ht="15" hidden="false" customHeight="false" outlineLevel="0" collapsed="false">
      <c r="A98" s="12" t="s">
        <v>13</v>
      </c>
      <c r="B98" s="15" t="n">
        <v>0.111296060372314</v>
      </c>
      <c r="C98" s="15" t="n">
        <v>0.118344272373733</v>
      </c>
      <c r="D98" s="15" t="n">
        <v>0.118114868356138</v>
      </c>
      <c r="E98" s="15" t="n">
        <v>0.118080849147911</v>
      </c>
      <c r="F98" s="15" t="n">
        <v>0.122924194969556</v>
      </c>
      <c r="G98" s="15" t="n">
        <v>0.120359487644927</v>
      </c>
      <c r="H98" s="15" t="n">
        <v>0.0984290690690348</v>
      </c>
      <c r="I98" s="15" t="n">
        <v>0.114417035414937</v>
      </c>
      <c r="J98" s="15" t="n">
        <v>0.116133866263439</v>
      </c>
    </row>
  </sheetData>
  <mergeCells count="1">
    <mergeCell ref="A2:J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8" min="2" style="0" width="14"/>
  </cols>
  <sheetData>
    <row r="1" customFormat="false" ht="15" hidden="false" customHeight="false" outlineLevel="0" collapsed="false">
      <c r="A1" s="1" t="s">
        <v>45</v>
      </c>
    </row>
    <row r="2" customFormat="false" ht="111.75" hidden="false" customHeight="true" outlineLevel="0" collapsed="false">
      <c r="A2" s="2" t="s">
        <v>46</v>
      </c>
      <c r="B2" s="2"/>
      <c r="C2" s="2"/>
      <c r="D2" s="2"/>
      <c r="E2" s="2"/>
      <c r="F2" s="2"/>
      <c r="G2" s="2"/>
    </row>
    <row r="4" customFormat="false" ht="45" hidden="false" customHeight="true" outlineLevel="0" collapsed="false">
      <c r="A4" s="4" t="s">
        <v>47</v>
      </c>
      <c r="B4" s="4" t="s">
        <v>48</v>
      </c>
      <c r="C4" s="4" t="s">
        <v>49</v>
      </c>
      <c r="D4" s="4" t="s">
        <v>50</v>
      </c>
      <c r="E4" s="4" t="s">
        <v>51</v>
      </c>
      <c r="F4" s="4" t="s">
        <v>52</v>
      </c>
      <c r="G4" s="4" t="s">
        <v>53</v>
      </c>
    </row>
    <row r="5" customFormat="false" ht="15" hidden="false" customHeight="false" outlineLevel="0" collapsed="false">
      <c r="A5" s="16" t="s">
        <v>16</v>
      </c>
      <c r="B5" s="17" t="n">
        <v>1649</v>
      </c>
      <c r="C5" s="18" t="n">
        <v>0.444652163533771</v>
      </c>
      <c r="D5" s="18" t="n">
        <v>0.416060445664518</v>
      </c>
      <c r="E5" s="18" t="n">
        <v>0.443471776851129</v>
      </c>
      <c r="F5" s="18" t="n">
        <v>0.622903929047224</v>
      </c>
      <c r="G5" s="18" t="n">
        <v>0.40249725542625</v>
      </c>
    </row>
    <row r="6" customFormat="false" ht="15" hidden="false" customHeight="false" outlineLevel="0" collapsed="false">
      <c r="A6" s="16" t="s">
        <v>17</v>
      </c>
      <c r="B6" s="17" t="n">
        <v>1621</v>
      </c>
      <c r="C6" s="18" t="n">
        <v>0.446310836929642</v>
      </c>
      <c r="D6" s="18" t="n">
        <v>0.418222878883551</v>
      </c>
      <c r="E6" s="18" t="n">
        <v>0.44330464546713</v>
      </c>
      <c r="F6" s="18" t="n">
        <v>0.624012491384462</v>
      </c>
      <c r="G6" s="18" t="n">
        <v>0.404476400853301</v>
      </c>
    </row>
    <row r="7" customFormat="false" ht="15" hidden="false" customHeight="false" outlineLevel="0" collapsed="false">
      <c r="A7" s="19" t="s">
        <v>18</v>
      </c>
      <c r="B7" s="20" t="n">
        <v>1543</v>
      </c>
      <c r="C7" s="21" t="n">
        <v>0.473617565564246</v>
      </c>
      <c r="D7" s="21" t="n">
        <v>0.417167705087187</v>
      </c>
      <c r="E7" s="21" t="n">
        <v>0.470628672868291</v>
      </c>
      <c r="F7" s="21" t="n">
        <v>0.629808036305769</v>
      </c>
      <c r="G7" s="21" t="n">
        <v>0.432387149864347</v>
      </c>
    </row>
  </sheetData>
  <mergeCells count="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28"/>
    <col collapsed="false" customWidth="true" hidden="false" outlineLevel="0" max="4" min="4" style="0" width="40"/>
  </cols>
  <sheetData>
    <row r="1" customFormat="false" ht="15" hidden="false" customHeight="false" outlineLevel="0" collapsed="false">
      <c r="A1" s="6" t="s">
        <v>54</v>
      </c>
    </row>
    <row r="3" customFormat="false" ht="15" hidden="false" customHeight="false" outlineLevel="0" collapsed="false">
      <c r="A3" s="1" t="s">
        <v>55</v>
      </c>
      <c r="B3" s="1" t="s">
        <v>56</v>
      </c>
      <c r="C3" s="1" t="s">
        <v>57</v>
      </c>
      <c r="D3" s="1" t="s">
        <v>58</v>
      </c>
      <c r="E3" s="1" t="s">
        <v>59</v>
      </c>
      <c r="F3" s="1" t="s">
        <v>60</v>
      </c>
      <c r="G3" s="1" t="s">
        <v>61</v>
      </c>
      <c r="H3" s="1" t="s">
        <v>62</v>
      </c>
      <c r="I3" s="1" t="s">
        <v>63</v>
      </c>
    </row>
    <row r="4" customFormat="false" ht="15" hidden="false" customHeight="false" outlineLevel="0" collapsed="false">
      <c r="A4" s="7" t="s">
        <v>64</v>
      </c>
      <c r="B4" s="7" t="s">
        <v>65</v>
      </c>
      <c r="C4" s="7" t="s">
        <v>2</v>
      </c>
      <c r="D4" s="7" t="s">
        <v>66</v>
      </c>
      <c r="E4" s="22" t="n">
        <v>-0.556970128853978</v>
      </c>
      <c r="F4" s="22" t="n">
        <v>0.151418221611061</v>
      </c>
      <c r="G4" s="23" t="n">
        <v>19</v>
      </c>
      <c r="H4" s="24" t="n">
        <f aca="false">IF(F4&gt;0,E4/F4,"")</f>
        <v>-3.67835603223921</v>
      </c>
      <c r="I4" s="24" t="n">
        <f aca="false">IF(H4="","",TDIST(ABS(H4),G4-1,2))</f>
        <v>0.00171957647915605</v>
      </c>
    </row>
    <row r="5" customFormat="false" ht="15" hidden="false" customHeight="false" outlineLevel="0" collapsed="false">
      <c r="A5" s="7" t="s">
        <v>64</v>
      </c>
      <c r="B5" s="7" t="s">
        <v>65</v>
      </c>
      <c r="C5" s="7" t="s">
        <v>3</v>
      </c>
      <c r="D5" s="7" t="s">
        <v>66</v>
      </c>
      <c r="E5" s="22" t="n">
        <v>-0.582325183586496</v>
      </c>
      <c r="F5" s="22" t="n">
        <v>0.18629979837381</v>
      </c>
      <c r="G5" s="23" t="n">
        <v>19</v>
      </c>
      <c r="H5" s="24" t="n">
        <f aca="false">IF(F5&gt;0,E5/F5,"")</f>
        <v>-3.12574242521757</v>
      </c>
      <c r="I5" s="24" t="n">
        <f aca="false">IF(H5="","",TDIST(ABS(H5),G5-1,2))</f>
        <v>0.00584075673311107</v>
      </c>
    </row>
    <row r="6" customFormat="false" ht="15" hidden="false" customHeight="false" outlineLevel="0" collapsed="false">
      <c r="A6" s="7" t="s">
        <v>64</v>
      </c>
      <c r="B6" s="7" t="s">
        <v>65</v>
      </c>
      <c r="C6" s="7" t="s">
        <v>4</v>
      </c>
      <c r="D6" s="7" t="s">
        <v>66</v>
      </c>
      <c r="E6" s="22" t="n">
        <v>-0.640763115495849</v>
      </c>
      <c r="F6" s="22" t="n">
        <v>0.290379989745637</v>
      </c>
      <c r="G6" s="23" t="n">
        <v>19</v>
      </c>
      <c r="H6" s="24" t="n">
        <f aca="false">IF(F6&gt;0,E6/F6,"")</f>
        <v>-2.20663660762966</v>
      </c>
      <c r="I6" s="24" t="n">
        <f aca="false">IF(H6="","",TDIST(ABS(H6),G6-1,2))</f>
        <v>0.0405682102179361</v>
      </c>
    </row>
    <row r="7" customFormat="false" ht="15" hidden="false" customHeight="false" outlineLevel="0" collapsed="false">
      <c r="A7" s="7" t="s">
        <v>64</v>
      </c>
      <c r="B7" s="7" t="s">
        <v>65</v>
      </c>
      <c r="C7" s="7" t="s">
        <v>5</v>
      </c>
      <c r="D7" s="7" t="s">
        <v>66</v>
      </c>
      <c r="E7" s="22" t="n">
        <v>-0.69792191317879</v>
      </c>
      <c r="F7" s="22" t="n">
        <v>0.293738442045888</v>
      </c>
      <c r="G7" s="23" t="n">
        <v>19</v>
      </c>
      <c r="H7" s="24" t="n">
        <f aca="false">IF(F7&gt;0,E7/F7,"")</f>
        <v>-2.37599787184056</v>
      </c>
      <c r="I7" s="24" t="n">
        <f aca="false">IF(H7="","",TDIST(ABS(H7),G7-1,2))</f>
        <v>0.0288095820574215</v>
      </c>
    </row>
    <row r="8" customFormat="false" ht="15" hidden="false" customHeight="false" outlineLevel="0" collapsed="false">
      <c r="A8" s="7" t="s">
        <v>64</v>
      </c>
      <c r="B8" s="7" t="s">
        <v>65</v>
      </c>
      <c r="C8" s="7" t="s">
        <v>6</v>
      </c>
      <c r="D8" s="7" t="s">
        <v>66</v>
      </c>
      <c r="E8" s="22" t="n">
        <v>-0.474523744857271</v>
      </c>
      <c r="F8" s="22" t="n">
        <v>0.226399807940325</v>
      </c>
      <c r="G8" s="23" t="n">
        <v>19</v>
      </c>
      <c r="H8" s="24" t="n">
        <f aca="false">IF(F8&gt;0,E8/F8,"")</f>
        <v>-2.09595471468927</v>
      </c>
      <c r="I8" s="24" t="n">
        <f aca="false">IF(H8="","",TDIST(ABS(H8),G8-1,2))</f>
        <v>0.0504888025854171</v>
      </c>
    </row>
    <row r="9" customFormat="false" ht="15" hidden="false" customHeight="false" outlineLevel="0" collapsed="false">
      <c r="A9" s="7" t="s">
        <v>64</v>
      </c>
      <c r="B9" s="7" t="s">
        <v>65</v>
      </c>
      <c r="C9" s="7" t="s">
        <v>7</v>
      </c>
      <c r="D9" s="7" t="s">
        <v>66</v>
      </c>
      <c r="E9" s="22" t="n">
        <v>-0.508346162347472</v>
      </c>
      <c r="F9" s="22" t="n">
        <v>0.182691603391415</v>
      </c>
      <c r="G9" s="23" t="n">
        <v>19</v>
      </c>
      <c r="H9" s="24" t="n">
        <f aca="false">IF(F9&gt;0,E9/F9,"")</f>
        <v>-2.78253708933927</v>
      </c>
      <c r="I9" s="24" t="n">
        <f aca="false">IF(H9="","",TDIST(ABS(H9),G9-1,2))</f>
        <v>0.0122877085969546</v>
      </c>
    </row>
    <row r="10" customFormat="false" ht="15" hidden="false" customHeight="false" outlineLevel="0" collapsed="false">
      <c r="A10" s="7" t="s">
        <v>64</v>
      </c>
      <c r="B10" s="7" t="s">
        <v>67</v>
      </c>
      <c r="C10" s="7" t="s">
        <v>2</v>
      </c>
      <c r="D10" s="7" t="s">
        <v>66</v>
      </c>
      <c r="E10" s="22" t="n">
        <v>-0.565849294174528</v>
      </c>
      <c r="F10" s="22" t="n">
        <v>0.173316571136834</v>
      </c>
      <c r="G10" s="23" t="n">
        <v>19</v>
      </c>
      <c r="H10" s="24" t="n">
        <f aca="false">IF(F10&gt;0,E10/F10,"")</f>
        <v>-3.26483088410391</v>
      </c>
      <c r="I10" s="24" t="n">
        <f aca="false">IF(H10="","",TDIST(ABS(H10),G10-1,2))</f>
        <v>0.00430246936490048</v>
      </c>
    </row>
    <row r="11" customFormat="false" ht="15" hidden="false" customHeight="false" outlineLevel="0" collapsed="false">
      <c r="A11" s="7" t="s">
        <v>64</v>
      </c>
      <c r="B11" s="7" t="s">
        <v>67</v>
      </c>
      <c r="C11" s="7" t="s">
        <v>3</v>
      </c>
      <c r="D11" s="7" t="s">
        <v>66</v>
      </c>
      <c r="E11" s="22" t="n">
        <v>-0.58369600283597</v>
      </c>
      <c r="F11" s="22" t="n">
        <v>0.213324836797371</v>
      </c>
      <c r="G11" s="23" t="n">
        <v>19</v>
      </c>
      <c r="H11" s="24" t="n">
        <f aca="false">IF(F11&gt;0,E11/F11,"")</f>
        <v>-2.73618398869514</v>
      </c>
      <c r="I11" s="24" t="n">
        <f aca="false">IF(H11="","",TDIST(ABS(H11),G11-1,2))</f>
        <v>0.0135661573792227</v>
      </c>
    </row>
    <row r="12" customFormat="false" ht="15" hidden="false" customHeight="false" outlineLevel="0" collapsed="false">
      <c r="A12" s="7" t="s">
        <v>64</v>
      </c>
      <c r="B12" s="7" t="s">
        <v>67</v>
      </c>
      <c r="C12" s="7" t="s">
        <v>4</v>
      </c>
      <c r="D12" s="7" t="s">
        <v>66</v>
      </c>
      <c r="E12" s="22" t="n">
        <v>-0.603617568323966</v>
      </c>
      <c r="F12" s="22" t="n">
        <v>0.292735783854339</v>
      </c>
      <c r="G12" s="23" t="n">
        <v>19</v>
      </c>
      <c r="H12" s="24" t="n">
        <f aca="false">IF(F12&gt;0,E12/F12,"")</f>
        <v>-2.06198764078776</v>
      </c>
      <c r="I12" s="24" t="n">
        <f aca="false">IF(H12="","",TDIST(ABS(H12),G12-1,2))</f>
        <v>0.0539491987627281</v>
      </c>
    </row>
    <row r="13" customFormat="false" ht="15" hidden="false" customHeight="false" outlineLevel="0" collapsed="false">
      <c r="A13" s="7" t="s">
        <v>64</v>
      </c>
      <c r="B13" s="7" t="s">
        <v>67</v>
      </c>
      <c r="C13" s="7" t="s">
        <v>5</v>
      </c>
      <c r="D13" s="7" t="s">
        <v>66</v>
      </c>
      <c r="E13" s="22" t="n">
        <v>-0.642193007103207</v>
      </c>
      <c r="F13" s="22" t="n">
        <v>0.284269769945482</v>
      </c>
      <c r="G13" s="23" t="n">
        <v>19</v>
      </c>
      <c r="H13" s="24" t="n">
        <f aca="false">IF(F13&gt;0,E13/F13,"")</f>
        <v>-2.25909707960283</v>
      </c>
      <c r="I13" s="24" t="n">
        <f aca="false">IF(H13="","",TDIST(ABS(H13),G13-1,2))</f>
        <v>0.036521229486758</v>
      </c>
    </row>
    <row r="14" customFormat="false" ht="15" hidden="false" customHeight="false" outlineLevel="0" collapsed="false">
      <c r="A14" s="7" t="s">
        <v>64</v>
      </c>
      <c r="B14" s="7" t="s">
        <v>67</v>
      </c>
      <c r="C14" s="7" t="s">
        <v>6</v>
      </c>
      <c r="D14" s="7" t="s">
        <v>66</v>
      </c>
      <c r="E14" s="22" t="n">
        <v>-0.398570562039031</v>
      </c>
      <c r="F14" s="22" t="n">
        <v>0.202374813352303</v>
      </c>
      <c r="G14" s="23" t="n">
        <v>19</v>
      </c>
      <c r="H14" s="24" t="n">
        <f aca="false">IF(F14&gt;0,E14/F14,"")</f>
        <v>-1.96946722488228</v>
      </c>
      <c r="I14" s="24" t="n">
        <f aca="false">IF(H14="","",TDIST(ABS(H14),G14-1,2))</f>
        <v>0.0644876598821201</v>
      </c>
    </row>
    <row r="15" customFormat="false" ht="15" hidden="false" customHeight="false" outlineLevel="0" collapsed="false">
      <c r="A15" s="7" t="s">
        <v>64</v>
      </c>
      <c r="B15" s="7" t="s">
        <v>67</v>
      </c>
      <c r="C15" s="7" t="s">
        <v>7</v>
      </c>
      <c r="D15" s="7" t="s">
        <v>66</v>
      </c>
      <c r="E15" s="22" t="n">
        <v>-0.505872512422349</v>
      </c>
      <c r="F15" s="22" t="n">
        <v>0.215230587221386</v>
      </c>
      <c r="G15" s="23" t="n">
        <v>19</v>
      </c>
      <c r="H15" s="24" t="n">
        <f aca="false">IF(F15&gt;0,E15/F15,"")</f>
        <v>-2.35037463286763</v>
      </c>
      <c r="I15" s="24" t="n">
        <f aca="false">IF(H15="","",TDIST(ABS(H15),G15-1,2))</f>
        <v>0.0303573028682713</v>
      </c>
    </row>
    <row r="16" customFormat="false" ht="15" hidden="false" customHeight="false" outlineLevel="0" collapsed="false">
      <c r="A16" s="7" t="s">
        <v>64</v>
      </c>
      <c r="B16" s="7" t="s">
        <v>68</v>
      </c>
      <c r="C16" s="7" t="s">
        <v>2</v>
      </c>
      <c r="D16" s="7" t="s">
        <v>66</v>
      </c>
      <c r="E16" s="22" t="n">
        <v>-0.385370759637945</v>
      </c>
      <c r="F16" s="22" t="n">
        <v>0.156841814903703</v>
      </c>
      <c r="G16" s="23" t="n">
        <v>19</v>
      </c>
      <c r="H16" s="24" t="n">
        <f aca="false">IF(F16&gt;0,E16/F16,"")</f>
        <v>-2.45706643903957</v>
      </c>
      <c r="I16" s="24" t="n">
        <f aca="false">IF(H16="","",TDIST(ABS(H16),G16-1,2))</f>
        <v>0.0243847145712003</v>
      </c>
    </row>
    <row r="17" customFormat="false" ht="15" hidden="false" customHeight="false" outlineLevel="0" collapsed="false">
      <c r="A17" s="7" t="s">
        <v>64</v>
      </c>
      <c r="B17" s="7" t="s">
        <v>68</v>
      </c>
      <c r="C17" s="7" t="s">
        <v>3</v>
      </c>
      <c r="D17" s="7" t="s">
        <v>66</v>
      </c>
      <c r="E17" s="22" t="n">
        <v>-0.491373057903354</v>
      </c>
      <c r="F17" s="22" t="n">
        <v>0.118300628428849</v>
      </c>
      <c r="G17" s="23" t="n">
        <v>19</v>
      </c>
      <c r="H17" s="24" t="n">
        <f aca="false">IF(F17&gt;0,E17/F17,"")</f>
        <v>-4.15359634542337</v>
      </c>
      <c r="I17" s="24" t="n">
        <f aca="false">IF(H17="","",TDIST(ABS(H17),G17-1,2))</f>
        <v>0.000596684215074408</v>
      </c>
    </row>
    <row r="18" customFormat="false" ht="15" hidden="false" customHeight="false" outlineLevel="0" collapsed="false">
      <c r="A18" s="7" t="s">
        <v>64</v>
      </c>
      <c r="B18" s="7" t="s">
        <v>68</v>
      </c>
      <c r="C18" s="7" t="s">
        <v>4</v>
      </c>
      <c r="D18" s="7" t="s">
        <v>66</v>
      </c>
      <c r="E18" s="22" t="n">
        <v>-0.37306686983076</v>
      </c>
      <c r="F18" s="22" t="n">
        <v>0.167668655283197</v>
      </c>
      <c r="G18" s="23" t="n">
        <v>19</v>
      </c>
      <c r="H18" s="24" t="n">
        <f aca="false">IF(F18&gt;0,E18/F18,"")</f>
        <v>-2.22502452352016</v>
      </c>
      <c r="I18" s="24" t="n">
        <f aca="false">IF(H18="","",TDIST(ABS(H18),G18-1,2))</f>
        <v>0.0391049246194761</v>
      </c>
    </row>
    <row r="19" customFormat="false" ht="15" hidden="false" customHeight="false" outlineLevel="0" collapsed="false">
      <c r="A19" s="7" t="s">
        <v>64</v>
      </c>
      <c r="B19" s="7" t="s">
        <v>68</v>
      </c>
      <c r="C19" s="7" t="s">
        <v>5</v>
      </c>
      <c r="D19" s="7" t="s">
        <v>66</v>
      </c>
      <c r="E19" s="22" t="n">
        <v>-0.411441281849598</v>
      </c>
      <c r="F19" s="22" t="n">
        <v>0.191635803827689</v>
      </c>
      <c r="G19" s="23" t="n">
        <v>19</v>
      </c>
      <c r="H19" s="24" t="n">
        <f aca="false">IF(F19&gt;0,E19/F19,"")</f>
        <v>-2.14699588297994</v>
      </c>
      <c r="I19" s="24" t="n">
        <f aca="false">IF(H19="","",TDIST(ABS(H19),G19-1,2))</f>
        <v>0.0456671756972536</v>
      </c>
    </row>
    <row r="20" customFormat="false" ht="15" hidden="false" customHeight="false" outlineLevel="0" collapsed="false">
      <c r="A20" s="7" t="s">
        <v>64</v>
      </c>
      <c r="B20" s="7" t="s">
        <v>68</v>
      </c>
      <c r="C20" s="7" t="s">
        <v>6</v>
      </c>
      <c r="D20" s="7" t="s">
        <v>66</v>
      </c>
      <c r="E20" s="22" t="n">
        <v>-0.384393195590659</v>
      </c>
      <c r="F20" s="22" t="n">
        <v>0.209076687437065</v>
      </c>
      <c r="G20" s="23" t="n">
        <v>19</v>
      </c>
      <c r="H20" s="24" t="n">
        <f aca="false">IF(F20&gt;0,E20/F20,"")</f>
        <v>-1.83852729016651</v>
      </c>
      <c r="I20" s="24" t="n">
        <f aca="false">IF(H20="","",TDIST(ABS(H20),G20-1,2))</f>
        <v>0.0825442670945184</v>
      </c>
    </row>
    <row r="21" customFormat="false" ht="15" hidden="false" customHeight="false" outlineLevel="0" collapsed="false">
      <c r="A21" s="7" t="s">
        <v>64</v>
      </c>
      <c r="B21" s="7" t="s">
        <v>68</v>
      </c>
      <c r="C21" s="7" t="s">
        <v>7</v>
      </c>
      <c r="D21" s="7" t="s">
        <v>66</v>
      </c>
      <c r="E21" s="22" t="n">
        <v>-0.440661429872031</v>
      </c>
      <c r="F21" s="22" t="n">
        <v>0.186580065475634</v>
      </c>
      <c r="G21" s="23" t="n">
        <v>19</v>
      </c>
      <c r="H21" s="24" t="n">
        <f aca="false">IF(F21&gt;0,E21/F21,"")</f>
        <v>-2.36178194465034</v>
      </c>
      <c r="I21" s="24" t="n">
        <f aca="false">IF(H21="","",TDIST(ABS(H21),G21-1,2))</f>
        <v>0.0296589359269055</v>
      </c>
    </row>
    <row r="22" customFormat="false" ht="15" hidden="false" customHeight="false" outlineLevel="0" collapsed="false">
      <c r="A22" s="7" t="s">
        <v>64</v>
      </c>
      <c r="B22" s="7" t="s">
        <v>69</v>
      </c>
      <c r="C22" s="7" t="s">
        <v>2</v>
      </c>
      <c r="D22" s="7" t="s">
        <v>66</v>
      </c>
      <c r="E22" s="22" t="n">
        <v>-0.36608363820204</v>
      </c>
      <c r="F22" s="22" t="n">
        <v>0.160957511755107</v>
      </c>
      <c r="G22" s="23" t="n">
        <v>19</v>
      </c>
      <c r="H22" s="24" t="n">
        <f aca="false">IF(F22&gt;0,E22/F22,"")</f>
        <v>-2.27441163950787</v>
      </c>
      <c r="I22" s="24" t="n">
        <f aca="false">IF(H22="","",TDIST(ABS(H22),G22-1,2))</f>
        <v>0.035412078041356</v>
      </c>
    </row>
    <row r="23" customFormat="false" ht="15" hidden="false" customHeight="false" outlineLevel="0" collapsed="false">
      <c r="A23" s="7" t="s">
        <v>64</v>
      </c>
      <c r="B23" s="7" t="s">
        <v>69</v>
      </c>
      <c r="C23" s="7" t="s">
        <v>3</v>
      </c>
      <c r="D23" s="7" t="s">
        <v>66</v>
      </c>
      <c r="E23" s="22" t="n">
        <v>-0.461513445400508</v>
      </c>
      <c r="F23" s="22" t="n">
        <v>0.118114377091992</v>
      </c>
      <c r="G23" s="23" t="n">
        <v>19</v>
      </c>
      <c r="H23" s="24" t="n">
        <f aca="false">IF(F23&gt;0,E23/F23,"")</f>
        <v>-3.9073435153543</v>
      </c>
      <c r="I23" s="24" t="n">
        <f aca="false">IF(H23="","",TDIST(ABS(H23),G23-1,2))</f>
        <v>0.00103238339679399</v>
      </c>
    </row>
    <row r="24" customFormat="false" ht="15" hidden="false" customHeight="false" outlineLevel="0" collapsed="false">
      <c r="A24" s="7" t="s">
        <v>64</v>
      </c>
      <c r="B24" s="7" t="s">
        <v>69</v>
      </c>
      <c r="C24" s="7" t="s">
        <v>4</v>
      </c>
      <c r="D24" s="7" t="s">
        <v>66</v>
      </c>
      <c r="E24" s="22" t="n">
        <v>-0.363973922841866</v>
      </c>
      <c r="F24" s="22" t="n">
        <v>0.161883645635577</v>
      </c>
      <c r="G24" s="23" t="n">
        <v>19</v>
      </c>
      <c r="H24" s="24" t="n">
        <f aca="false">IF(F24&gt;0,E24/F24,"")</f>
        <v>-2.24836747043134</v>
      </c>
      <c r="I24" s="24" t="n">
        <f aca="false">IF(H24="","",TDIST(ABS(H24),G24-1,2))</f>
        <v>0.0373173403513548</v>
      </c>
    </row>
    <row r="25" customFormat="false" ht="15" hidden="false" customHeight="false" outlineLevel="0" collapsed="false">
      <c r="A25" s="7" t="s">
        <v>64</v>
      </c>
      <c r="B25" s="7" t="s">
        <v>69</v>
      </c>
      <c r="C25" s="7" t="s">
        <v>5</v>
      </c>
      <c r="D25" s="7" t="s">
        <v>66</v>
      </c>
      <c r="E25" s="22" t="n">
        <v>-0.387587771011477</v>
      </c>
      <c r="F25" s="22" t="n">
        <v>0.185144671149296</v>
      </c>
      <c r="G25" s="23" t="n">
        <v>19</v>
      </c>
      <c r="H25" s="24" t="n">
        <f aca="false">IF(F25&gt;0,E25/F25,"")</f>
        <v>-2.09343195569985</v>
      </c>
      <c r="I25" s="24" t="n">
        <f aca="false">IF(H25="","",TDIST(ABS(H25),G25-1,2))</f>
        <v>0.0507387097464345</v>
      </c>
    </row>
    <row r="26" customFormat="false" ht="15" hidden="false" customHeight="false" outlineLevel="0" collapsed="false">
      <c r="A26" s="7" t="s">
        <v>64</v>
      </c>
      <c r="B26" s="7" t="s">
        <v>69</v>
      </c>
      <c r="C26" s="7" t="s">
        <v>6</v>
      </c>
      <c r="D26" s="7" t="s">
        <v>66</v>
      </c>
      <c r="E26" s="22" t="n">
        <v>-0.354688000985533</v>
      </c>
      <c r="F26" s="22" t="n">
        <v>0.20610310238336</v>
      </c>
      <c r="G26" s="23" t="n">
        <v>19</v>
      </c>
      <c r="H26" s="24" t="n">
        <f aca="false">IF(F26&gt;0,E26/F26,"")</f>
        <v>-1.72092509469265</v>
      </c>
      <c r="I26" s="24" t="n">
        <f aca="false">IF(H26="","",TDIST(ABS(H26),G26-1,2))</f>
        <v>0.102407502237352</v>
      </c>
    </row>
    <row r="27" customFormat="false" ht="15" hidden="false" customHeight="false" outlineLevel="0" collapsed="false">
      <c r="A27" s="7" t="s">
        <v>64</v>
      </c>
      <c r="B27" s="7" t="s">
        <v>69</v>
      </c>
      <c r="C27" s="7" t="s">
        <v>7</v>
      </c>
      <c r="D27" s="7" t="s">
        <v>66</v>
      </c>
      <c r="E27" s="22" t="n">
        <v>-0.414471419496095</v>
      </c>
      <c r="F27" s="22" t="n">
        <v>0.186861997023528</v>
      </c>
      <c r="G27" s="23" t="n">
        <v>19</v>
      </c>
      <c r="H27" s="24" t="n">
        <f aca="false">IF(F27&gt;0,E27/F27,"")</f>
        <v>-2.21806159678316</v>
      </c>
      <c r="I27" s="24" t="n">
        <f aca="false">IF(H27="","",TDIST(ABS(H27),G27-1,2))</f>
        <v>0.0396532151936173</v>
      </c>
    </row>
    <row r="28" customFormat="false" ht="15" hidden="false" customHeight="false" outlineLevel="0" collapsed="false">
      <c r="A28" s="7" t="s">
        <v>64</v>
      </c>
      <c r="B28" s="7" t="s">
        <v>70</v>
      </c>
      <c r="C28" s="7" t="s">
        <v>2</v>
      </c>
      <c r="D28" s="7" t="s">
        <v>66</v>
      </c>
      <c r="E28" s="22" t="n">
        <v>-0.393156900896232</v>
      </c>
      <c r="F28" s="22" t="n">
        <v>0.157708451768736</v>
      </c>
      <c r="G28" s="23" t="n">
        <v>19</v>
      </c>
      <c r="H28" s="24" t="n">
        <f aca="false">IF(F28&gt;0,E28/F28,"")</f>
        <v>-2.49293488387521</v>
      </c>
      <c r="I28" s="24" t="n">
        <f aca="false">IF(H28="","",TDIST(ABS(H28),G28-1,2))</f>
        <v>0.0226379070740412</v>
      </c>
    </row>
    <row r="29" customFormat="false" ht="15" hidden="false" customHeight="false" outlineLevel="0" collapsed="false">
      <c r="A29" s="7" t="s">
        <v>64</v>
      </c>
      <c r="B29" s="7" t="s">
        <v>70</v>
      </c>
      <c r="C29" s="7" t="s">
        <v>3</v>
      </c>
      <c r="D29" s="7" t="s">
        <v>66</v>
      </c>
      <c r="E29" s="22" t="n">
        <v>-0.434075836399544</v>
      </c>
      <c r="F29" s="22" t="n">
        <v>0.105410977916435</v>
      </c>
      <c r="G29" s="23" t="n">
        <v>19</v>
      </c>
      <c r="H29" s="24" t="n">
        <f aca="false">IF(F29&gt;0,E29/F29,"")</f>
        <v>-4.11793766626149</v>
      </c>
      <c r="I29" s="24" t="n">
        <f aca="false">IF(H29="","",TDIST(ABS(H29),G29-1,2))</f>
        <v>0.000645925083584212</v>
      </c>
    </row>
    <row r="30" customFormat="false" ht="15" hidden="false" customHeight="false" outlineLevel="0" collapsed="false">
      <c r="A30" s="7" t="s">
        <v>64</v>
      </c>
      <c r="B30" s="7" t="s">
        <v>70</v>
      </c>
      <c r="C30" s="7" t="s">
        <v>4</v>
      </c>
      <c r="D30" s="7" t="s">
        <v>66</v>
      </c>
      <c r="E30" s="22" t="n">
        <v>-0.318822917428424</v>
      </c>
      <c r="F30" s="22" t="n">
        <v>0.166071487152509</v>
      </c>
      <c r="G30" s="23" t="n">
        <v>19</v>
      </c>
      <c r="H30" s="24" t="n">
        <f aca="false">IF(F30&gt;0,E30/F30,"")</f>
        <v>-1.91979323419702</v>
      </c>
      <c r="I30" s="24" t="n">
        <f aca="false">IF(H30="","",TDIST(ABS(H30),G30-1,2))</f>
        <v>0.0708759082502851</v>
      </c>
    </row>
    <row r="31" customFormat="false" ht="15" hidden="false" customHeight="false" outlineLevel="0" collapsed="false">
      <c r="A31" s="7" t="s">
        <v>64</v>
      </c>
      <c r="B31" s="7" t="s">
        <v>70</v>
      </c>
      <c r="C31" s="7" t="s">
        <v>5</v>
      </c>
      <c r="D31" s="7" t="s">
        <v>66</v>
      </c>
      <c r="E31" s="22" t="n">
        <v>-0.333186779111117</v>
      </c>
      <c r="F31" s="22" t="n">
        <v>0.156813610430477</v>
      </c>
      <c r="G31" s="23" t="n">
        <v>19</v>
      </c>
      <c r="H31" s="24" t="n">
        <f aca="false">IF(F31&gt;0,E31/F31,"")</f>
        <v>-2.1247312538527</v>
      </c>
      <c r="I31" s="24" t="n">
        <f aca="false">IF(H31="","",TDIST(ABS(H31),G31-1,2))</f>
        <v>0.047716302310565</v>
      </c>
    </row>
    <row r="32" customFormat="false" ht="15" hidden="false" customHeight="false" outlineLevel="0" collapsed="false">
      <c r="A32" s="7" t="s">
        <v>64</v>
      </c>
      <c r="B32" s="7" t="s">
        <v>70</v>
      </c>
      <c r="C32" s="7" t="s">
        <v>6</v>
      </c>
      <c r="D32" s="7" t="s">
        <v>66</v>
      </c>
      <c r="E32" s="22" t="n">
        <v>-0.379656656623057</v>
      </c>
      <c r="F32" s="22" t="n">
        <v>0.197801233813328</v>
      </c>
      <c r="G32" s="23" t="n">
        <v>19</v>
      </c>
      <c r="H32" s="24" t="n">
        <f aca="false">IF(F32&gt;0,E32/F32,"")</f>
        <v>-1.91938467371418</v>
      </c>
      <c r="I32" s="24" t="n">
        <f aca="false">IF(H32="","",TDIST(ABS(H32),G32-1,2))</f>
        <v>0.0709307076511832</v>
      </c>
    </row>
    <row r="33" customFormat="false" ht="15" hidden="false" customHeight="false" outlineLevel="0" collapsed="false">
      <c r="A33" s="7" t="s">
        <v>64</v>
      </c>
      <c r="B33" s="7" t="s">
        <v>70</v>
      </c>
      <c r="C33" s="7" t="s">
        <v>7</v>
      </c>
      <c r="D33" s="7" t="s">
        <v>66</v>
      </c>
      <c r="E33" s="22" t="n">
        <v>-0.42391614176869</v>
      </c>
      <c r="F33" s="22" t="n">
        <v>0.175153672898041</v>
      </c>
      <c r="G33" s="23" t="n">
        <v>19</v>
      </c>
      <c r="H33" s="24" t="n">
        <f aca="false">IF(F33&gt;0,E33/F33,"")</f>
        <v>-2.42025265445308</v>
      </c>
      <c r="I33" s="24" t="n">
        <f aca="false">IF(H33="","",TDIST(ABS(H33),G33-1,2))</f>
        <v>0.0263086769418776</v>
      </c>
    </row>
    <row r="34" customFormat="false" ht="15" hidden="false" customHeight="false" outlineLevel="0" collapsed="false">
      <c r="A34" s="7" t="s">
        <v>71</v>
      </c>
      <c r="B34" s="7" t="s">
        <v>65</v>
      </c>
      <c r="C34" s="7" t="s">
        <v>72</v>
      </c>
      <c r="D34" s="7" t="s">
        <v>10</v>
      </c>
      <c r="E34" s="22" t="n">
        <v>-0.454770763383101</v>
      </c>
      <c r="F34" s="22" t="n">
        <v>0.26413184249234</v>
      </c>
      <c r="G34" s="23" t="n">
        <v>19</v>
      </c>
      <c r="H34" s="24" t="n">
        <f aca="false">IF(F34&gt;0,E34/F34,"")</f>
        <v>-1.7217566768622</v>
      </c>
      <c r="I34" s="24" t="n">
        <f aca="false">IF(H34="","",TDIST(ABS(H34),G34-1,2))</f>
        <v>0.10225365319207</v>
      </c>
    </row>
    <row r="35" customFormat="false" ht="15" hidden="false" customHeight="false" outlineLevel="0" collapsed="false">
      <c r="A35" s="7" t="s">
        <v>71</v>
      </c>
      <c r="B35" s="7" t="s">
        <v>65</v>
      </c>
      <c r="C35" s="7" t="s">
        <v>73</v>
      </c>
      <c r="D35" s="7" t="s">
        <v>10</v>
      </c>
      <c r="E35" s="22" t="n">
        <v>-0.222645450349104</v>
      </c>
      <c r="F35" s="22" t="n">
        <v>0.190639618543759</v>
      </c>
      <c r="G35" s="23" t="n">
        <v>19</v>
      </c>
      <c r="H35" s="24" t="n">
        <f aca="false">IF(F35&gt;0,E35/F35,"")</f>
        <v>-1.16788657074446</v>
      </c>
      <c r="I35" s="24" t="n">
        <f aca="false">IF(H35="","",TDIST(ABS(H35),G35-1,2))</f>
        <v>0.258089857085776</v>
      </c>
    </row>
    <row r="36" customFormat="false" ht="15" hidden="false" customHeight="false" outlineLevel="0" collapsed="false">
      <c r="A36" s="7" t="s">
        <v>71</v>
      </c>
      <c r="B36" s="7" t="s">
        <v>65</v>
      </c>
      <c r="C36" s="7" t="s">
        <v>74</v>
      </c>
      <c r="D36" s="7" t="s">
        <v>10</v>
      </c>
      <c r="E36" s="22" t="n">
        <v>-0.792340486985531</v>
      </c>
      <c r="F36" s="22" t="n">
        <v>0.24782432991163</v>
      </c>
      <c r="G36" s="23" t="n">
        <v>19</v>
      </c>
      <c r="H36" s="24" t="n">
        <f aca="false">IF(F36&gt;0,E36/F36,"")</f>
        <v>-3.19718603604443</v>
      </c>
      <c r="I36" s="24" t="n">
        <f aca="false">IF(H36="","",TDIST(ABS(H36),G36-1,2))</f>
        <v>0.00499328073819655</v>
      </c>
    </row>
    <row r="37" customFormat="false" ht="15" hidden="false" customHeight="false" outlineLevel="0" collapsed="false">
      <c r="A37" s="7" t="s">
        <v>71</v>
      </c>
      <c r="B37" s="7" t="s">
        <v>65</v>
      </c>
      <c r="C37" s="7" t="s">
        <v>75</v>
      </c>
      <c r="D37" s="7" t="s">
        <v>10</v>
      </c>
      <c r="E37" s="22" t="n">
        <v>-0.711653887639306</v>
      </c>
      <c r="F37" s="22" t="n">
        <v>0.21307583155506</v>
      </c>
      <c r="G37" s="23" t="n">
        <v>19</v>
      </c>
      <c r="H37" s="24" t="n">
        <f aca="false">IF(F37&gt;0,E37/F37,"")</f>
        <v>-3.33990900068557</v>
      </c>
      <c r="I37" s="24" t="n">
        <f aca="false">IF(H37="","",TDIST(ABS(H37),G37-1,2))</f>
        <v>0.00364535367163368</v>
      </c>
    </row>
    <row r="38" customFormat="false" ht="15" hidden="false" customHeight="false" outlineLevel="0" collapsed="false">
      <c r="A38" s="7" t="s">
        <v>71</v>
      </c>
      <c r="B38" s="7" t="s">
        <v>65</v>
      </c>
      <c r="C38" s="7" t="s">
        <v>76</v>
      </c>
      <c r="D38" s="7" t="s">
        <v>10</v>
      </c>
      <c r="E38" s="22" t="n">
        <v>-0.42397863606022</v>
      </c>
      <c r="F38" s="22" t="n">
        <v>0.200456491136622</v>
      </c>
      <c r="G38" s="23" t="n">
        <v>19</v>
      </c>
      <c r="H38" s="24" t="n">
        <f aca="false">IF(F38&gt;0,E38/F38,"")</f>
        <v>-2.11506563671842</v>
      </c>
      <c r="I38" s="24" t="n">
        <f aca="false">IF(H38="","",TDIST(ABS(H38),G38-1,2))</f>
        <v>0.0486316925587052</v>
      </c>
    </row>
    <row r="39" customFormat="false" ht="15" hidden="false" customHeight="false" outlineLevel="0" collapsed="false">
      <c r="A39" s="7" t="s">
        <v>71</v>
      </c>
      <c r="B39" s="7" t="s">
        <v>65</v>
      </c>
      <c r="C39" s="7" t="s">
        <v>77</v>
      </c>
      <c r="D39" s="7" t="s">
        <v>10</v>
      </c>
      <c r="E39" s="22" t="n">
        <v>-0.433034622059763</v>
      </c>
      <c r="F39" s="22" t="n">
        <v>0.169355114493677</v>
      </c>
      <c r="G39" s="23" t="n">
        <v>19</v>
      </c>
      <c r="H39" s="24" t="n">
        <f aca="false">IF(F39&gt;0,E39/F39,"")</f>
        <v>-2.5569621759249</v>
      </c>
      <c r="I39" s="24" t="n">
        <f aca="false">IF(H39="","",TDIST(ABS(H39),G39-1,2))</f>
        <v>0.0198091919931554</v>
      </c>
    </row>
    <row r="40" customFormat="false" ht="15" hidden="false" customHeight="false" outlineLevel="0" collapsed="false">
      <c r="A40" s="7" t="s">
        <v>71</v>
      </c>
      <c r="B40" s="7" t="s">
        <v>65</v>
      </c>
      <c r="C40" s="7" t="s">
        <v>78</v>
      </c>
      <c r="D40" s="7" t="s">
        <v>10</v>
      </c>
      <c r="E40" s="22" t="n">
        <v>-0.355483422512226</v>
      </c>
      <c r="F40" s="22" t="n">
        <v>0.142391202350364</v>
      </c>
      <c r="G40" s="23" t="n">
        <v>19</v>
      </c>
      <c r="H40" s="24" t="n">
        <f aca="false">IF(F40&gt;0,E40/F40,"")</f>
        <v>-2.49652658762956</v>
      </c>
      <c r="I40" s="24" t="n">
        <f aca="false">IF(H40="","",TDIST(ABS(H40),G40-1,2))</f>
        <v>0.0224696319171611</v>
      </c>
    </row>
    <row r="41" customFormat="false" ht="15" hidden="false" customHeight="false" outlineLevel="0" collapsed="false">
      <c r="A41" s="7" t="s">
        <v>71</v>
      </c>
      <c r="B41" s="7" t="s">
        <v>65</v>
      </c>
      <c r="C41" s="7" t="s">
        <v>79</v>
      </c>
      <c r="D41" s="7" t="s">
        <v>10</v>
      </c>
      <c r="E41" s="22" t="n">
        <v>-0.455666700298996</v>
      </c>
      <c r="F41" s="22" t="n">
        <v>0.125524274012607</v>
      </c>
      <c r="G41" s="23" t="n">
        <v>19</v>
      </c>
      <c r="H41" s="24" t="n">
        <f aca="false">IF(F41&gt;0,E41/F41,"")</f>
        <v>-3.63010823112374</v>
      </c>
      <c r="I41" s="24" t="n">
        <f aca="false">IF(H41="","",TDIST(ABS(H41),G41-1,2))</f>
        <v>0.00191454954337583</v>
      </c>
    </row>
    <row r="42" customFormat="false" ht="15" hidden="false" customHeight="false" outlineLevel="0" collapsed="false">
      <c r="A42" s="7" t="s">
        <v>71</v>
      </c>
      <c r="B42" s="7" t="s">
        <v>65</v>
      </c>
      <c r="C42" s="7" t="s">
        <v>80</v>
      </c>
      <c r="D42" s="7" t="s">
        <v>10</v>
      </c>
      <c r="E42" s="22" t="n">
        <v>-0.328589713610827</v>
      </c>
      <c r="F42" s="22" t="n">
        <v>0.146369354269987</v>
      </c>
      <c r="G42" s="23" t="n">
        <v>19</v>
      </c>
      <c r="H42" s="24" t="n">
        <f aca="false">IF(F42&gt;0,E42/F42,"")</f>
        <v>-2.24493518639649</v>
      </c>
      <c r="I42" s="24" t="n">
        <f aca="false">IF(H42="","",TDIST(ABS(H42),G42-1,2))</f>
        <v>0.0375753690191536</v>
      </c>
    </row>
    <row r="43" customFormat="false" ht="15" hidden="false" customHeight="false" outlineLevel="0" collapsed="false">
      <c r="A43" s="7" t="s">
        <v>71</v>
      </c>
      <c r="B43" s="7" t="s">
        <v>65</v>
      </c>
      <c r="C43" s="7" t="s">
        <v>72</v>
      </c>
      <c r="D43" s="7" t="s">
        <v>40</v>
      </c>
      <c r="E43" s="22" t="n">
        <v>-0.218577688729326</v>
      </c>
      <c r="F43" s="22" t="n">
        <v>0.2972846536566</v>
      </c>
      <c r="G43" s="23" t="n">
        <v>19</v>
      </c>
      <c r="H43" s="24" t="n">
        <f aca="false">IF(F43&gt;0,E43/F43,"")</f>
        <v>-0.735247131127763</v>
      </c>
      <c r="I43" s="24" t="n">
        <f aca="false">IF(H43="","",TDIST(ABS(H43),G43-1,2))</f>
        <v>0.471661091402745</v>
      </c>
    </row>
    <row r="44" customFormat="false" ht="15" hidden="false" customHeight="false" outlineLevel="0" collapsed="false">
      <c r="A44" s="7" t="s">
        <v>71</v>
      </c>
      <c r="B44" s="7" t="s">
        <v>65</v>
      </c>
      <c r="C44" s="7" t="s">
        <v>73</v>
      </c>
      <c r="D44" s="7" t="s">
        <v>40</v>
      </c>
      <c r="E44" s="22" t="n">
        <v>-0.763206148350397</v>
      </c>
      <c r="F44" s="22" t="n">
        <v>0.443099401277511</v>
      </c>
      <c r="G44" s="23" t="n">
        <v>19</v>
      </c>
      <c r="H44" s="24" t="n">
        <f aca="false">IF(F44&gt;0,E44/F44,"")</f>
        <v>-1.72242649425835</v>
      </c>
      <c r="I44" s="24" t="n">
        <f aca="false">IF(H44="","",TDIST(ABS(H44),G44-1,2))</f>
        <v>0.102129876941188</v>
      </c>
    </row>
    <row r="45" customFormat="false" ht="15" hidden="false" customHeight="false" outlineLevel="0" collapsed="false">
      <c r="A45" s="7" t="s">
        <v>71</v>
      </c>
      <c r="B45" s="7" t="s">
        <v>65</v>
      </c>
      <c r="C45" s="7" t="s">
        <v>74</v>
      </c>
      <c r="D45" s="7" t="s">
        <v>40</v>
      </c>
      <c r="E45" s="22" t="n">
        <v>0.438214625376957</v>
      </c>
      <c r="F45" s="22" t="n">
        <v>0.320490809539513</v>
      </c>
      <c r="G45" s="23" t="n">
        <v>19</v>
      </c>
      <c r="H45" s="24" t="n">
        <f aca="false">IF(F45&gt;0,E45/F45,"")</f>
        <v>1.36732353107595</v>
      </c>
      <c r="I45" s="24" t="n">
        <f aca="false">IF(H45="","",TDIST(ABS(H45),G45-1,2))</f>
        <v>0.18835689819704</v>
      </c>
    </row>
    <row r="46" customFormat="false" ht="15" hidden="false" customHeight="false" outlineLevel="0" collapsed="false">
      <c r="A46" s="7" t="s">
        <v>71</v>
      </c>
      <c r="B46" s="7" t="s">
        <v>65</v>
      </c>
      <c r="C46" s="7" t="s">
        <v>75</v>
      </c>
      <c r="D46" s="7" t="s">
        <v>40</v>
      </c>
      <c r="E46" s="22" t="n">
        <v>0.749899641167797</v>
      </c>
      <c r="F46" s="22" t="n">
        <v>0.29039815637575</v>
      </c>
      <c r="G46" s="23" t="n">
        <v>19</v>
      </c>
      <c r="H46" s="24" t="n">
        <f aca="false">IF(F46&gt;0,E46/F46,"")</f>
        <v>2.58231543384006</v>
      </c>
      <c r="I46" s="24" t="n">
        <f aca="false">IF(H46="","",TDIST(ABS(H46),G46-1,2))</f>
        <v>0.0187842918392865</v>
      </c>
    </row>
    <row r="47" customFormat="false" ht="15" hidden="false" customHeight="false" outlineLevel="0" collapsed="false">
      <c r="A47" s="7" t="s">
        <v>71</v>
      </c>
      <c r="B47" s="7" t="s">
        <v>65</v>
      </c>
      <c r="C47" s="7" t="s">
        <v>76</v>
      </c>
      <c r="D47" s="7" t="s">
        <v>40</v>
      </c>
      <c r="E47" s="22" t="n">
        <v>-0.894581780273415</v>
      </c>
      <c r="F47" s="22" t="n">
        <v>0.408459743799866</v>
      </c>
      <c r="G47" s="23" t="n">
        <v>19</v>
      </c>
      <c r="H47" s="24" t="n">
        <f aca="false">IF(F47&gt;0,E47/F47,"")</f>
        <v>-2.19013450860836</v>
      </c>
      <c r="I47" s="24" t="n">
        <f aca="false">IF(H47="","",TDIST(ABS(H47),G47-1,2))</f>
        <v>0.0419240967877436</v>
      </c>
    </row>
    <row r="48" customFormat="false" ht="15" hidden="false" customHeight="false" outlineLevel="0" collapsed="false">
      <c r="A48" s="7" t="s">
        <v>71</v>
      </c>
      <c r="B48" s="7" t="s">
        <v>65</v>
      </c>
      <c r="C48" s="7" t="s">
        <v>77</v>
      </c>
      <c r="D48" s="7" t="s">
        <v>40</v>
      </c>
      <c r="E48" s="22" t="n">
        <v>-0.953665964678207</v>
      </c>
      <c r="F48" s="22" t="n">
        <v>0.150497605800688</v>
      </c>
      <c r="G48" s="23" t="n">
        <v>19</v>
      </c>
      <c r="H48" s="24" t="n">
        <f aca="false">IF(F48&gt;0,E48/F48,"")</f>
        <v>-6.33675173504885</v>
      </c>
      <c r="I48" s="24" t="n">
        <f aca="false">IF(H48="","",TDIST(ABS(H48),G48-1,2))</f>
        <v>5.6966588123976E-006</v>
      </c>
    </row>
    <row r="49" customFormat="false" ht="15" hidden="false" customHeight="false" outlineLevel="0" collapsed="false">
      <c r="A49" s="7" t="s">
        <v>71</v>
      </c>
      <c r="B49" s="7" t="s">
        <v>65</v>
      </c>
      <c r="C49" s="7" t="s">
        <v>78</v>
      </c>
      <c r="D49" s="7" t="s">
        <v>40</v>
      </c>
      <c r="E49" s="22" t="n">
        <v>0.522676675170328</v>
      </c>
      <c r="F49" s="22" t="n">
        <v>0.417555242171876</v>
      </c>
      <c r="G49" s="23" t="n">
        <v>19</v>
      </c>
      <c r="H49" s="24" t="n">
        <f aca="false">IF(F49&gt;0,E49/F49,"")</f>
        <v>1.25175455216817</v>
      </c>
      <c r="I49" s="24" t="n">
        <f aca="false">IF(H49="","",TDIST(ABS(H49),G49-1,2))</f>
        <v>0.226682303006746</v>
      </c>
    </row>
    <row r="50" customFormat="false" ht="15" hidden="false" customHeight="false" outlineLevel="0" collapsed="false">
      <c r="A50" s="7" t="s">
        <v>71</v>
      </c>
      <c r="B50" s="7" t="s">
        <v>65</v>
      </c>
      <c r="C50" s="7" t="s">
        <v>79</v>
      </c>
      <c r="D50" s="7" t="s">
        <v>40</v>
      </c>
      <c r="E50" s="22" t="n">
        <v>-0.0683629733794356</v>
      </c>
      <c r="F50" s="22" t="n">
        <v>0.268923968430456</v>
      </c>
      <c r="G50" s="23" t="n">
        <v>19</v>
      </c>
      <c r="H50" s="24" t="n">
        <f aca="false">IF(F50&gt;0,E50/F50,"")</f>
        <v>-0.254209298555381</v>
      </c>
      <c r="I50" s="24" t="n">
        <f aca="false">IF(H50="","",TDIST(ABS(H50),G50-1,2))</f>
        <v>0.802215171009511</v>
      </c>
    </row>
    <row r="51" customFormat="false" ht="15" hidden="false" customHeight="false" outlineLevel="0" collapsed="false">
      <c r="A51" s="7" t="s">
        <v>71</v>
      </c>
      <c r="B51" s="7" t="s">
        <v>65</v>
      </c>
      <c r="C51" s="7" t="s">
        <v>80</v>
      </c>
      <c r="D51" s="7" t="s">
        <v>40</v>
      </c>
      <c r="E51" s="22" t="n">
        <v>2.62013064902941</v>
      </c>
      <c r="F51" s="22" t="n">
        <v>1.01794929427392</v>
      </c>
      <c r="G51" s="23" t="n">
        <v>19</v>
      </c>
      <c r="H51" s="24" t="n">
        <f aca="false">IF(F51&gt;0,E51/F51,"")</f>
        <v>2.57393041457757</v>
      </c>
      <c r="I51" s="24" t="n">
        <f aca="false">IF(H51="","",TDIST(ABS(H51),G51-1,2))</f>
        <v>0.0191175626982323</v>
      </c>
    </row>
    <row r="52" customFormat="false" ht="15" hidden="false" customHeight="false" outlineLevel="0" collapsed="false">
      <c r="A52" s="7" t="s">
        <v>71</v>
      </c>
      <c r="B52" s="7" t="s">
        <v>65</v>
      </c>
      <c r="C52" s="7" t="s">
        <v>72</v>
      </c>
      <c r="D52" s="7" t="s">
        <v>41</v>
      </c>
      <c r="E52" s="22" t="n">
        <v>0.0120463404472979</v>
      </c>
      <c r="F52" s="22" t="n">
        <v>0.200394211397862</v>
      </c>
      <c r="G52" s="23" t="n">
        <v>19</v>
      </c>
      <c r="H52" s="24" t="n">
        <f aca="false">IF(F52&gt;0,E52/F52,"")</f>
        <v>0.0601132156626077</v>
      </c>
      <c r="I52" s="24" t="n">
        <f aca="false">IF(H52="","",TDIST(ABS(H52),G52-1,2))</f>
        <v>0.952727862494302</v>
      </c>
    </row>
    <row r="53" customFormat="false" ht="15" hidden="false" customHeight="false" outlineLevel="0" collapsed="false">
      <c r="A53" s="7" t="s">
        <v>71</v>
      </c>
      <c r="B53" s="7" t="s">
        <v>65</v>
      </c>
      <c r="C53" s="7" t="s">
        <v>73</v>
      </c>
      <c r="D53" s="7" t="s">
        <v>41</v>
      </c>
      <c r="E53" s="22" t="n">
        <v>0.301476622019381</v>
      </c>
      <c r="F53" s="22" t="n">
        <v>0.278886849847483</v>
      </c>
      <c r="G53" s="23" t="n">
        <v>19</v>
      </c>
      <c r="H53" s="24" t="n">
        <f aca="false">IF(F53&gt;0,E53/F53,"")</f>
        <v>1.08099977530046</v>
      </c>
      <c r="I53" s="24" t="n">
        <f aca="false">IF(H53="","",TDIST(ABS(H53),G53-1,2))</f>
        <v>0.293968297032807</v>
      </c>
    </row>
    <row r="54" customFormat="false" ht="15" hidden="false" customHeight="false" outlineLevel="0" collapsed="false">
      <c r="A54" s="7" t="s">
        <v>71</v>
      </c>
      <c r="B54" s="7" t="s">
        <v>65</v>
      </c>
      <c r="C54" s="7" t="s">
        <v>74</v>
      </c>
      <c r="D54" s="7" t="s">
        <v>41</v>
      </c>
      <c r="E54" s="22" t="n">
        <v>-0.103428399016256</v>
      </c>
      <c r="F54" s="22" t="n">
        <v>0.172165164682981</v>
      </c>
      <c r="G54" s="23" t="n">
        <v>19</v>
      </c>
      <c r="H54" s="24" t="n">
        <f aca="false">IF(F54&gt;0,E54/F54,"")</f>
        <v>-0.600751024208095</v>
      </c>
      <c r="I54" s="24" t="n">
        <f aca="false">IF(H54="","",TDIST(ABS(H54),G54-1,2))</f>
        <v>0.555495656327482</v>
      </c>
    </row>
    <row r="55" customFormat="false" ht="15" hidden="false" customHeight="false" outlineLevel="0" collapsed="false">
      <c r="A55" s="7" t="s">
        <v>71</v>
      </c>
      <c r="B55" s="7" t="s">
        <v>65</v>
      </c>
      <c r="C55" s="7" t="s">
        <v>75</v>
      </c>
      <c r="D55" s="7" t="s">
        <v>41</v>
      </c>
      <c r="E55" s="22" t="n">
        <v>-0.0368562857326248</v>
      </c>
      <c r="F55" s="22" t="n">
        <v>0.147168999739219</v>
      </c>
      <c r="G55" s="23" t="n">
        <v>19</v>
      </c>
      <c r="H55" s="24" t="n">
        <f aca="false">IF(F55&gt;0,E55/F55,"")</f>
        <v>-0.250435117435966</v>
      </c>
      <c r="I55" s="24" t="n">
        <f aca="false">IF(H55="","",TDIST(ABS(H55),G55-1,2))</f>
        <v>0.805087052133983</v>
      </c>
    </row>
    <row r="56" customFormat="false" ht="15" hidden="false" customHeight="false" outlineLevel="0" collapsed="false">
      <c r="A56" s="7" t="s">
        <v>71</v>
      </c>
      <c r="B56" s="7" t="s">
        <v>65</v>
      </c>
      <c r="C56" s="7" t="s">
        <v>76</v>
      </c>
      <c r="D56" s="7" t="s">
        <v>41</v>
      </c>
      <c r="E56" s="22" t="n">
        <v>0.626322410681806</v>
      </c>
      <c r="F56" s="22" t="n">
        <v>0.28441072515336</v>
      </c>
      <c r="G56" s="23" t="n">
        <v>19</v>
      </c>
      <c r="H56" s="24" t="n">
        <f aca="false">IF(F56&gt;0,E56/F56,"")</f>
        <v>2.20217578062177</v>
      </c>
      <c r="I56" s="24" t="n">
        <f aca="false">IF(H56="","",TDIST(ABS(H56),G56-1,2))</f>
        <v>0.0409307030646324</v>
      </c>
    </row>
    <row r="57" customFormat="false" ht="15" hidden="false" customHeight="false" outlineLevel="0" collapsed="false">
      <c r="A57" s="7" t="s">
        <v>71</v>
      </c>
      <c r="B57" s="7" t="s">
        <v>65</v>
      </c>
      <c r="C57" s="7" t="s">
        <v>77</v>
      </c>
      <c r="D57" s="7" t="s">
        <v>41</v>
      </c>
      <c r="E57" s="22" t="n">
        <v>0.148152223060582</v>
      </c>
      <c r="F57" s="22" t="n">
        <v>0.201959303676991</v>
      </c>
      <c r="G57" s="23" t="n">
        <v>19</v>
      </c>
      <c r="H57" s="24" t="n">
        <f aca="false">IF(F57&gt;0,E57/F57,"")</f>
        <v>0.73357463787622</v>
      </c>
      <c r="I57" s="24" t="n">
        <f aca="false">IF(H57="","",TDIST(ABS(H57),G57-1,2))</f>
        <v>0.472655270377702</v>
      </c>
    </row>
    <row r="58" customFormat="false" ht="15" hidden="false" customHeight="false" outlineLevel="0" collapsed="false">
      <c r="A58" s="7" t="s">
        <v>71</v>
      </c>
      <c r="B58" s="7" t="s">
        <v>65</v>
      </c>
      <c r="C58" s="7" t="s">
        <v>78</v>
      </c>
      <c r="D58" s="7" t="s">
        <v>41</v>
      </c>
      <c r="E58" s="22" t="n">
        <v>0.299136524808627</v>
      </c>
      <c r="F58" s="22" t="n">
        <v>0.104625567902828</v>
      </c>
      <c r="G58" s="23" t="n">
        <v>19</v>
      </c>
      <c r="H58" s="24" t="n">
        <f aca="false">IF(F58&gt;0,E58/F58,"")</f>
        <v>2.85911494489046</v>
      </c>
      <c r="I58" s="24" t="n">
        <f aca="false">IF(H58="","",TDIST(ABS(H58),G58-1,2))</f>
        <v>0.0104251997995978</v>
      </c>
    </row>
    <row r="59" customFormat="false" ht="15" hidden="false" customHeight="false" outlineLevel="0" collapsed="false">
      <c r="A59" s="7" t="s">
        <v>71</v>
      </c>
      <c r="B59" s="7" t="s">
        <v>65</v>
      </c>
      <c r="C59" s="7" t="s">
        <v>79</v>
      </c>
      <c r="D59" s="7" t="s">
        <v>41</v>
      </c>
      <c r="E59" s="22" t="n">
        <v>0.264798076425121</v>
      </c>
      <c r="F59" s="22" t="n">
        <v>0.134954074560777</v>
      </c>
      <c r="G59" s="23" t="n">
        <v>19</v>
      </c>
      <c r="H59" s="24" t="n">
        <f aca="false">IF(F59&gt;0,E59/F59,"")</f>
        <v>1.96213472832841</v>
      </c>
      <c r="I59" s="24" t="n">
        <f aca="false">IF(H59="","",TDIST(ABS(H59),G59-1,2))</f>
        <v>0.0653970545221197</v>
      </c>
    </row>
    <row r="60" customFormat="false" ht="15" hidden="false" customHeight="false" outlineLevel="0" collapsed="false">
      <c r="A60" s="7" t="s">
        <v>71</v>
      </c>
      <c r="B60" s="7" t="s">
        <v>65</v>
      </c>
      <c r="C60" s="7" t="s">
        <v>80</v>
      </c>
      <c r="D60" s="7" t="s">
        <v>41</v>
      </c>
      <c r="E60" s="22" t="n">
        <v>-1.0959561788428</v>
      </c>
      <c r="F60" s="22" t="n">
        <v>0.646389523479079</v>
      </c>
      <c r="G60" s="23" t="n">
        <v>19</v>
      </c>
      <c r="H60" s="24" t="n">
        <f aca="false">IF(F60&gt;0,E60/F60,"")</f>
        <v>-1.69550424169006</v>
      </c>
      <c r="I60" s="24" t="n">
        <f aca="false">IF(H60="","",TDIST(ABS(H60),G60-1,2))</f>
        <v>0.107207816943312</v>
      </c>
    </row>
    <row r="61" customFormat="false" ht="15" hidden="false" customHeight="false" outlineLevel="0" collapsed="false">
      <c r="A61" s="7" t="s">
        <v>71</v>
      </c>
      <c r="B61" s="7" t="s">
        <v>65</v>
      </c>
      <c r="C61" s="7" t="s">
        <v>72</v>
      </c>
      <c r="D61" s="7" t="s">
        <v>42</v>
      </c>
      <c r="E61" s="22" t="n">
        <v>-0.673348452112427</v>
      </c>
      <c r="F61" s="22" t="n">
        <v>0.20455585839275</v>
      </c>
      <c r="G61" s="23" t="n">
        <v>19</v>
      </c>
      <c r="H61" s="24" t="n">
        <f aca="false">IF(F61&gt;0,E61/F61,"")</f>
        <v>-3.29175833634443</v>
      </c>
      <c r="I61" s="24" t="n">
        <f aca="false">IF(H61="","",TDIST(ABS(H61),G61-1,2))</f>
        <v>0.00405438762699992</v>
      </c>
    </row>
    <row r="62" customFormat="false" ht="15" hidden="false" customHeight="false" outlineLevel="0" collapsed="false">
      <c r="A62" s="7" t="s">
        <v>71</v>
      </c>
      <c r="B62" s="7" t="s">
        <v>65</v>
      </c>
      <c r="C62" s="7" t="s">
        <v>73</v>
      </c>
      <c r="D62" s="7" t="s">
        <v>42</v>
      </c>
      <c r="E62" s="22" t="n">
        <v>-0.9858515986995</v>
      </c>
      <c r="F62" s="22" t="n">
        <v>0.360249532822075</v>
      </c>
      <c r="G62" s="23" t="n">
        <v>19</v>
      </c>
      <c r="H62" s="24" t="n">
        <f aca="false">IF(F62&gt;0,E62/F62,"")</f>
        <v>-2.73657981171181</v>
      </c>
      <c r="I62" s="24" t="n">
        <f aca="false">IF(H62="","",TDIST(ABS(H62),G62-1,2))</f>
        <v>0.0135547194846315</v>
      </c>
    </row>
    <row r="63" customFormat="false" ht="15" hidden="false" customHeight="false" outlineLevel="0" collapsed="false">
      <c r="A63" s="7" t="s">
        <v>71</v>
      </c>
      <c r="B63" s="7" t="s">
        <v>65</v>
      </c>
      <c r="C63" s="7" t="s">
        <v>74</v>
      </c>
      <c r="D63" s="7" t="s">
        <v>42</v>
      </c>
      <c r="E63" s="22" t="n">
        <v>-0.354125861608575</v>
      </c>
      <c r="F63" s="22" t="n">
        <v>0.209631787400122</v>
      </c>
      <c r="G63" s="23" t="n">
        <v>19</v>
      </c>
      <c r="H63" s="24" t="n">
        <f aca="false">IF(F63&gt;0,E63/F63,"")</f>
        <v>-1.68927559126641</v>
      </c>
      <c r="I63" s="24" t="n">
        <f aca="false">IF(H63="","",TDIST(ABS(H63),G63-1,2))</f>
        <v>0.108413080372143</v>
      </c>
    </row>
    <row r="64" customFormat="false" ht="15" hidden="false" customHeight="false" outlineLevel="0" collapsed="false">
      <c r="A64" s="7" t="s">
        <v>71</v>
      </c>
      <c r="B64" s="7" t="s">
        <v>65</v>
      </c>
      <c r="C64" s="7" t="s">
        <v>75</v>
      </c>
      <c r="D64" s="7" t="s">
        <v>42</v>
      </c>
      <c r="E64" s="22" t="n">
        <v>0.0382457535284912</v>
      </c>
      <c r="F64" s="22" t="n">
        <v>0.242041911126394</v>
      </c>
      <c r="G64" s="23" t="n">
        <v>19</v>
      </c>
      <c r="H64" s="24" t="n">
        <f aca="false">IF(F64&gt;0,E64/F64,"")</f>
        <v>0.158012938133344</v>
      </c>
      <c r="I64" s="24" t="n">
        <f aca="false">IF(H64="","",TDIST(ABS(H64),G64-1,2))</f>
        <v>0.876205765506455</v>
      </c>
    </row>
    <row r="65" customFormat="false" ht="15" hidden="false" customHeight="false" outlineLevel="0" collapsed="false">
      <c r="A65" s="7" t="s">
        <v>71</v>
      </c>
      <c r="B65" s="7" t="s">
        <v>65</v>
      </c>
      <c r="C65" s="7" t="s">
        <v>76</v>
      </c>
      <c r="D65" s="7" t="s">
        <v>42</v>
      </c>
      <c r="E65" s="22" t="n">
        <v>-1.31856041633364</v>
      </c>
      <c r="F65" s="22" t="n">
        <v>0.331435984771609</v>
      </c>
      <c r="G65" s="23" t="n">
        <v>19</v>
      </c>
      <c r="H65" s="24" t="n">
        <f aca="false">IF(F65&gt;0,E65/F65,"")</f>
        <v>-3.97832606270031</v>
      </c>
      <c r="I65" s="24" t="n">
        <f aca="false">IF(H65="","",TDIST(ABS(H65),G65-1,2))</f>
        <v>0.000881367717607321</v>
      </c>
    </row>
    <row r="66" customFormat="false" ht="15" hidden="false" customHeight="false" outlineLevel="0" collapsed="false">
      <c r="A66" s="7" t="s">
        <v>71</v>
      </c>
      <c r="B66" s="7" t="s">
        <v>65</v>
      </c>
      <c r="C66" s="7" t="s">
        <v>77</v>
      </c>
      <c r="D66" s="7" t="s">
        <v>42</v>
      </c>
      <c r="E66" s="22" t="n">
        <v>-1.38670058673797</v>
      </c>
      <c r="F66" s="22" t="n">
        <v>0.215892614098339</v>
      </c>
      <c r="G66" s="23" t="n">
        <v>19</v>
      </c>
      <c r="H66" s="24" t="n">
        <f aca="false">IF(F66&gt;0,E66/F66,"")</f>
        <v>-6.4231034143036</v>
      </c>
      <c r="I66" s="24" t="n">
        <f aca="false">IF(H66="","",TDIST(ABS(H66),G66-1,2))</f>
        <v>4.79393124040803E-006</v>
      </c>
    </row>
    <row r="67" customFormat="false" ht="15" hidden="false" customHeight="false" outlineLevel="0" collapsed="false">
      <c r="A67" s="7" t="s">
        <v>71</v>
      </c>
      <c r="B67" s="7" t="s">
        <v>65</v>
      </c>
      <c r="C67" s="7" t="s">
        <v>78</v>
      </c>
      <c r="D67" s="7" t="s">
        <v>43</v>
      </c>
      <c r="E67" s="22" t="n">
        <v>-0.590365863712888</v>
      </c>
      <c r="F67" s="22" t="n">
        <v>0.210925596554833</v>
      </c>
      <c r="G67" s="23" t="n">
        <v>19</v>
      </c>
      <c r="H67" s="24" t="n">
        <f aca="false">IF(F67&gt;0,E67/F67,"")</f>
        <v>-2.79892944884674</v>
      </c>
      <c r="I67" s="24" t="n">
        <f aca="false">IF(H67="","",TDIST(ABS(H67),G67-1,2))</f>
        <v>0.0118639074178289</v>
      </c>
    </row>
    <row r="68" customFormat="false" ht="15" hidden="false" customHeight="false" outlineLevel="0" collapsed="false">
      <c r="A68" s="7" t="s">
        <v>71</v>
      </c>
      <c r="B68" s="7" t="s">
        <v>65</v>
      </c>
      <c r="C68" s="7" t="s">
        <v>79</v>
      </c>
      <c r="D68" s="7" t="s">
        <v>43</v>
      </c>
      <c r="E68" s="22" t="n">
        <v>-0.432835693597846</v>
      </c>
      <c r="F68" s="22" t="n">
        <v>0.171777165395055</v>
      </c>
      <c r="G68" s="23" t="n">
        <v>19</v>
      </c>
      <c r="H68" s="24" t="n">
        <f aca="false">IF(F68&gt;0,E68/F68,"")</f>
        <v>-2.51975105423591</v>
      </c>
      <c r="I68" s="24" t="n">
        <f aca="false">IF(H68="","",TDIST(ABS(H68),G68-1,2))</f>
        <v>0.0214096726434046</v>
      </c>
    </row>
    <row r="69" customFormat="false" ht="15" hidden="false" customHeight="false" outlineLevel="0" collapsed="false">
      <c r="A69" s="7" t="s">
        <v>71</v>
      </c>
      <c r="B69" s="7" t="s">
        <v>65</v>
      </c>
      <c r="C69" s="7" t="s">
        <v>80</v>
      </c>
      <c r="D69" s="7" t="s">
        <v>43</v>
      </c>
      <c r="E69" s="22" t="n">
        <v>-0.622739740387641</v>
      </c>
      <c r="F69" s="22" t="n">
        <v>0.178803433879983</v>
      </c>
      <c r="G69" s="23" t="n">
        <v>19</v>
      </c>
      <c r="H69" s="24" t="n">
        <f aca="false">IF(F69&gt;0,E69/F69,"")</f>
        <v>-3.4828175660521</v>
      </c>
      <c r="I69" s="24" t="n">
        <f aca="false">IF(H69="","",TDIST(ABS(H69),G69-1,2))</f>
        <v>0.00265613487396872</v>
      </c>
    </row>
    <row r="70" customFormat="false" ht="15" hidden="false" customHeight="false" outlineLevel="0" collapsed="false">
      <c r="A70" s="7" t="s">
        <v>71</v>
      </c>
      <c r="B70" s="7" t="s">
        <v>65</v>
      </c>
      <c r="C70" s="7" t="s">
        <v>78</v>
      </c>
      <c r="D70" s="7" t="s">
        <v>44</v>
      </c>
      <c r="E70" s="22" t="n">
        <v>-0.15925166492217</v>
      </c>
      <c r="F70" s="22" t="n">
        <v>0.232457928773376</v>
      </c>
      <c r="G70" s="23" t="n">
        <v>19</v>
      </c>
      <c r="H70" s="24" t="n">
        <f aca="false">IF(F70&gt;0,E70/F70,"")</f>
        <v>-0.685077363299681</v>
      </c>
      <c r="I70" s="24" t="n">
        <f aca="false">IF(H70="","",TDIST(ABS(H70),G70-1,2))</f>
        <v>0.502022723566392</v>
      </c>
    </row>
    <row r="71" customFormat="false" ht="15" hidden="false" customHeight="false" outlineLevel="0" collapsed="false">
      <c r="A71" s="7" t="s">
        <v>71</v>
      </c>
      <c r="B71" s="7" t="s">
        <v>65</v>
      </c>
      <c r="C71" s="7" t="s">
        <v>79</v>
      </c>
      <c r="D71" s="7" t="s">
        <v>44</v>
      </c>
      <c r="E71" s="22" t="n">
        <v>-0.479526034566116</v>
      </c>
      <c r="F71" s="22" t="n">
        <v>0.136471805232629</v>
      </c>
      <c r="G71" s="23" t="n">
        <v>19</v>
      </c>
      <c r="H71" s="24" t="n">
        <f aca="false">IF(F71&gt;0,E71/F71,"")</f>
        <v>-3.51373702244737</v>
      </c>
      <c r="I71" s="24" t="n">
        <f aca="false">IF(H71="","",TDIST(ABS(H71),G71-1,2))</f>
        <v>0.00247991008938134</v>
      </c>
    </row>
    <row r="72" customFormat="false" ht="15" hidden="false" customHeight="false" outlineLevel="0" collapsed="false">
      <c r="A72" s="7" t="s">
        <v>71</v>
      </c>
      <c r="B72" s="7" t="s">
        <v>65</v>
      </c>
      <c r="C72" s="7" t="s">
        <v>80</v>
      </c>
      <c r="D72" s="7" t="s">
        <v>44</v>
      </c>
      <c r="E72" s="22" t="n">
        <v>-0.0269486455728279</v>
      </c>
      <c r="F72" s="22" t="n">
        <v>0.194255084445043</v>
      </c>
      <c r="G72" s="23" t="n">
        <v>19</v>
      </c>
      <c r="H72" s="24" t="n">
        <f aca="false">IF(F72&gt;0,E72/F72,"")</f>
        <v>-0.138728134966537</v>
      </c>
      <c r="I72" s="24" t="n">
        <f aca="false">IF(H72="","",TDIST(ABS(H72),G72-1,2))</f>
        <v>0.891205268097507</v>
      </c>
    </row>
    <row r="73" customFormat="false" ht="15" hidden="false" customHeight="false" outlineLevel="0" collapsed="false">
      <c r="A73" s="7" t="s">
        <v>71</v>
      </c>
      <c r="B73" s="7" t="s">
        <v>67</v>
      </c>
      <c r="C73" s="7" t="s">
        <v>72</v>
      </c>
      <c r="D73" s="7" t="s">
        <v>10</v>
      </c>
      <c r="E73" s="22" t="n">
        <v>-0.459391651376457</v>
      </c>
      <c r="F73" s="22" t="n">
        <v>0.319414233710042</v>
      </c>
      <c r="G73" s="23" t="n">
        <v>19</v>
      </c>
      <c r="H73" s="24" t="n">
        <f aca="false">IF(F73&gt;0,E73/F73,"")</f>
        <v>-1.43823162180519</v>
      </c>
      <c r="I73" s="24" t="n">
        <f aca="false">IF(H73="","",TDIST(ABS(H73),G73-1,2))</f>
        <v>0.167528567196917</v>
      </c>
    </row>
    <row r="74" customFormat="false" ht="15" hidden="false" customHeight="false" outlineLevel="0" collapsed="false">
      <c r="A74" s="7" t="s">
        <v>71</v>
      </c>
      <c r="B74" s="7" t="s">
        <v>67</v>
      </c>
      <c r="C74" s="7" t="s">
        <v>73</v>
      </c>
      <c r="D74" s="7" t="s">
        <v>10</v>
      </c>
      <c r="E74" s="22" t="n">
        <v>-0.19469106168817</v>
      </c>
      <c r="F74" s="22" t="n">
        <v>0.198018577178992</v>
      </c>
      <c r="G74" s="23" t="n">
        <v>19</v>
      </c>
      <c r="H74" s="24" t="n">
        <f aca="false">IF(F74&gt;0,E74/F74,"")</f>
        <v>-0.98319594283412</v>
      </c>
      <c r="I74" s="24" t="n">
        <f aca="false">IF(H74="","",TDIST(ABS(H74),G74-1,2))</f>
        <v>0.338542870066343</v>
      </c>
    </row>
    <row r="75" customFormat="false" ht="15" hidden="false" customHeight="false" outlineLevel="0" collapsed="false">
      <c r="A75" s="7" t="s">
        <v>71</v>
      </c>
      <c r="B75" s="7" t="s">
        <v>67</v>
      </c>
      <c r="C75" s="7" t="s">
        <v>74</v>
      </c>
      <c r="D75" s="7" t="s">
        <v>10</v>
      </c>
      <c r="E75" s="22" t="n">
        <v>-0.868295835348731</v>
      </c>
      <c r="F75" s="22" t="n">
        <v>0.27745333301468</v>
      </c>
      <c r="G75" s="23" t="n">
        <v>19</v>
      </c>
      <c r="H75" s="24" t="n">
        <f aca="false">IF(F75&gt;0,E75/F75,"")</f>
        <v>-3.12952029054482</v>
      </c>
      <c r="I75" s="24" t="n">
        <f aca="false">IF(H75="","",TDIST(ABS(H75),G75-1,2))</f>
        <v>0.00579261931435488</v>
      </c>
    </row>
    <row r="76" customFormat="false" ht="15" hidden="false" customHeight="false" outlineLevel="0" collapsed="false">
      <c r="A76" s="7" t="s">
        <v>71</v>
      </c>
      <c r="B76" s="7" t="s">
        <v>67</v>
      </c>
      <c r="C76" s="7" t="s">
        <v>75</v>
      </c>
      <c r="D76" s="7" t="s">
        <v>10</v>
      </c>
      <c r="E76" s="22" t="n">
        <v>-0.746228988344496</v>
      </c>
      <c r="F76" s="22" t="n">
        <v>0.25055077226706</v>
      </c>
      <c r="G76" s="23" t="n">
        <v>19</v>
      </c>
      <c r="H76" s="24" t="n">
        <f aca="false">IF(F76&gt;0,E76/F76,"")</f>
        <v>-2.97835437341657</v>
      </c>
      <c r="I76" s="24" t="n">
        <f aca="false">IF(H76="","",TDIST(ABS(H76),G76-1,2))</f>
        <v>0.00805555298155111</v>
      </c>
    </row>
    <row r="77" customFormat="false" ht="15" hidden="false" customHeight="false" outlineLevel="0" collapsed="false">
      <c r="A77" s="7" t="s">
        <v>71</v>
      </c>
      <c r="B77" s="7" t="s">
        <v>67</v>
      </c>
      <c r="C77" s="7" t="s">
        <v>76</v>
      </c>
      <c r="D77" s="7" t="s">
        <v>10</v>
      </c>
      <c r="E77" s="22" t="n">
        <v>-0.400183382818925</v>
      </c>
      <c r="F77" s="22" t="n">
        <v>0.231293210555516</v>
      </c>
      <c r="G77" s="23" t="n">
        <v>19</v>
      </c>
      <c r="H77" s="24" t="n">
        <f aca="false">IF(F77&gt;0,E77/F77,"")</f>
        <v>-1.7301994375787</v>
      </c>
      <c r="I77" s="24" t="n">
        <f aca="false">IF(H77="","",TDIST(ABS(H77),G77-1,2))</f>
        <v>0.10070294032111</v>
      </c>
    </row>
    <row r="78" customFormat="false" ht="15" hidden="false" customHeight="false" outlineLevel="0" collapsed="false">
      <c r="A78" s="7" t="s">
        <v>71</v>
      </c>
      <c r="B78" s="7" t="s">
        <v>67</v>
      </c>
      <c r="C78" s="7" t="s">
        <v>77</v>
      </c>
      <c r="D78" s="7" t="s">
        <v>10</v>
      </c>
      <c r="E78" s="22" t="n">
        <v>-0.452499019886138</v>
      </c>
      <c r="F78" s="22" t="n">
        <v>0.179210263376415</v>
      </c>
      <c r="G78" s="23" t="n">
        <v>19</v>
      </c>
      <c r="H78" s="24" t="n">
        <f aca="false">IF(F78&gt;0,E78/F78,"")</f>
        <v>-2.52496152486371</v>
      </c>
      <c r="I78" s="24" t="n">
        <f aca="false">IF(H78="","",TDIST(ABS(H78),G78-1,2))</f>
        <v>0.0211784351761707</v>
      </c>
    </row>
    <row r="79" customFormat="false" ht="15" hidden="false" customHeight="false" outlineLevel="0" collapsed="false">
      <c r="A79" s="7" t="s">
        <v>71</v>
      </c>
      <c r="B79" s="7" t="s">
        <v>67</v>
      </c>
      <c r="C79" s="7" t="s">
        <v>78</v>
      </c>
      <c r="D79" s="7" t="s">
        <v>10</v>
      </c>
      <c r="E79" s="22" t="n">
        <v>-0.336571378155407</v>
      </c>
      <c r="F79" s="22" t="n">
        <v>0.132732676411057</v>
      </c>
      <c r="G79" s="23" t="n">
        <v>19</v>
      </c>
      <c r="H79" s="24" t="n">
        <f aca="false">IF(F79&gt;0,E79/F79,"")</f>
        <v>-2.53570851772089</v>
      </c>
      <c r="I79" s="24" t="n">
        <f aca="false">IF(H79="","",TDIST(ABS(H79),G79-1,2))</f>
        <v>0.0207089172125674</v>
      </c>
    </row>
    <row r="80" customFormat="false" ht="15" hidden="false" customHeight="false" outlineLevel="0" collapsed="false">
      <c r="A80" s="7" t="s">
        <v>71</v>
      </c>
      <c r="B80" s="7" t="s">
        <v>67</v>
      </c>
      <c r="C80" s="7" t="s">
        <v>79</v>
      </c>
      <c r="D80" s="7" t="s">
        <v>10</v>
      </c>
      <c r="E80" s="22" t="n">
        <v>-0.459926176051256</v>
      </c>
      <c r="F80" s="22" t="n">
        <v>0.131678806888464</v>
      </c>
      <c r="G80" s="23" t="n">
        <v>19</v>
      </c>
      <c r="H80" s="24" t="n">
        <f aca="false">IF(F80&gt;0,E80/F80,"")</f>
        <v>-3.49278814806417</v>
      </c>
      <c r="I80" s="24" t="n">
        <f aca="false">IF(H80="","",TDIST(ABS(H80),G80-1,2))</f>
        <v>0.00259799433527607</v>
      </c>
    </row>
    <row r="81" customFormat="false" ht="15" hidden="false" customHeight="false" outlineLevel="0" collapsed="false">
      <c r="A81" s="7" t="s">
        <v>71</v>
      </c>
      <c r="B81" s="7" t="s">
        <v>67</v>
      </c>
      <c r="C81" s="7" t="s">
        <v>80</v>
      </c>
      <c r="D81" s="7" t="s">
        <v>10</v>
      </c>
      <c r="E81" s="22" t="n">
        <v>-0.298201316339029</v>
      </c>
      <c r="F81" s="22" t="n">
        <v>0.154800843616822</v>
      </c>
      <c r="G81" s="23" t="n">
        <v>19</v>
      </c>
      <c r="H81" s="24" t="n">
        <f aca="false">IF(F81&gt;0,E81/F81,"")</f>
        <v>-1.92635459453416</v>
      </c>
      <c r="I81" s="24" t="n">
        <f aca="false">IF(H81="","",TDIST(ABS(H81),G81-1,2))</f>
        <v>0.07000098898093</v>
      </c>
    </row>
    <row r="82" customFormat="false" ht="15" hidden="false" customHeight="false" outlineLevel="0" collapsed="false">
      <c r="A82" s="7" t="s">
        <v>71</v>
      </c>
      <c r="B82" s="7" t="s">
        <v>67</v>
      </c>
      <c r="C82" s="7" t="s">
        <v>72</v>
      </c>
      <c r="D82" s="7" t="s">
        <v>40</v>
      </c>
      <c r="E82" s="22" t="n">
        <v>-0.268758155483587</v>
      </c>
      <c r="F82" s="22" t="n">
        <v>0.341914473450556</v>
      </c>
      <c r="G82" s="23" t="n">
        <v>19</v>
      </c>
      <c r="H82" s="24" t="n">
        <f aca="false">IF(F82&gt;0,E82/F82,"")</f>
        <v>-0.786039130696385</v>
      </c>
      <c r="I82" s="24" t="n">
        <f aca="false">IF(H82="","",TDIST(ABS(H82),G82-1,2))</f>
        <v>0.442070038892347</v>
      </c>
    </row>
    <row r="83" customFormat="false" ht="15" hidden="false" customHeight="false" outlineLevel="0" collapsed="false">
      <c r="A83" s="7" t="s">
        <v>71</v>
      </c>
      <c r="B83" s="7" t="s">
        <v>67</v>
      </c>
      <c r="C83" s="7" t="s">
        <v>73</v>
      </c>
      <c r="D83" s="7" t="s">
        <v>40</v>
      </c>
      <c r="E83" s="22" t="n">
        <v>-0.842400358492004</v>
      </c>
      <c r="F83" s="22" t="n">
        <v>0.459524067588323</v>
      </c>
      <c r="G83" s="23" t="n">
        <v>19</v>
      </c>
      <c r="H83" s="24" t="n">
        <f aca="false">IF(F83&gt;0,E83/F83,"")</f>
        <v>-1.83320182316694</v>
      </c>
      <c r="I83" s="24" t="n">
        <f aca="false">IF(H83="","",TDIST(ABS(H83),G83-1,2))</f>
        <v>0.0833648810666895</v>
      </c>
    </row>
    <row r="84" customFormat="false" ht="15" hidden="false" customHeight="false" outlineLevel="0" collapsed="false">
      <c r="A84" s="7" t="s">
        <v>71</v>
      </c>
      <c r="B84" s="7" t="s">
        <v>67</v>
      </c>
      <c r="C84" s="7" t="s">
        <v>74</v>
      </c>
      <c r="D84" s="7" t="s">
        <v>40</v>
      </c>
      <c r="E84" s="22" t="n">
        <v>0.563596239398155</v>
      </c>
      <c r="F84" s="22" t="n">
        <v>0.351229454994291</v>
      </c>
      <c r="G84" s="23" t="n">
        <v>19</v>
      </c>
      <c r="H84" s="24" t="n">
        <f aca="false">IF(F84&gt;0,E84/F84,"")</f>
        <v>1.6046383108937</v>
      </c>
      <c r="I84" s="24" t="n">
        <f aca="false">IF(H84="","",TDIST(ABS(H84),G84-1,2))</f>
        <v>0.125974813149114</v>
      </c>
    </row>
    <row r="85" customFormat="false" ht="15" hidden="false" customHeight="false" outlineLevel="0" collapsed="false">
      <c r="A85" s="7" t="s">
        <v>71</v>
      </c>
      <c r="B85" s="7" t="s">
        <v>67</v>
      </c>
      <c r="C85" s="7" t="s">
        <v>75</v>
      </c>
      <c r="D85" s="7" t="s">
        <v>40</v>
      </c>
      <c r="E85" s="22" t="n">
        <v>0.99481144223195</v>
      </c>
      <c r="F85" s="22" t="n">
        <v>0.330649219940261</v>
      </c>
      <c r="G85" s="23" t="n">
        <v>19</v>
      </c>
      <c r="H85" s="24" t="n">
        <f aca="false">IF(F85&gt;0,E85/F85,"")</f>
        <v>3.00866108927063</v>
      </c>
      <c r="I85" s="24" t="n">
        <f aca="false">IF(H85="","",TDIST(ABS(H85),G85-1,2))</f>
        <v>0.00754197844395399</v>
      </c>
    </row>
    <row r="86" customFormat="false" ht="15" hidden="false" customHeight="false" outlineLevel="0" collapsed="false">
      <c r="A86" s="7" t="s">
        <v>71</v>
      </c>
      <c r="B86" s="7" t="s">
        <v>67</v>
      </c>
      <c r="C86" s="7" t="s">
        <v>76</v>
      </c>
      <c r="D86" s="7" t="s">
        <v>40</v>
      </c>
      <c r="E86" s="22" t="n">
        <v>-0.997713301217512</v>
      </c>
      <c r="F86" s="22" t="n">
        <v>0.443687140753314</v>
      </c>
      <c r="G86" s="23" t="n">
        <v>19</v>
      </c>
      <c r="H86" s="24" t="n">
        <f aca="false">IF(F86&gt;0,E86/F86,"")</f>
        <v>-2.24868653962688</v>
      </c>
      <c r="I86" s="24" t="n">
        <f aca="false">IF(H86="","",TDIST(ABS(H86),G86-1,2))</f>
        <v>0.0372934369383199</v>
      </c>
    </row>
    <row r="87" customFormat="false" ht="15" hidden="false" customHeight="false" outlineLevel="0" collapsed="false">
      <c r="A87" s="7" t="s">
        <v>71</v>
      </c>
      <c r="B87" s="7" t="s">
        <v>67</v>
      </c>
      <c r="C87" s="7" t="s">
        <v>77</v>
      </c>
      <c r="D87" s="7" t="s">
        <v>40</v>
      </c>
      <c r="E87" s="22" t="n">
        <v>-1.09733827325952</v>
      </c>
      <c r="F87" s="22" t="n">
        <v>0.466363258688203</v>
      </c>
      <c r="G87" s="23" t="n">
        <v>19</v>
      </c>
      <c r="H87" s="24" t="n">
        <f aca="false">IF(F87&gt;0,E87/F87,"")</f>
        <v>-2.35296896317719</v>
      </c>
      <c r="I87" s="24" t="n">
        <f aca="false">IF(H87="","",TDIST(ABS(H87),G87-1,2))</f>
        <v>0.0301971427922405</v>
      </c>
    </row>
    <row r="88" customFormat="false" ht="15" hidden="false" customHeight="false" outlineLevel="0" collapsed="false">
      <c r="A88" s="7" t="s">
        <v>71</v>
      </c>
      <c r="B88" s="7" t="s">
        <v>67</v>
      </c>
      <c r="C88" s="7" t="s">
        <v>78</v>
      </c>
      <c r="D88" s="7" t="s">
        <v>40</v>
      </c>
      <c r="E88" s="22" t="n">
        <v>0.587153561098098</v>
      </c>
      <c r="F88" s="22" t="n">
        <v>0.41221696639198</v>
      </c>
      <c r="G88" s="23" t="n">
        <v>19</v>
      </c>
      <c r="H88" s="24" t="n">
        <f aca="false">IF(F88&gt;0,E88/F88,"")</f>
        <v>1.42437989934594</v>
      </c>
      <c r="I88" s="24" t="n">
        <f aca="false">IF(H88="","",TDIST(ABS(H88),G88-1,2))</f>
        <v>0.171443296206214</v>
      </c>
    </row>
    <row r="89" customFormat="false" ht="15" hidden="false" customHeight="false" outlineLevel="0" collapsed="false">
      <c r="A89" s="7" t="s">
        <v>71</v>
      </c>
      <c r="B89" s="7" t="s">
        <v>67</v>
      </c>
      <c r="C89" s="7" t="s">
        <v>79</v>
      </c>
      <c r="D89" s="7" t="s">
        <v>40</v>
      </c>
      <c r="E89" s="22" t="n">
        <v>-0.149050040881418</v>
      </c>
      <c r="F89" s="22" t="n">
        <v>0.291639897049797</v>
      </c>
      <c r="G89" s="23" t="n">
        <v>19</v>
      </c>
      <c r="H89" s="24" t="n">
        <f aca="false">IF(F89&gt;0,E89/F89,"")</f>
        <v>-0.511075618902609</v>
      </c>
      <c r="I89" s="24" t="n">
        <f aca="false">IF(H89="","",TDIST(ABS(H89),G89-1,2))</f>
        <v>0.615509727542716</v>
      </c>
    </row>
    <row r="90" customFormat="false" ht="15" hidden="false" customHeight="false" outlineLevel="0" collapsed="false">
      <c r="A90" s="7" t="s">
        <v>71</v>
      </c>
      <c r="B90" s="7" t="s">
        <v>67</v>
      </c>
      <c r="C90" s="7" t="s">
        <v>80</v>
      </c>
      <c r="D90" s="7" t="s">
        <v>40</v>
      </c>
      <c r="E90" s="22" t="n">
        <v>3.08145624286035</v>
      </c>
      <c r="F90" s="22" t="n">
        <v>1.18678535421333</v>
      </c>
      <c r="G90" s="23" t="n">
        <v>19</v>
      </c>
      <c r="H90" s="24" t="n">
        <f aca="false">IF(F90&gt;0,E90/F90,"")</f>
        <v>2.59647309593142</v>
      </c>
      <c r="I90" s="24" t="n">
        <f aca="false">IF(H90="","",TDIST(ABS(H90),G90-1,2))</f>
        <v>0.0182340484697947</v>
      </c>
    </row>
    <row r="91" customFormat="false" ht="15" hidden="false" customHeight="false" outlineLevel="0" collapsed="false">
      <c r="A91" s="7" t="s">
        <v>71</v>
      </c>
      <c r="B91" s="7" t="s">
        <v>67</v>
      </c>
      <c r="C91" s="7" t="s">
        <v>72</v>
      </c>
      <c r="D91" s="7" t="s">
        <v>41</v>
      </c>
      <c r="E91" s="22" t="n">
        <v>0.00918034609689675</v>
      </c>
      <c r="F91" s="22" t="n">
        <v>0.227134433681281</v>
      </c>
      <c r="G91" s="23" t="n">
        <v>19</v>
      </c>
      <c r="H91" s="24" t="n">
        <f aca="false">IF(F91&gt;0,E91/F91,"")</f>
        <v>0.0404181169191579</v>
      </c>
      <c r="I91" s="24" t="n">
        <f aca="false">IF(H91="","",TDIST(ABS(H91),G91-1,2))</f>
        <v>0.968204726591242</v>
      </c>
    </row>
    <row r="92" customFormat="false" ht="15" hidden="false" customHeight="false" outlineLevel="0" collapsed="false">
      <c r="A92" s="7" t="s">
        <v>71</v>
      </c>
      <c r="B92" s="7" t="s">
        <v>67</v>
      </c>
      <c r="C92" s="7" t="s">
        <v>73</v>
      </c>
      <c r="D92" s="7" t="s">
        <v>41</v>
      </c>
      <c r="E92" s="22" t="n">
        <v>0.247019195356655</v>
      </c>
      <c r="F92" s="22" t="n">
        <v>0.282607524697507</v>
      </c>
      <c r="G92" s="23" t="n">
        <v>19</v>
      </c>
      <c r="H92" s="24" t="n">
        <f aca="false">IF(F92&gt;0,E92/F92,"")</f>
        <v>0.874071543640091</v>
      </c>
      <c r="I92" s="24" t="n">
        <f aca="false">IF(H92="","",TDIST(ABS(H92),G92-1,2))</f>
        <v>0.393592042437846</v>
      </c>
    </row>
    <row r="93" customFormat="false" ht="15" hidden="false" customHeight="false" outlineLevel="0" collapsed="false">
      <c r="A93" s="7" t="s">
        <v>71</v>
      </c>
      <c r="B93" s="7" t="s">
        <v>67</v>
      </c>
      <c r="C93" s="7" t="s">
        <v>74</v>
      </c>
      <c r="D93" s="7" t="s">
        <v>41</v>
      </c>
      <c r="E93" s="22" t="n">
        <v>-0.0569113596398728</v>
      </c>
      <c r="F93" s="22" t="n">
        <v>0.177916133868203</v>
      </c>
      <c r="G93" s="23" t="n">
        <v>19</v>
      </c>
      <c r="H93" s="24" t="n">
        <f aca="false">IF(F93&gt;0,E93/F93,"")</f>
        <v>-0.319877452384571</v>
      </c>
      <c r="I93" s="24" t="n">
        <f aca="false">IF(H93="","",TDIST(ABS(H93),G93-1,2))</f>
        <v>0.75274431146043</v>
      </c>
    </row>
    <row r="94" customFormat="false" ht="15" hidden="false" customHeight="false" outlineLevel="0" collapsed="false">
      <c r="A94" s="7" t="s">
        <v>71</v>
      </c>
      <c r="B94" s="7" t="s">
        <v>67</v>
      </c>
      <c r="C94" s="7" t="s">
        <v>75</v>
      </c>
      <c r="D94" s="7" t="s">
        <v>41</v>
      </c>
      <c r="E94" s="22" t="n">
        <v>-0.103801859702316</v>
      </c>
      <c r="F94" s="22" t="n">
        <v>0.192624672056305</v>
      </c>
      <c r="G94" s="23" t="n">
        <v>19</v>
      </c>
      <c r="H94" s="24" t="n">
        <f aca="false">IF(F94&gt;0,E94/F94,"")</f>
        <v>-0.538881435042623</v>
      </c>
      <c r="I94" s="24" t="n">
        <f aca="false">IF(H94="","",TDIST(ABS(H94),G94-1,2))</f>
        <v>0.596571269373877</v>
      </c>
    </row>
    <row r="95" customFormat="false" ht="15" hidden="false" customHeight="false" outlineLevel="0" collapsed="false">
      <c r="A95" s="7" t="s">
        <v>71</v>
      </c>
      <c r="B95" s="7" t="s">
        <v>67</v>
      </c>
      <c r="C95" s="7" t="s">
        <v>76</v>
      </c>
      <c r="D95" s="7" t="s">
        <v>41</v>
      </c>
      <c r="E95" s="22" t="n">
        <v>0.576771576104894</v>
      </c>
      <c r="F95" s="22" t="n">
        <v>0.243739065215308</v>
      </c>
      <c r="G95" s="23" t="n">
        <v>19</v>
      </c>
      <c r="H95" s="24" t="n">
        <f aca="false">IF(F95&gt;0,E95/F95,"")</f>
        <v>2.36634851945214</v>
      </c>
      <c r="I95" s="24" t="n">
        <f aca="false">IF(H95="","",TDIST(ABS(H95),G95-1,2))</f>
        <v>0.0293835856378784</v>
      </c>
    </row>
    <row r="96" customFormat="false" ht="15" hidden="false" customHeight="false" outlineLevel="0" collapsed="false">
      <c r="A96" s="7" t="s">
        <v>71</v>
      </c>
      <c r="B96" s="7" t="s">
        <v>67</v>
      </c>
      <c r="C96" s="7" t="s">
        <v>77</v>
      </c>
      <c r="D96" s="7" t="s">
        <v>41</v>
      </c>
      <c r="E96" s="22" t="n">
        <v>0.0952263989966723</v>
      </c>
      <c r="F96" s="22" t="n">
        <v>0.211599973266364</v>
      </c>
      <c r="G96" s="23" t="n">
        <v>19</v>
      </c>
      <c r="H96" s="24" t="n">
        <f aca="false">IF(F96&gt;0,E96/F96,"")</f>
        <v>0.45003029786209</v>
      </c>
      <c r="I96" s="24" t="n">
        <f aca="false">IF(H96="","",TDIST(ABS(H96),G96-1,2))</f>
        <v>0.658061416306761</v>
      </c>
    </row>
    <row r="97" customFormat="false" ht="15" hidden="false" customHeight="false" outlineLevel="0" collapsed="false">
      <c r="A97" s="7" t="s">
        <v>71</v>
      </c>
      <c r="B97" s="7" t="s">
        <v>67</v>
      </c>
      <c r="C97" s="7" t="s">
        <v>78</v>
      </c>
      <c r="D97" s="7" t="s">
        <v>41</v>
      </c>
      <c r="E97" s="22" t="n">
        <v>0.200456015753671</v>
      </c>
      <c r="F97" s="22" t="n">
        <v>0.111783323451066</v>
      </c>
      <c r="G97" s="23" t="n">
        <v>19</v>
      </c>
      <c r="H97" s="24" t="n">
        <f aca="false">IF(F97&gt;0,E97/F97,"")</f>
        <v>1.79325510787324</v>
      </c>
      <c r="I97" s="24" t="n">
        <f aca="false">IF(H97="","",TDIST(ABS(H97),G97-1,2))</f>
        <v>0.0897518828372804</v>
      </c>
    </row>
    <row r="98" customFormat="false" ht="15" hidden="false" customHeight="false" outlineLevel="0" collapsed="false">
      <c r="A98" s="7" t="s">
        <v>71</v>
      </c>
      <c r="B98" s="7" t="s">
        <v>67</v>
      </c>
      <c r="C98" s="7" t="s">
        <v>79</v>
      </c>
      <c r="D98" s="7" t="s">
        <v>41</v>
      </c>
      <c r="E98" s="22" t="n">
        <v>0.240167733788908</v>
      </c>
      <c r="F98" s="22" t="n">
        <v>0.120132921960476</v>
      </c>
      <c r="G98" s="23" t="n">
        <v>19</v>
      </c>
      <c r="H98" s="24" t="n">
        <f aca="false">IF(F98&gt;0,E98/F98,"")</f>
        <v>1.99918332018864</v>
      </c>
      <c r="I98" s="24" t="n">
        <f aca="false">IF(H98="","",TDIST(ABS(H98),G98-1,2))</f>
        <v>0.0609170403287726</v>
      </c>
    </row>
    <row r="99" customFormat="false" ht="15" hidden="false" customHeight="false" outlineLevel="0" collapsed="false">
      <c r="A99" s="7" t="s">
        <v>71</v>
      </c>
      <c r="B99" s="7" t="s">
        <v>67</v>
      </c>
      <c r="C99" s="7" t="s">
        <v>80</v>
      </c>
      <c r="D99" s="7" t="s">
        <v>41</v>
      </c>
      <c r="E99" s="22" t="n">
        <v>-1.25015789052392</v>
      </c>
      <c r="F99" s="22" t="n">
        <v>0.743839385649753</v>
      </c>
      <c r="G99" s="23" t="n">
        <v>19</v>
      </c>
      <c r="H99" s="24" t="n">
        <f aca="false">IF(F99&gt;0,E99/F99,"")</f>
        <v>-1.68068257024585</v>
      </c>
      <c r="I99" s="24" t="n">
        <f aca="false">IF(H99="","",TDIST(ABS(H99),G99-1,2))</f>
        <v>0.110094930632351</v>
      </c>
    </row>
    <row r="100" customFormat="false" ht="15" hidden="false" customHeight="false" outlineLevel="0" collapsed="false">
      <c r="A100" s="7" t="s">
        <v>71</v>
      </c>
      <c r="B100" s="7" t="s">
        <v>67</v>
      </c>
      <c r="C100" s="7" t="s">
        <v>72</v>
      </c>
      <c r="D100" s="7" t="s">
        <v>42</v>
      </c>
      <c r="E100" s="22" t="n">
        <v>-0.728149806860044</v>
      </c>
      <c r="F100" s="22" t="n">
        <v>0.220645088167423</v>
      </c>
      <c r="G100" s="23" t="n">
        <v>19</v>
      </c>
      <c r="H100" s="24" t="n">
        <f aca="false">IF(F100&gt;0,E100/F100,"")</f>
        <v>-3.30009524756577</v>
      </c>
      <c r="I100" s="24" t="n">
        <f aca="false">IF(H100="","",TDIST(ABS(H100),G100-1,2))</f>
        <v>0.00398047001196186</v>
      </c>
    </row>
    <row r="101" customFormat="false" ht="15" hidden="false" customHeight="false" outlineLevel="0" collapsed="false">
      <c r="A101" s="7" t="s">
        <v>71</v>
      </c>
      <c r="B101" s="7" t="s">
        <v>67</v>
      </c>
      <c r="C101" s="7" t="s">
        <v>73</v>
      </c>
      <c r="D101" s="7" t="s">
        <v>42</v>
      </c>
      <c r="E101" s="22" t="n">
        <v>-1.03709142018017</v>
      </c>
      <c r="F101" s="22" t="n">
        <v>0.39335615103297</v>
      </c>
      <c r="G101" s="23" t="n">
        <v>19</v>
      </c>
      <c r="H101" s="24" t="n">
        <f aca="false">IF(F101&gt;0,E101/F101,"")</f>
        <v>-2.6365201547166</v>
      </c>
      <c r="I101" s="24" t="n">
        <f aca="false">IF(H101="","",TDIST(ABS(H101),G101-1,2))</f>
        <v>0.0167592547243327</v>
      </c>
    </row>
    <row r="102" customFormat="false" ht="15" hidden="false" customHeight="false" outlineLevel="0" collapsed="false">
      <c r="A102" s="7" t="s">
        <v>71</v>
      </c>
      <c r="B102" s="7" t="s">
        <v>67</v>
      </c>
      <c r="C102" s="7" t="s">
        <v>74</v>
      </c>
      <c r="D102" s="7" t="s">
        <v>42</v>
      </c>
      <c r="E102" s="22" t="n">
        <v>-0.304699595950576</v>
      </c>
      <c r="F102" s="22" t="n">
        <v>0.231371361117781</v>
      </c>
      <c r="G102" s="23" t="n">
        <v>19</v>
      </c>
      <c r="H102" s="24" t="n">
        <f aca="false">IF(F102&gt;0,E102/F102,"")</f>
        <v>-1.31692874381055</v>
      </c>
      <c r="I102" s="24" t="n">
        <f aca="false">IF(H102="","",TDIST(ABS(H102),G102-1,2))</f>
        <v>0.204383266328573</v>
      </c>
    </row>
    <row r="103" customFormat="false" ht="15" hidden="false" customHeight="false" outlineLevel="0" collapsed="false">
      <c r="A103" s="7" t="s">
        <v>71</v>
      </c>
      <c r="B103" s="7" t="s">
        <v>67</v>
      </c>
      <c r="C103" s="7" t="s">
        <v>75</v>
      </c>
      <c r="D103" s="7" t="s">
        <v>42</v>
      </c>
      <c r="E103" s="22" t="n">
        <v>0.248582453887454</v>
      </c>
      <c r="F103" s="22" t="n">
        <v>0.199826901445832</v>
      </c>
      <c r="G103" s="23" t="n">
        <v>19</v>
      </c>
      <c r="H103" s="24" t="n">
        <f aca="false">IF(F103&gt;0,E103/F103,"")</f>
        <v>1.24398893286567</v>
      </c>
      <c r="I103" s="24" t="n">
        <f aca="false">IF(H103="","",TDIST(ABS(H103),G103-1,2))</f>
        <v>0.22946052445383</v>
      </c>
    </row>
    <row r="104" customFormat="false" ht="15" hidden="false" customHeight="false" outlineLevel="0" collapsed="false">
      <c r="A104" s="7" t="s">
        <v>71</v>
      </c>
      <c r="B104" s="7" t="s">
        <v>67</v>
      </c>
      <c r="C104" s="7" t="s">
        <v>76</v>
      </c>
      <c r="D104" s="7" t="s">
        <v>42</v>
      </c>
      <c r="E104" s="22" t="n">
        <v>-1.39789668403644</v>
      </c>
      <c r="F104" s="22" t="n">
        <v>0.331861037611107</v>
      </c>
      <c r="G104" s="23" t="n">
        <v>19</v>
      </c>
      <c r="H104" s="24" t="n">
        <f aca="false">IF(F104&gt;0,E104/F104,"")</f>
        <v>-4.21229528509632</v>
      </c>
      <c r="I104" s="24" t="n">
        <f aca="false">IF(H104="","",TDIST(ABS(H104),G104-1,2))</f>
        <v>0.000523718718813098</v>
      </c>
    </row>
    <row r="105" customFormat="false" ht="15" hidden="false" customHeight="false" outlineLevel="0" collapsed="false">
      <c r="A105" s="7" t="s">
        <v>71</v>
      </c>
      <c r="B105" s="7" t="s">
        <v>67</v>
      </c>
      <c r="C105" s="7" t="s">
        <v>77</v>
      </c>
      <c r="D105" s="7" t="s">
        <v>42</v>
      </c>
      <c r="E105" s="22" t="n">
        <v>-1.54983729314566</v>
      </c>
      <c r="F105" s="22" t="n">
        <v>0.516223256502089</v>
      </c>
      <c r="G105" s="23" t="n">
        <v>19</v>
      </c>
      <c r="H105" s="24" t="n">
        <f aca="false">IF(F105&gt;0,E105/F105,"")</f>
        <v>-3.0022616641631</v>
      </c>
      <c r="I105" s="24" t="n">
        <f aca="false">IF(H105="","",TDIST(ABS(H105),G105-1,2))</f>
        <v>0.00764770392572067</v>
      </c>
    </row>
    <row r="106" customFormat="false" ht="15" hidden="false" customHeight="false" outlineLevel="0" collapsed="false">
      <c r="A106" s="7" t="s">
        <v>71</v>
      </c>
      <c r="B106" s="7" t="s">
        <v>67</v>
      </c>
      <c r="C106" s="7" t="s">
        <v>78</v>
      </c>
      <c r="D106" s="7" t="s">
        <v>43</v>
      </c>
      <c r="E106" s="22" t="n">
        <v>-0.586299419325017</v>
      </c>
      <c r="F106" s="22" t="n">
        <v>0.18954475953591</v>
      </c>
      <c r="G106" s="23" t="n">
        <v>19</v>
      </c>
      <c r="H106" s="24" t="n">
        <f aca="false">IF(F106&gt;0,E106/F106,"")</f>
        <v>-3.09319772680891</v>
      </c>
      <c r="I106" s="24" t="n">
        <f aca="false">IF(H106="","",TDIST(ABS(H106),G106-1,2))</f>
        <v>0.00627193320325736</v>
      </c>
    </row>
    <row r="107" customFormat="false" ht="15" hidden="false" customHeight="false" outlineLevel="0" collapsed="false">
      <c r="A107" s="7" t="s">
        <v>71</v>
      </c>
      <c r="B107" s="7" t="s">
        <v>67</v>
      </c>
      <c r="C107" s="7" t="s">
        <v>79</v>
      </c>
      <c r="D107" s="7" t="s">
        <v>43</v>
      </c>
      <c r="E107" s="22" t="n">
        <v>-0.413643421159119</v>
      </c>
      <c r="F107" s="22" t="n">
        <v>0.178394200170821</v>
      </c>
      <c r="G107" s="23" t="n">
        <v>19</v>
      </c>
      <c r="H107" s="24" t="n">
        <f aca="false">IF(F107&gt;0,E107/F107,"")</f>
        <v>-2.31870442403978</v>
      </c>
      <c r="I107" s="24" t="n">
        <f aca="false">IF(H107="","",TDIST(ABS(H107),G107-1,2))</f>
        <v>0.0323772400600584</v>
      </c>
    </row>
    <row r="108" customFormat="false" ht="15" hidden="false" customHeight="false" outlineLevel="0" collapsed="false">
      <c r="A108" s="7" t="s">
        <v>71</v>
      </c>
      <c r="B108" s="7" t="s">
        <v>67</v>
      </c>
      <c r="C108" s="7" t="s">
        <v>80</v>
      </c>
      <c r="D108" s="7" t="s">
        <v>43</v>
      </c>
      <c r="E108" s="22" t="n">
        <v>-0.63568784681973</v>
      </c>
      <c r="F108" s="22" t="n">
        <v>0.21070423804593</v>
      </c>
      <c r="G108" s="23" t="n">
        <v>19</v>
      </c>
      <c r="H108" s="24" t="n">
        <f aca="false">IF(F108&gt;0,E108/F108,"")</f>
        <v>-3.01696754044957</v>
      </c>
      <c r="I108" s="24" t="n">
        <f aca="false">IF(H108="","",TDIST(ABS(H108),G108-1,2))</f>
        <v>0.00740686203894809</v>
      </c>
    </row>
    <row r="109" customFormat="false" ht="15" hidden="false" customHeight="false" outlineLevel="0" collapsed="false">
      <c r="A109" s="7" t="s">
        <v>71</v>
      </c>
      <c r="B109" s="7" t="s">
        <v>67</v>
      </c>
      <c r="C109" s="7" t="s">
        <v>78</v>
      </c>
      <c r="D109" s="7" t="s">
        <v>44</v>
      </c>
      <c r="E109" s="22" t="n">
        <v>-0.144049012372596</v>
      </c>
      <c r="F109" s="22" t="n">
        <v>0.213234292836722</v>
      </c>
      <c r="G109" s="23" t="n">
        <v>19</v>
      </c>
      <c r="H109" s="24" t="n">
        <f aca="false">IF(F109&gt;0,E109/F109,"")</f>
        <v>-0.675543368077746</v>
      </c>
      <c r="I109" s="24" t="n">
        <f aca="false">IF(H109="","",TDIST(ABS(H109),G109-1,2))</f>
        <v>0.507917161284079</v>
      </c>
    </row>
    <row r="110" customFormat="false" ht="15" hidden="false" customHeight="false" outlineLevel="0" collapsed="false">
      <c r="A110" s="7" t="s">
        <v>71</v>
      </c>
      <c r="B110" s="7" t="s">
        <v>67</v>
      </c>
      <c r="C110" s="7" t="s">
        <v>79</v>
      </c>
      <c r="D110" s="7" t="s">
        <v>44</v>
      </c>
      <c r="E110" s="22" t="n">
        <v>-0.508863284316566</v>
      </c>
      <c r="F110" s="22" t="n">
        <v>0.140937634113579</v>
      </c>
      <c r="G110" s="23" t="n">
        <v>19</v>
      </c>
      <c r="H110" s="24" t="n">
        <f aca="false">IF(F110&gt;0,E110/F110,"")</f>
        <v>-3.61055645298036</v>
      </c>
      <c r="I110" s="24" t="n">
        <f aca="false">IF(H110="","",TDIST(ABS(H110),G110-1,2))</f>
        <v>0.0019996815699653</v>
      </c>
    </row>
    <row r="111" customFormat="false" ht="15" hidden="false" customHeight="false" outlineLevel="0" collapsed="false">
      <c r="A111" s="7" t="s">
        <v>71</v>
      </c>
      <c r="B111" s="7" t="s">
        <v>67</v>
      </c>
      <c r="C111" s="7" t="s">
        <v>80</v>
      </c>
      <c r="D111" s="7" t="s">
        <v>44</v>
      </c>
      <c r="E111" s="22" t="n">
        <v>0.065004001977121</v>
      </c>
      <c r="F111" s="22" t="n">
        <v>0.199305617153452</v>
      </c>
      <c r="G111" s="23" t="n">
        <v>19</v>
      </c>
      <c r="H111" s="24" t="n">
        <f aca="false">IF(F111&gt;0,E111/F111,"")</f>
        <v>0.326152382986136</v>
      </c>
      <c r="I111" s="24" t="n">
        <f aca="false">IF(H111="","",TDIST(ABS(H111),G111-1,2))</f>
        <v>0.74807048006356</v>
      </c>
    </row>
    <row r="112" customFormat="false" ht="15" hidden="false" customHeight="false" outlineLevel="0" collapsed="false">
      <c r="A112" s="7" t="s">
        <v>71</v>
      </c>
      <c r="B112" s="7" t="s">
        <v>68</v>
      </c>
      <c r="C112" s="7" t="s">
        <v>72</v>
      </c>
      <c r="D112" s="7" t="s">
        <v>10</v>
      </c>
      <c r="E112" s="22" t="n">
        <v>-0.344153346635059</v>
      </c>
      <c r="F112" s="22" t="n">
        <v>0.167443528010255</v>
      </c>
      <c r="G112" s="23" t="n">
        <v>19</v>
      </c>
      <c r="H112" s="24" t="n">
        <f aca="false">IF(F112&gt;0,E112/F112,"")</f>
        <v>-2.05533979559951</v>
      </c>
      <c r="I112" s="24" t="n">
        <f aca="false">IF(H112="","",TDIST(ABS(H112),G112-1,2))</f>
        <v>0.0546510672905375</v>
      </c>
    </row>
    <row r="113" customFormat="false" ht="15" hidden="false" customHeight="false" outlineLevel="0" collapsed="false">
      <c r="A113" s="7" t="s">
        <v>71</v>
      </c>
      <c r="B113" s="7" t="s">
        <v>68</v>
      </c>
      <c r="C113" s="7" t="s">
        <v>73</v>
      </c>
      <c r="D113" s="7" t="s">
        <v>10</v>
      </c>
      <c r="E113" s="22" t="n">
        <v>-0.314545792766939</v>
      </c>
      <c r="F113" s="22" t="n">
        <v>0.116288563303111</v>
      </c>
      <c r="G113" s="23" t="n">
        <v>19</v>
      </c>
      <c r="H113" s="24" t="n">
        <f aca="false">IF(F113&gt;0,E113/F113,"")</f>
        <v>-2.70487298004588</v>
      </c>
      <c r="I113" s="24" t="n">
        <f aca="false">IF(H113="","",TDIST(ABS(H113),G113-1,2))</f>
        <v>0.0145007828696832</v>
      </c>
    </row>
    <row r="114" customFormat="false" ht="15" hidden="false" customHeight="false" outlineLevel="0" collapsed="false">
      <c r="A114" s="7" t="s">
        <v>71</v>
      </c>
      <c r="B114" s="7" t="s">
        <v>68</v>
      </c>
      <c r="C114" s="7" t="s">
        <v>74</v>
      </c>
      <c r="D114" s="7" t="s">
        <v>10</v>
      </c>
      <c r="E114" s="22" t="n">
        <v>-0.527457159925987</v>
      </c>
      <c r="F114" s="22" t="n">
        <v>0.194982495760456</v>
      </c>
      <c r="G114" s="23" t="n">
        <v>19</v>
      </c>
      <c r="H114" s="24" t="n">
        <f aca="false">IF(F114&gt;0,E114/F114,"")</f>
        <v>-2.70515134124651</v>
      </c>
      <c r="I114" s="24" t="n">
        <f aca="false">IF(H114="","",TDIST(ABS(H114),G114-1,2))</f>
        <v>0.0144922089837926</v>
      </c>
    </row>
    <row r="115" customFormat="false" ht="15" hidden="false" customHeight="false" outlineLevel="0" collapsed="false">
      <c r="A115" s="7" t="s">
        <v>71</v>
      </c>
      <c r="B115" s="7" t="s">
        <v>68</v>
      </c>
      <c r="C115" s="7" t="s">
        <v>75</v>
      </c>
      <c r="D115" s="7" t="s">
        <v>10</v>
      </c>
      <c r="E115" s="22" t="n">
        <v>-0.511821501437755</v>
      </c>
      <c r="F115" s="22" t="n">
        <v>0.140869343954928</v>
      </c>
      <c r="G115" s="23" t="n">
        <v>19</v>
      </c>
      <c r="H115" s="24" t="n">
        <f aca="false">IF(F115&gt;0,E115/F115,"")</f>
        <v>-3.63330648861057</v>
      </c>
      <c r="I115" s="24" t="n">
        <f aca="false">IF(H115="","",TDIST(ABS(H115),G115-1,2))</f>
        <v>0.00190097075085691</v>
      </c>
    </row>
    <row r="116" customFormat="false" ht="15" hidden="false" customHeight="false" outlineLevel="0" collapsed="false">
      <c r="A116" s="7" t="s">
        <v>71</v>
      </c>
      <c r="B116" s="7" t="s">
        <v>68</v>
      </c>
      <c r="C116" s="7" t="s">
        <v>76</v>
      </c>
      <c r="D116" s="7" t="s">
        <v>10</v>
      </c>
      <c r="E116" s="22" t="n">
        <v>-0.31644726891817</v>
      </c>
      <c r="F116" s="22" t="n">
        <v>0.131959183479936</v>
      </c>
      <c r="G116" s="23" t="n">
        <v>19</v>
      </c>
      <c r="H116" s="24" t="n">
        <f aca="false">IF(F116&gt;0,E116/F116,"")</f>
        <v>-2.39806931638285</v>
      </c>
      <c r="I116" s="24" t="n">
        <f aca="false">IF(H116="","",TDIST(ABS(H116),G116-1,2))</f>
        <v>0.0275357544685491</v>
      </c>
    </row>
    <row r="117" customFormat="false" ht="15" hidden="false" customHeight="false" outlineLevel="0" collapsed="false">
      <c r="A117" s="7" t="s">
        <v>71</v>
      </c>
      <c r="B117" s="7" t="s">
        <v>68</v>
      </c>
      <c r="C117" s="7" t="s">
        <v>77</v>
      </c>
      <c r="D117" s="7" t="s">
        <v>10</v>
      </c>
      <c r="E117" s="22" t="n">
        <v>-0.401725036642165</v>
      </c>
      <c r="F117" s="22" t="n">
        <v>0.105023556564721</v>
      </c>
      <c r="G117" s="23" t="n">
        <v>19</v>
      </c>
      <c r="H117" s="24" t="n">
        <f aca="false">IF(F117&gt;0,E117/F117,"")</f>
        <v>-3.8250945767067</v>
      </c>
      <c r="I117" s="24" t="n">
        <f aca="false">IF(H117="","",TDIST(ABS(H117),G117-1,2))</f>
        <v>0.00124006593263504</v>
      </c>
    </row>
    <row r="118" customFormat="false" ht="15" hidden="false" customHeight="false" outlineLevel="0" collapsed="false">
      <c r="A118" s="7" t="s">
        <v>71</v>
      </c>
      <c r="B118" s="7" t="s">
        <v>68</v>
      </c>
      <c r="C118" s="7" t="s">
        <v>78</v>
      </c>
      <c r="D118" s="7" t="s">
        <v>10</v>
      </c>
      <c r="E118" s="22" t="n">
        <v>-0.492311248451187</v>
      </c>
      <c r="F118" s="22" t="n">
        <v>0.11642179651468</v>
      </c>
      <c r="G118" s="23" t="n">
        <v>19</v>
      </c>
      <c r="H118" s="24" t="n">
        <f aca="false">IF(F118&gt;0,E118/F118,"")</f>
        <v>-4.22868623564925</v>
      </c>
      <c r="I118" s="24" t="n">
        <f aca="false">IF(H118="","",TDIST(ABS(H118),G118-1,2))</f>
        <v>0.000504999201634169</v>
      </c>
    </row>
    <row r="119" customFormat="false" ht="15" hidden="false" customHeight="false" outlineLevel="0" collapsed="false">
      <c r="A119" s="7" t="s">
        <v>71</v>
      </c>
      <c r="B119" s="7" t="s">
        <v>68</v>
      </c>
      <c r="C119" s="7" t="s">
        <v>79</v>
      </c>
      <c r="D119" s="7" t="s">
        <v>10</v>
      </c>
      <c r="E119" s="22" t="n">
        <v>-0.489134485521562</v>
      </c>
      <c r="F119" s="22" t="n">
        <v>0.132495574092288</v>
      </c>
      <c r="G119" s="23" t="n">
        <v>19</v>
      </c>
      <c r="H119" s="24" t="n">
        <f aca="false">IF(F119&gt;0,E119/F119,"")</f>
        <v>-3.69170433708874</v>
      </c>
      <c r="I119" s="24" t="n">
        <f aca="false">IF(H119="","",TDIST(ABS(H119),G119-1,2))</f>
        <v>0.00166921496590993</v>
      </c>
    </row>
    <row r="120" customFormat="false" ht="15" hidden="false" customHeight="false" outlineLevel="0" collapsed="false">
      <c r="A120" s="7" t="s">
        <v>71</v>
      </c>
      <c r="B120" s="7" t="s">
        <v>68</v>
      </c>
      <c r="C120" s="7" t="s">
        <v>80</v>
      </c>
      <c r="D120" s="7" t="s">
        <v>10</v>
      </c>
      <c r="E120" s="22" t="n">
        <v>-0.370903892075184</v>
      </c>
      <c r="F120" s="22" t="n">
        <v>0.136278449481173</v>
      </c>
      <c r="G120" s="23" t="n">
        <v>19</v>
      </c>
      <c r="H120" s="24" t="n">
        <f aca="false">IF(F120&gt;0,E120/F120,"")</f>
        <v>-2.72166210789201</v>
      </c>
      <c r="I120" s="24" t="n">
        <f aca="false">IF(H120="","",TDIST(ABS(H120),G120-1,2))</f>
        <v>0.0139922329200139</v>
      </c>
    </row>
    <row r="121" customFormat="false" ht="15" hidden="false" customHeight="false" outlineLevel="0" collapsed="false">
      <c r="A121" s="7" t="s">
        <v>71</v>
      </c>
      <c r="B121" s="7" t="s">
        <v>68</v>
      </c>
      <c r="C121" s="7" t="s">
        <v>72</v>
      </c>
      <c r="D121" s="7" t="s">
        <v>40</v>
      </c>
      <c r="E121" s="22" t="n">
        <v>-0.287097371511761</v>
      </c>
      <c r="F121" s="22" t="n">
        <v>0.245716165305771</v>
      </c>
      <c r="G121" s="23" t="n">
        <v>19</v>
      </c>
      <c r="H121" s="24" t="n">
        <f aca="false">IF(F121&gt;0,E121/F121,"")</f>
        <v>-1.16841059746515</v>
      </c>
      <c r="I121" s="24" t="n">
        <f aca="false">IF(H121="","",TDIST(ABS(H121),G121-1,2))</f>
        <v>0.257883899101368</v>
      </c>
    </row>
    <row r="122" customFormat="false" ht="15" hidden="false" customHeight="false" outlineLevel="0" collapsed="false">
      <c r="A122" s="7" t="s">
        <v>71</v>
      </c>
      <c r="B122" s="7" t="s">
        <v>68</v>
      </c>
      <c r="C122" s="7" t="s">
        <v>73</v>
      </c>
      <c r="D122" s="7" t="s">
        <v>40</v>
      </c>
      <c r="E122" s="22" t="n">
        <v>-0.37360908887024</v>
      </c>
      <c r="F122" s="22" t="n">
        <v>0.186833465496174</v>
      </c>
      <c r="G122" s="23" t="n">
        <v>19</v>
      </c>
      <c r="H122" s="24" t="n">
        <f aca="false">IF(F122&gt;0,E122/F122,"")</f>
        <v>-1.99969040812922</v>
      </c>
      <c r="I122" s="24" t="n">
        <f aca="false">IF(H122="","",TDIST(ABS(H122),G122-1,2))</f>
        <v>0.0608576808190579</v>
      </c>
    </row>
    <row r="123" customFormat="false" ht="15" hidden="false" customHeight="false" outlineLevel="0" collapsed="false">
      <c r="A123" s="7" t="s">
        <v>71</v>
      </c>
      <c r="B123" s="7" t="s">
        <v>68</v>
      </c>
      <c r="C123" s="7" t="s">
        <v>74</v>
      </c>
      <c r="D123" s="7" t="s">
        <v>40</v>
      </c>
      <c r="E123" s="22" t="n">
        <v>0.0729325978388214</v>
      </c>
      <c r="F123" s="22" t="n">
        <v>0.287746499961683</v>
      </c>
      <c r="G123" s="23" t="n">
        <v>19</v>
      </c>
      <c r="H123" s="24" t="n">
        <f aca="false">IF(F123&gt;0,E123/F123,"")</f>
        <v>0.253461285709933</v>
      </c>
      <c r="I123" s="24" t="n">
        <f aca="false">IF(H123="","",TDIST(ABS(H123),G123-1,2))</f>
        <v>0.802784126244629</v>
      </c>
    </row>
    <row r="124" customFormat="false" ht="15" hidden="false" customHeight="false" outlineLevel="0" collapsed="false">
      <c r="A124" s="7" t="s">
        <v>71</v>
      </c>
      <c r="B124" s="7" t="s">
        <v>68</v>
      </c>
      <c r="C124" s="7" t="s">
        <v>75</v>
      </c>
      <c r="D124" s="7" t="s">
        <v>40</v>
      </c>
      <c r="E124" s="22" t="n">
        <v>0.118120083888172</v>
      </c>
      <c r="F124" s="22" t="n">
        <v>0.278440444771109</v>
      </c>
      <c r="G124" s="23" t="n">
        <v>19</v>
      </c>
      <c r="H124" s="24" t="n">
        <f aca="false">IF(F124&gt;0,E124/F124,"")</f>
        <v>0.424220281594769</v>
      </c>
      <c r="I124" s="24" t="n">
        <f aca="false">IF(H124="","",TDIST(ABS(H124),G124-1,2))</f>
        <v>0.676432014090905</v>
      </c>
    </row>
    <row r="125" customFormat="false" ht="15" hidden="false" customHeight="false" outlineLevel="0" collapsed="false">
      <c r="A125" s="7" t="s">
        <v>71</v>
      </c>
      <c r="B125" s="7" t="s">
        <v>68</v>
      </c>
      <c r="C125" s="7" t="s">
        <v>76</v>
      </c>
      <c r="D125" s="7" t="s">
        <v>40</v>
      </c>
      <c r="E125" s="22" t="n">
        <v>-0.854367677354241</v>
      </c>
      <c r="F125" s="22" t="n">
        <v>0.232810494648987</v>
      </c>
      <c r="G125" s="23" t="n">
        <v>19</v>
      </c>
      <c r="H125" s="24" t="n">
        <f aca="false">IF(F125&gt;0,E125/F125,"")</f>
        <v>-3.66979881487898</v>
      </c>
      <c r="I125" s="24" t="n">
        <f aca="false">IF(H125="","",TDIST(ABS(H125),G125-1,2))</f>
        <v>0.00175265454240087</v>
      </c>
    </row>
    <row r="126" customFormat="false" ht="15" hidden="false" customHeight="false" outlineLevel="0" collapsed="false">
      <c r="A126" s="7" t="s">
        <v>71</v>
      </c>
      <c r="B126" s="7" t="s">
        <v>68</v>
      </c>
      <c r="C126" s="7" t="s">
        <v>77</v>
      </c>
      <c r="D126" s="7" t="s">
        <v>40</v>
      </c>
      <c r="E126" s="22" t="n">
        <v>-0.822912408417167</v>
      </c>
      <c r="F126" s="22" t="n">
        <v>0.413020833796465</v>
      </c>
      <c r="G126" s="23" t="n">
        <v>19</v>
      </c>
      <c r="H126" s="24" t="n">
        <f aca="false">IF(F126&gt;0,E126/F126,"")</f>
        <v>-1.99242348346693</v>
      </c>
      <c r="I126" s="24" t="n">
        <f aca="false">IF(H126="","",TDIST(ABS(H126),G126-1,2))</f>
        <v>0.0617133257784447</v>
      </c>
    </row>
    <row r="127" customFormat="false" ht="15" hidden="false" customHeight="false" outlineLevel="0" collapsed="false">
      <c r="A127" s="7" t="s">
        <v>71</v>
      </c>
      <c r="B127" s="7" t="s">
        <v>68</v>
      </c>
      <c r="C127" s="7" t="s">
        <v>78</v>
      </c>
      <c r="D127" s="7" t="s">
        <v>40</v>
      </c>
      <c r="E127" s="22" t="n">
        <v>0.713462486964075</v>
      </c>
      <c r="F127" s="22" t="n">
        <v>0.194154575056581</v>
      </c>
      <c r="G127" s="23" t="n">
        <v>19</v>
      </c>
      <c r="H127" s="24" t="n">
        <f aca="false">IF(F127&gt;0,E127/F127,"")</f>
        <v>3.67471375194818</v>
      </c>
      <c r="I127" s="24" t="n">
        <f aca="false">IF(H127="","",TDIST(ABS(H127),G127-1,2))</f>
        <v>0.00173357913006561</v>
      </c>
    </row>
    <row r="128" customFormat="false" ht="15" hidden="false" customHeight="false" outlineLevel="0" collapsed="false">
      <c r="A128" s="7" t="s">
        <v>71</v>
      </c>
      <c r="B128" s="7" t="s">
        <v>68</v>
      </c>
      <c r="C128" s="7" t="s">
        <v>79</v>
      </c>
      <c r="D128" s="7" t="s">
        <v>40</v>
      </c>
      <c r="E128" s="22" t="n">
        <v>0.134948130898598</v>
      </c>
      <c r="F128" s="22" t="n">
        <v>0.172989925215947</v>
      </c>
      <c r="G128" s="23" t="n">
        <v>19</v>
      </c>
      <c r="H128" s="24" t="n">
        <f aca="false">IF(F128&gt;0,E128/F128,"")</f>
        <v>0.780092428678374</v>
      </c>
      <c r="I128" s="24" t="n">
        <f aca="false">IF(H128="","",TDIST(ABS(H128),G128-1,2))</f>
        <v>0.445473947665938</v>
      </c>
    </row>
    <row r="129" customFormat="false" ht="15" hidden="false" customHeight="false" outlineLevel="0" collapsed="false">
      <c r="A129" s="7" t="s">
        <v>71</v>
      </c>
      <c r="B129" s="7" t="s">
        <v>68</v>
      </c>
      <c r="C129" s="7" t="s">
        <v>80</v>
      </c>
      <c r="D129" s="7" t="s">
        <v>40</v>
      </c>
      <c r="E129" s="22" t="n">
        <v>1.22278685290306</v>
      </c>
      <c r="F129" s="22" t="n">
        <v>0.585050378476718</v>
      </c>
      <c r="G129" s="23" t="n">
        <v>19</v>
      </c>
      <c r="H129" s="24" t="n">
        <f aca="false">IF(F129&gt;0,E129/F129,"")</f>
        <v>2.09005394729733</v>
      </c>
      <c r="I129" s="24" t="n">
        <f aca="false">IF(H129="","",TDIST(ABS(H129),G129-1,2))</f>
        <v>0.0510750979719304</v>
      </c>
    </row>
    <row r="130" customFormat="false" ht="15" hidden="false" customHeight="false" outlineLevel="0" collapsed="false">
      <c r="A130" s="7" t="s">
        <v>71</v>
      </c>
      <c r="B130" s="7" t="s">
        <v>68</v>
      </c>
      <c r="C130" s="7" t="s">
        <v>72</v>
      </c>
      <c r="D130" s="7" t="s">
        <v>41</v>
      </c>
      <c r="E130" s="22" t="n">
        <v>0.199886587668711</v>
      </c>
      <c r="F130" s="22" t="n">
        <v>0.19213631783739</v>
      </c>
      <c r="G130" s="23" t="n">
        <v>19</v>
      </c>
      <c r="H130" s="24" t="n">
        <f aca="false">IF(F130&gt;0,E130/F130,"")</f>
        <v>1.0403373496409</v>
      </c>
      <c r="I130" s="24" t="n">
        <f aca="false">IF(H130="","",TDIST(ABS(H130),G130-1,2))</f>
        <v>0.311956293849661</v>
      </c>
    </row>
    <row r="131" customFormat="false" ht="15" hidden="false" customHeight="false" outlineLevel="0" collapsed="false">
      <c r="A131" s="7" t="s">
        <v>71</v>
      </c>
      <c r="B131" s="7" t="s">
        <v>68</v>
      </c>
      <c r="C131" s="7" t="s">
        <v>73</v>
      </c>
      <c r="D131" s="7" t="s">
        <v>41</v>
      </c>
      <c r="E131" s="22" t="n">
        <v>0.0122124266111459</v>
      </c>
      <c r="F131" s="22" t="n">
        <v>0.174703008103085</v>
      </c>
      <c r="G131" s="23" t="n">
        <v>19</v>
      </c>
      <c r="H131" s="24" t="n">
        <f aca="false">IF(F131&gt;0,E131/F131,"")</f>
        <v>0.0699039286372213</v>
      </c>
      <c r="I131" s="24" t="n">
        <f aca="false">IF(H131="","",TDIST(ABS(H131),G131-1,2))</f>
        <v>0.945040891817178</v>
      </c>
    </row>
    <row r="132" customFormat="false" ht="15" hidden="false" customHeight="false" outlineLevel="0" collapsed="false">
      <c r="A132" s="7" t="s">
        <v>71</v>
      </c>
      <c r="B132" s="7" t="s">
        <v>68</v>
      </c>
      <c r="C132" s="7" t="s">
        <v>74</v>
      </c>
      <c r="D132" s="7" t="s">
        <v>41</v>
      </c>
      <c r="E132" s="22" t="n">
        <v>0.0934645410225989</v>
      </c>
      <c r="F132" s="22" t="n">
        <v>0.0750554305454139</v>
      </c>
      <c r="G132" s="23" t="n">
        <v>19</v>
      </c>
      <c r="H132" s="24" t="n">
        <f aca="false">IF(F132&gt;0,E132/F132,"")</f>
        <v>1.24527353108775</v>
      </c>
      <c r="I132" s="24" t="n">
        <f aca="false">IF(H132="","",TDIST(ABS(H132),G132-1,2))</f>
        <v>0.228999141372845</v>
      </c>
    </row>
    <row r="133" customFormat="false" ht="15" hidden="false" customHeight="false" outlineLevel="0" collapsed="false">
      <c r="A133" s="7" t="s">
        <v>71</v>
      </c>
      <c r="B133" s="7" t="s">
        <v>68</v>
      </c>
      <c r="C133" s="7" t="s">
        <v>75</v>
      </c>
      <c r="D133" s="7" t="s">
        <v>41</v>
      </c>
      <c r="E133" s="22" t="n">
        <v>-0.164120114848251</v>
      </c>
      <c r="F133" s="22" t="n">
        <v>0.140166754257892</v>
      </c>
      <c r="G133" s="23" t="n">
        <v>19</v>
      </c>
      <c r="H133" s="24" t="n">
        <f aca="false">IF(F133&gt;0,E133/F133,"")</f>
        <v>-1.17089188315146</v>
      </c>
      <c r="I133" s="24" t="n">
        <f aca="false">IF(H133="","",TDIST(ABS(H133),G133-1,2))</f>
        <v>0.256910359478994</v>
      </c>
    </row>
    <row r="134" customFormat="false" ht="15" hidden="false" customHeight="false" outlineLevel="0" collapsed="false">
      <c r="A134" s="7" t="s">
        <v>71</v>
      </c>
      <c r="B134" s="7" t="s">
        <v>68</v>
      </c>
      <c r="C134" s="7" t="s">
        <v>76</v>
      </c>
      <c r="D134" s="7" t="s">
        <v>41</v>
      </c>
      <c r="E134" s="22" t="n">
        <v>0.436080464245427</v>
      </c>
      <c r="F134" s="22" t="n">
        <v>0.189335933094083</v>
      </c>
      <c r="G134" s="23" t="n">
        <v>19</v>
      </c>
      <c r="H134" s="24" t="n">
        <f aca="false">IF(F134&gt;0,E134/F134,"")</f>
        <v>2.30321026293901</v>
      </c>
      <c r="I134" s="24" t="n">
        <f aca="false">IF(H134="","",TDIST(ABS(H134),G134-1,2))</f>
        <v>0.033410312835255</v>
      </c>
    </row>
    <row r="135" customFormat="false" ht="15" hidden="false" customHeight="false" outlineLevel="0" collapsed="false">
      <c r="A135" s="7" t="s">
        <v>71</v>
      </c>
      <c r="B135" s="7" t="s">
        <v>68</v>
      </c>
      <c r="C135" s="7" t="s">
        <v>77</v>
      </c>
      <c r="D135" s="7" t="s">
        <v>41</v>
      </c>
      <c r="E135" s="22" t="n">
        <v>-0.188213323507375</v>
      </c>
      <c r="F135" s="22" t="n">
        <v>0.134420055844284</v>
      </c>
      <c r="G135" s="23" t="n">
        <v>19</v>
      </c>
      <c r="H135" s="24" t="n">
        <f aca="false">IF(F135&gt;0,E135/F135,"")</f>
        <v>-1.40018780921656</v>
      </c>
      <c r="I135" s="24" t="n">
        <f aca="false">IF(H135="","",TDIST(ABS(H135),G135-1,2))</f>
        <v>0.178458250695013</v>
      </c>
    </row>
    <row r="136" customFormat="false" ht="15" hidden="false" customHeight="false" outlineLevel="0" collapsed="false">
      <c r="A136" s="7" t="s">
        <v>71</v>
      </c>
      <c r="B136" s="7" t="s">
        <v>68</v>
      </c>
      <c r="C136" s="7" t="s">
        <v>78</v>
      </c>
      <c r="D136" s="7" t="s">
        <v>41</v>
      </c>
      <c r="E136" s="22" t="n">
        <v>0.0286760372655483</v>
      </c>
      <c r="F136" s="22" t="n">
        <v>0.135700080483611</v>
      </c>
      <c r="G136" s="23" t="n">
        <v>19</v>
      </c>
      <c r="H136" s="24" t="n">
        <f aca="false">IF(F136&gt;0,E136/F136,"")</f>
        <v>0.211319235503414</v>
      </c>
      <c r="I136" s="24" t="n">
        <f aca="false">IF(H136="","",TDIST(ABS(H136),G136-1,2))</f>
        <v>0.835012262452835</v>
      </c>
    </row>
    <row r="137" customFormat="false" ht="15" hidden="false" customHeight="false" outlineLevel="0" collapsed="false">
      <c r="A137" s="7" t="s">
        <v>71</v>
      </c>
      <c r="B137" s="7" t="s">
        <v>68</v>
      </c>
      <c r="C137" s="7" t="s">
        <v>79</v>
      </c>
      <c r="D137" s="7" t="s">
        <v>41</v>
      </c>
      <c r="E137" s="22" t="n">
        <v>0.0600459986395818</v>
      </c>
      <c r="F137" s="22" t="n">
        <v>0.12257709463194</v>
      </c>
      <c r="G137" s="23" t="n">
        <v>19</v>
      </c>
      <c r="H137" s="24" t="n">
        <f aca="false">IF(F137&gt;0,E137/F137,"")</f>
        <v>0.489863125079616</v>
      </c>
      <c r="I137" s="24" t="n">
        <f aca="false">IF(H137="","",TDIST(ABS(H137),G137-1,2))</f>
        <v>0.630147748521963</v>
      </c>
    </row>
    <row r="138" customFormat="false" ht="15" hidden="false" customHeight="false" outlineLevel="0" collapsed="false">
      <c r="A138" s="7" t="s">
        <v>71</v>
      </c>
      <c r="B138" s="7" t="s">
        <v>68</v>
      </c>
      <c r="C138" s="7" t="s">
        <v>80</v>
      </c>
      <c r="D138" s="7" t="s">
        <v>41</v>
      </c>
      <c r="E138" s="22" t="n">
        <v>-1.21517942390365</v>
      </c>
      <c r="F138" s="22" t="n">
        <v>0.468693214487872</v>
      </c>
      <c r="G138" s="23" t="n">
        <v>19</v>
      </c>
      <c r="H138" s="24" t="n">
        <f aca="false">IF(F138&gt;0,E138/F138,"")</f>
        <v>-2.59269685658121</v>
      </c>
      <c r="I138" s="24" t="n">
        <f aca="false">IF(H138="","",TDIST(ABS(H138),G138-1,2))</f>
        <v>0.0183792995126905</v>
      </c>
    </row>
    <row r="139" customFormat="false" ht="15" hidden="false" customHeight="false" outlineLevel="0" collapsed="false">
      <c r="A139" s="7" t="s">
        <v>71</v>
      </c>
      <c r="B139" s="7" t="s">
        <v>68</v>
      </c>
      <c r="C139" s="7" t="s">
        <v>72</v>
      </c>
      <c r="D139" s="7" t="s">
        <v>42</v>
      </c>
      <c r="E139" s="22" t="n">
        <v>-0.63125071814682</v>
      </c>
      <c r="F139" s="22" t="n">
        <v>0.168083600353319</v>
      </c>
      <c r="G139" s="23" t="n">
        <v>19</v>
      </c>
      <c r="H139" s="24" t="n">
        <f aca="false">IF(F139&gt;0,E139/F139,"")</f>
        <v>-3.75557589687454</v>
      </c>
      <c r="I139" s="24" t="n">
        <f aca="false">IF(H139="","",TDIST(ABS(H139),G139-1,2))</f>
        <v>0.00144784470411362</v>
      </c>
    </row>
    <row r="140" customFormat="false" ht="15" hidden="false" customHeight="false" outlineLevel="0" collapsed="false">
      <c r="A140" s="7" t="s">
        <v>71</v>
      </c>
      <c r="B140" s="7" t="s">
        <v>68</v>
      </c>
      <c r="C140" s="7" t="s">
        <v>73</v>
      </c>
      <c r="D140" s="7" t="s">
        <v>42</v>
      </c>
      <c r="E140" s="22" t="n">
        <v>-0.688154881637179</v>
      </c>
      <c r="F140" s="22" t="n">
        <v>0.170457234213972</v>
      </c>
      <c r="G140" s="23" t="n">
        <v>19</v>
      </c>
      <c r="H140" s="24" t="n">
        <f aca="false">IF(F140&gt;0,E140/F140,"")</f>
        <v>-4.03711162398276</v>
      </c>
      <c r="I140" s="24" t="n">
        <f aca="false">IF(H140="","",TDIST(ABS(H140),G140-1,2))</f>
        <v>0.000773214899389858</v>
      </c>
    </row>
    <row r="141" customFormat="false" ht="15" hidden="false" customHeight="false" outlineLevel="0" collapsed="false">
      <c r="A141" s="7" t="s">
        <v>71</v>
      </c>
      <c r="B141" s="7" t="s">
        <v>68</v>
      </c>
      <c r="C141" s="7" t="s">
        <v>74</v>
      </c>
      <c r="D141" s="7" t="s">
        <v>42</v>
      </c>
      <c r="E141" s="22" t="n">
        <v>-0.454524562087166</v>
      </c>
      <c r="F141" s="22" t="n">
        <v>0.173683516416887</v>
      </c>
      <c r="G141" s="23" t="n">
        <v>19</v>
      </c>
      <c r="H141" s="24" t="n">
        <f aca="false">IF(F141&gt;0,E141/F141,"")</f>
        <v>-2.61697005832254</v>
      </c>
      <c r="I141" s="24" t="n">
        <f aca="false">IF(H141="","",TDIST(ABS(H141),G141-1,2))</f>
        <v>0.0174644598202423</v>
      </c>
    </row>
    <row r="142" customFormat="false" ht="15" hidden="false" customHeight="false" outlineLevel="0" collapsed="false">
      <c r="A142" s="7" t="s">
        <v>71</v>
      </c>
      <c r="B142" s="7" t="s">
        <v>68</v>
      </c>
      <c r="C142" s="7" t="s">
        <v>75</v>
      </c>
      <c r="D142" s="7" t="s">
        <v>42</v>
      </c>
      <c r="E142" s="22" t="n">
        <v>-0.393701417549582</v>
      </c>
      <c r="F142" s="22" t="n">
        <v>0.222561772788465</v>
      </c>
      <c r="G142" s="23" t="n">
        <v>19</v>
      </c>
      <c r="H142" s="24" t="n">
        <f aca="false">IF(F142&gt;0,E142/F142,"")</f>
        <v>-1.76895345780598</v>
      </c>
      <c r="I142" s="24" t="n">
        <f aca="false">IF(H142="","",TDIST(ABS(H142),G142-1,2))</f>
        <v>0.093843111311998</v>
      </c>
    </row>
    <row r="143" customFormat="false" ht="15" hidden="false" customHeight="false" outlineLevel="0" collapsed="false">
      <c r="A143" s="7" t="s">
        <v>71</v>
      </c>
      <c r="B143" s="7" t="s">
        <v>68</v>
      </c>
      <c r="C143" s="7" t="s">
        <v>76</v>
      </c>
      <c r="D143" s="7" t="s">
        <v>42</v>
      </c>
      <c r="E143" s="22" t="n">
        <v>-1.17081494627241</v>
      </c>
      <c r="F143" s="22" t="n">
        <v>0.154228061008893</v>
      </c>
      <c r="G143" s="23" t="n">
        <v>19</v>
      </c>
      <c r="H143" s="24" t="n">
        <f aca="false">IF(F143&gt;0,E143/F143,"")</f>
        <v>-7.59145215606969</v>
      </c>
      <c r="I143" s="24" t="n">
        <f aca="false">IF(H143="","",TDIST(ABS(H143),G143-1,2))</f>
        <v>5.12785407135391E-007</v>
      </c>
    </row>
    <row r="144" customFormat="false" ht="15" hidden="false" customHeight="false" outlineLevel="0" collapsed="false">
      <c r="A144" s="7" t="s">
        <v>71</v>
      </c>
      <c r="B144" s="7" t="s">
        <v>68</v>
      </c>
      <c r="C144" s="7" t="s">
        <v>77</v>
      </c>
      <c r="D144" s="7" t="s">
        <v>42</v>
      </c>
      <c r="E144" s="22" t="n">
        <v>-1.22463744505933</v>
      </c>
      <c r="F144" s="22" t="n">
        <v>0.386004777336226</v>
      </c>
      <c r="G144" s="23" t="n">
        <v>19</v>
      </c>
      <c r="H144" s="24" t="n">
        <f aca="false">IF(F144&gt;0,E144/F144,"")</f>
        <v>-3.17259660232812</v>
      </c>
      <c r="I144" s="24" t="n">
        <f aca="false">IF(H144="","",TDIST(ABS(H144),G144-1,2))</f>
        <v>0.00527042144703072</v>
      </c>
    </row>
    <row r="145" customFormat="false" ht="15" hidden="false" customHeight="false" outlineLevel="0" collapsed="false">
      <c r="A145" s="7" t="s">
        <v>71</v>
      </c>
      <c r="B145" s="7" t="s">
        <v>68</v>
      </c>
      <c r="C145" s="7" t="s">
        <v>78</v>
      </c>
      <c r="D145" s="7" t="s">
        <v>43</v>
      </c>
      <c r="E145" s="22" t="n">
        <v>-0.796993471549085</v>
      </c>
      <c r="F145" s="22" t="n">
        <v>0.151666304721382</v>
      </c>
      <c r="G145" s="23" t="n">
        <v>19</v>
      </c>
      <c r="H145" s="24" t="n">
        <f aca="false">IF(F145&gt;0,E145/F145,"")</f>
        <v>-5.25491455081732</v>
      </c>
      <c r="I145" s="24" t="n">
        <f aca="false">IF(H145="","",TDIST(ABS(H145),G145-1,2))</f>
        <v>5.36506657915467E-005</v>
      </c>
    </row>
    <row r="146" customFormat="false" ht="15" hidden="false" customHeight="false" outlineLevel="0" collapsed="false">
      <c r="A146" s="7" t="s">
        <v>71</v>
      </c>
      <c r="B146" s="7" t="s">
        <v>68</v>
      </c>
      <c r="C146" s="7" t="s">
        <v>79</v>
      </c>
      <c r="D146" s="7" t="s">
        <v>43</v>
      </c>
      <c r="E146" s="22" t="n">
        <v>-0.531030152095612</v>
      </c>
      <c r="F146" s="22" t="n">
        <v>0.15283031514427</v>
      </c>
      <c r="G146" s="23" t="n">
        <v>19</v>
      </c>
      <c r="H146" s="24" t="n">
        <f aca="false">IF(F146&gt;0,E146/F146,"")</f>
        <v>-3.47463886071507</v>
      </c>
      <c r="I146" s="24" t="n">
        <f aca="false">IF(H146="","",TDIST(ABS(H146),G146-1,2))</f>
        <v>0.00270478636707148</v>
      </c>
    </row>
    <row r="147" customFormat="false" ht="15" hidden="false" customHeight="false" outlineLevel="0" collapsed="false">
      <c r="A147" s="7" t="s">
        <v>71</v>
      </c>
      <c r="B147" s="7" t="s">
        <v>68</v>
      </c>
      <c r="C147" s="7" t="s">
        <v>80</v>
      </c>
      <c r="D147" s="7" t="s">
        <v>43</v>
      </c>
      <c r="E147" s="22" t="n">
        <v>-0.504923921396851</v>
      </c>
      <c r="F147" s="22" t="n">
        <v>0.117466624264153</v>
      </c>
      <c r="G147" s="23" t="n">
        <v>19</v>
      </c>
      <c r="H147" s="24" t="n">
        <f aca="false">IF(F147&gt;0,E147/F147,"")</f>
        <v>-4.29844583139978</v>
      </c>
      <c r="I147" s="24" t="n">
        <f aca="false">IF(H147="","",TDIST(ABS(H147),G147-1,2))</f>
        <v>0.000432585132618365</v>
      </c>
    </row>
    <row r="148" customFormat="false" ht="15" hidden="false" customHeight="false" outlineLevel="0" collapsed="false">
      <c r="A148" s="7" t="s">
        <v>71</v>
      </c>
      <c r="B148" s="7" t="s">
        <v>68</v>
      </c>
      <c r="C148" s="7" t="s">
        <v>78</v>
      </c>
      <c r="D148" s="7" t="s">
        <v>44</v>
      </c>
      <c r="E148" s="22" t="n">
        <v>-0.255396754202779</v>
      </c>
      <c r="F148" s="22" t="n">
        <v>0.125335942655396</v>
      </c>
      <c r="G148" s="23" t="n">
        <v>19</v>
      </c>
      <c r="H148" s="24" t="n">
        <f aca="false">IF(F148&gt;0,E148/F148,"")</f>
        <v>-2.0376976371812</v>
      </c>
      <c r="I148" s="24" t="n">
        <f aca="false">IF(H148="","",TDIST(ABS(H148),G148-1,2))</f>
        <v>0.0565538937757262</v>
      </c>
    </row>
    <row r="149" customFormat="false" ht="15" hidden="false" customHeight="false" outlineLevel="0" collapsed="false">
      <c r="A149" s="7" t="s">
        <v>71</v>
      </c>
      <c r="B149" s="7" t="s">
        <v>68</v>
      </c>
      <c r="C149" s="7" t="s">
        <v>79</v>
      </c>
      <c r="D149" s="7" t="s">
        <v>44</v>
      </c>
      <c r="E149" s="22" t="n">
        <v>-0.444868501837502</v>
      </c>
      <c r="F149" s="22" t="n">
        <v>0.133012239691231</v>
      </c>
      <c r="G149" s="23" t="n">
        <v>19</v>
      </c>
      <c r="H149" s="24" t="n">
        <f aca="false">IF(F149&gt;0,E149/F149,"")</f>
        <v>-3.34456816057081</v>
      </c>
      <c r="I149" s="24" t="n">
        <f aca="false">IF(H149="","",TDIST(ABS(H149),G149-1,2))</f>
        <v>0.00360799990537606</v>
      </c>
    </row>
    <row r="150" customFormat="false" ht="15" hidden="false" customHeight="false" outlineLevel="0" collapsed="false">
      <c r="A150" s="7" t="s">
        <v>71</v>
      </c>
      <c r="B150" s="7" t="s">
        <v>68</v>
      </c>
      <c r="C150" s="7" t="s">
        <v>80</v>
      </c>
      <c r="D150" s="7" t="s">
        <v>44</v>
      </c>
      <c r="E150" s="22" t="n">
        <v>-0.226874611876294</v>
      </c>
      <c r="F150" s="22" t="n">
        <v>0.181299106284925</v>
      </c>
      <c r="G150" s="23" t="n">
        <v>19</v>
      </c>
      <c r="H150" s="24" t="n">
        <f aca="false">IF(F150&gt;0,E150/F150,"")</f>
        <v>-1.25138295783844</v>
      </c>
      <c r="I150" s="24" t="n">
        <f aca="false">IF(H150="","",TDIST(ABS(H150),G150-1,2))</f>
        <v>0.226814648822966</v>
      </c>
    </row>
    <row r="151" customFormat="false" ht="15" hidden="false" customHeight="false" outlineLevel="0" collapsed="false">
      <c r="A151" s="7" t="s">
        <v>71</v>
      </c>
      <c r="B151" s="7" t="s">
        <v>69</v>
      </c>
      <c r="C151" s="7" t="s">
        <v>72</v>
      </c>
      <c r="D151" s="7" t="s">
        <v>10</v>
      </c>
      <c r="E151" s="22" t="n">
        <v>-0.278198640160325</v>
      </c>
      <c r="F151" s="22" t="n">
        <v>0.15461571607226</v>
      </c>
      <c r="G151" s="23" t="n">
        <v>19</v>
      </c>
      <c r="H151" s="24" t="n">
        <f aca="false">IF(F151&gt;0,E151/F151,"")</f>
        <v>-1.79929083037269</v>
      </c>
      <c r="I151" s="24" t="n">
        <f aca="false">IF(H151="","",TDIST(ABS(H151),G151-1,2))</f>
        <v>0.0887602128626406</v>
      </c>
    </row>
    <row r="152" customFormat="false" ht="15" hidden="false" customHeight="false" outlineLevel="0" collapsed="false">
      <c r="A152" s="7" t="s">
        <v>71</v>
      </c>
      <c r="B152" s="7" t="s">
        <v>69</v>
      </c>
      <c r="C152" s="7" t="s">
        <v>73</v>
      </c>
      <c r="D152" s="7" t="s">
        <v>10</v>
      </c>
      <c r="E152" s="22" t="n">
        <v>-0.288466028490777</v>
      </c>
      <c r="F152" s="22" t="n">
        <v>0.122050560973723</v>
      </c>
      <c r="G152" s="23" t="n">
        <v>19</v>
      </c>
      <c r="H152" s="24" t="n">
        <f aca="false">IF(F152&gt;0,E152/F152,"")</f>
        <v>-2.36349612971368</v>
      </c>
      <c r="I152" s="24" t="n">
        <f aca="false">IF(H152="","",TDIST(ABS(H152),G152-1,2))</f>
        <v>0.0295552951006206</v>
      </c>
    </row>
    <row r="153" customFormat="false" ht="15" hidden="false" customHeight="false" outlineLevel="0" collapsed="false">
      <c r="A153" s="7" t="s">
        <v>71</v>
      </c>
      <c r="B153" s="7" t="s">
        <v>69</v>
      </c>
      <c r="C153" s="7" t="s">
        <v>74</v>
      </c>
      <c r="D153" s="7" t="s">
        <v>10</v>
      </c>
      <c r="E153" s="22" t="n">
        <v>-0.477665041787849</v>
      </c>
      <c r="F153" s="22" t="n">
        <v>0.204575084660904</v>
      </c>
      <c r="G153" s="23" t="n">
        <v>19</v>
      </c>
      <c r="H153" s="24" t="n">
        <f aca="false">IF(F153&gt;0,E153/F153,"")</f>
        <v>-2.33491308376877</v>
      </c>
      <c r="I153" s="24" t="n">
        <f aca="false">IF(H153="","",TDIST(ABS(H153),G153-1,2))</f>
        <v>0.0313283333532445</v>
      </c>
    </row>
    <row r="154" customFormat="false" ht="15" hidden="false" customHeight="false" outlineLevel="0" collapsed="false">
      <c r="A154" s="7" t="s">
        <v>71</v>
      </c>
      <c r="B154" s="7" t="s">
        <v>69</v>
      </c>
      <c r="C154" s="7" t="s">
        <v>75</v>
      </c>
      <c r="D154" s="7" t="s">
        <v>10</v>
      </c>
      <c r="E154" s="22" t="n">
        <v>-0.484371554935263</v>
      </c>
      <c r="F154" s="22" t="n">
        <v>0.138324482616005</v>
      </c>
      <c r="G154" s="23" t="n">
        <v>19</v>
      </c>
      <c r="H154" s="24" t="n">
        <f aca="false">IF(F154&gt;0,E154/F154,"")</f>
        <v>-3.50170516292405</v>
      </c>
      <c r="I154" s="24" t="n">
        <f aca="false">IF(H154="","",TDIST(ABS(H154),G154-1,2))</f>
        <v>0.00254706549858347</v>
      </c>
    </row>
    <row r="155" customFormat="false" ht="15" hidden="false" customHeight="false" outlineLevel="0" collapsed="false">
      <c r="A155" s="7" t="s">
        <v>71</v>
      </c>
      <c r="B155" s="7" t="s">
        <v>69</v>
      </c>
      <c r="C155" s="7" t="s">
        <v>76</v>
      </c>
      <c r="D155" s="7" t="s">
        <v>10</v>
      </c>
      <c r="E155" s="22" t="n">
        <v>-0.276342558457521</v>
      </c>
      <c r="F155" s="22" t="n">
        <v>0.12191881770916</v>
      </c>
      <c r="G155" s="23" t="n">
        <v>19</v>
      </c>
      <c r="H155" s="24" t="n">
        <f aca="false">IF(F155&gt;0,E155/F155,"")</f>
        <v>-2.26661120612851</v>
      </c>
      <c r="I155" s="24" t="n">
        <f aca="false">IF(H155="","",TDIST(ABS(H155),G155-1,2))</f>
        <v>0.035973070596555</v>
      </c>
    </row>
    <row r="156" customFormat="false" ht="15" hidden="false" customHeight="false" outlineLevel="0" collapsed="false">
      <c r="A156" s="7" t="s">
        <v>71</v>
      </c>
      <c r="B156" s="7" t="s">
        <v>69</v>
      </c>
      <c r="C156" s="7" t="s">
        <v>77</v>
      </c>
      <c r="D156" s="7" t="s">
        <v>10</v>
      </c>
      <c r="E156" s="22" t="n">
        <v>-0.39346398556501</v>
      </c>
      <c r="F156" s="22" t="n">
        <v>0.110400592327896</v>
      </c>
      <c r="G156" s="23" t="n">
        <v>19</v>
      </c>
      <c r="H156" s="24" t="n">
        <f aca="false">IF(F156&gt;0,E156/F156,"")</f>
        <v>-3.56396625478604</v>
      </c>
      <c r="I156" s="24" t="n">
        <f aca="false">IF(H156="","",TDIST(ABS(H156),G156-1,2))</f>
        <v>0.00221800084663693</v>
      </c>
    </row>
    <row r="157" customFormat="false" ht="15" hidden="false" customHeight="false" outlineLevel="0" collapsed="false">
      <c r="A157" s="7" t="s">
        <v>71</v>
      </c>
      <c r="B157" s="7" t="s">
        <v>69</v>
      </c>
      <c r="C157" s="7" t="s">
        <v>78</v>
      </c>
      <c r="D157" s="7" t="s">
        <v>10</v>
      </c>
      <c r="E157" s="22" t="n">
        <v>-0.50322821585554</v>
      </c>
      <c r="F157" s="22" t="n">
        <v>0.118465463256202</v>
      </c>
      <c r="G157" s="23" t="n">
        <v>19</v>
      </c>
      <c r="H157" s="24" t="n">
        <f aca="false">IF(F157&gt;0,E157/F157,"")</f>
        <v>-4.24788965512441</v>
      </c>
      <c r="I157" s="24" t="n">
        <f aca="false">IF(H157="","",TDIST(ABS(H157),G157-1,2))</f>
        <v>0.000483924025407567</v>
      </c>
    </row>
    <row r="158" customFormat="false" ht="15" hidden="false" customHeight="false" outlineLevel="0" collapsed="false">
      <c r="A158" s="7" t="s">
        <v>71</v>
      </c>
      <c r="B158" s="7" t="s">
        <v>69</v>
      </c>
      <c r="C158" s="7" t="s">
        <v>79</v>
      </c>
      <c r="D158" s="7" t="s">
        <v>10</v>
      </c>
      <c r="E158" s="22" t="n">
        <v>-0.48626133078861</v>
      </c>
      <c r="F158" s="22" t="n">
        <v>0.136211728429811</v>
      </c>
      <c r="G158" s="23" t="n">
        <v>19</v>
      </c>
      <c r="H158" s="24" t="n">
        <f aca="false">IF(F158&gt;0,E158/F158,"")</f>
        <v>-3.56989325657942</v>
      </c>
      <c r="I158" s="24" t="n">
        <f aca="false">IF(H158="","",TDIST(ABS(H158),G158-1,2))</f>
        <v>0.00218896493961081</v>
      </c>
    </row>
    <row r="159" customFormat="false" ht="15" hidden="false" customHeight="false" outlineLevel="0" collapsed="false">
      <c r="A159" s="7" t="s">
        <v>71</v>
      </c>
      <c r="B159" s="7" t="s">
        <v>69</v>
      </c>
      <c r="C159" s="7" t="s">
        <v>80</v>
      </c>
      <c r="D159" s="7" t="s">
        <v>10</v>
      </c>
      <c r="E159" s="22" t="n">
        <v>-0.349171046460651</v>
      </c>
      <c r="F159" s="22" t="n">
        <v>0.138185686608926</v>
      </c>
      <c r="G159" s="23" t="n">
        <v>19</v>
      </c>
      <c r="H159" s="24" t="n">
        <f aca="false">IF(F159&gt;0,E159/F159,"")</f>
        <v>-2.52682499200389</v>
      </c>
      <c r="I159" s="24" t="n">
        <f aca="false">IF(H159="","",TDIST(ABS(H159),G159-1,2))</f>
        <v>0.0210963095416531</v>
      </c>
    </row>
    <row r="160" customFormat="false" ht="15" hidden="false" customHeight="false" outlineLevel="0" collapsed="false">
      <c r="A160" s="7" t="s">
        <v>71</v>
      </c>
      <c r="B160" s="7" t="s">
        <v>69</v>
      </c>
      <c r="C160" s="7" t="s">
        <v>72</v>
      </c>
      <c r="D160" s="7" t="s">
        <v>40</v>
      </c>
      <c r="E160" s="22" t="n">
        <v>-0.364334716093415</v>
      </c>
      <c r="F160" s="22" t="n">
        <v>0.239959161080585</v>
      </c>
      <c r="G160" s="23" t="n">
        <v>19</v>
      </c>
      <c r="H160" s="24" t="n">
        <f aca="false">IF(F160&gt;0,E160/F160,"")</f>
        <v>-1.51831967761823</v>
      </c>
      <c r="I160" s="24" t="n">
        <f aca="false">IF(H160="","",TDIST(ABS(H160),G160-1,2))</f>
        <v>0.14630234812152</v>
      </c>
    </row>
    <row r="161" customFormat="false" ht="15" hidden="false" customHeight="false" outlineLevel="0" collapsed="false">
      <c r="A161" s="7" t="s">
        <v>71</v>
      </c>
      <c r="B161" s="7" t="s">
        <v>69</v>
      </c>
      <c r="C161" s="7" t="s">
        <v>73</v>
      </c>
      <c r="D161" s="7" t="s">
        <v>40</v>
      </c>
      <c r="E161" s="22" t="n">
        <v>-0.361505787362854</v>
      </c>
      <c r="F161" s="22" t="n">
        <v>0.199930522826916</v>
      </c>
      <c r="G161" s="23" t="n">
        <v>19</v>
      </c>
      <c r="H161" s="24" t="n">
        <f aca="false">IF(F161&gt;0,E161/F161,"")</f>
        <v>-1.80815706502112</v>
      </c>
      <c r="I161" s="24" t="n">
        <f aca="false">IF(H161="","",TDIST(ABS(H161),G161-1,2))</f>
        <v>0.0873208567007271</v>
      </c>
    </row>
    <row r="162" customFormat="false" ht="15" hidden="false" customHeight="false" outlineLevel="0" collapsed="false">
      <c r="A162" s="7" t="s">
        <v>71</v>
      </c>
      <c r="B162" s="7" t="s">
        <v>69</v>
      </c>
      <c r="C162" s="7" t="s">
        <v>74</v>
      </c>
      <c r="D162" s="7" t="s">
        <v>40</v>
      </c>
      <c r="E162" s="22" t="n">
        <v>0.0319851874254831</v>
      </c>
      <c r="F162" s="22" t="n">
        <v>0.29936674495386</v>
      </c>
      <c r="G162" s="23" t="n">
        <v>19</v>
      </c>
      <c r="H162" s="24" t="n">
        <f aca="false">IF(F162&gt;0,E162/F162,"")</f>
        <v>0.106842820602578</v>
      </c>
      <c r="I162" s="24" t="n">
        <f aca="false">IF(H162="","",TDIST(ABS(H162),G162-1,2))</f>
        <v>0.916095487537547</v>
      </c>
    </row>
    <row r="163" customFormat="false" ht="15" hidden="false" customHeight="false" outlineLevel="0" collapsed="false">
      <c r="A163" s="7" t="s">
        <v>71</v>
      </c>
      <c r="B163" s="7" t="s">
        <v>69</v>
      </c>
      <c r="C163" s="7" t="s">
        <v>75</v>
      </c>
      <c r="D163" s="7" t="s">
        <v>40</v>
      </c>
      <c r="E163" s="22" t="n">
        <v>0.139907040049866</v>
      </c>
      <c r="F163" s="22" t="n">
        <v>0.285332333589043</v>
      </c>
      <c r="G163" s="23" t="n">
        <v>19</v>
      </c>
      <c r="H163" s="24" t="n">
        <f aca="false">IF(F163&gt;0,E163/F163,"")</f>
        <v>0.490330129397007</v>
      </c>
      <c r="I163" s="24" t="n">
        <f aca="false">IF(H163="","",TDIST(ABS(H163),G163-1,2))</f>
        <v>0.629823751504454</v>
      </c>
    </row>
    <row r="164" customFormat="false" ht="15" hidden="false" customHeight="false" outlineLevel="0" collapsed="false">
      <c r="A164" s="7" t="s">
        <v>71</v>
      </c>
      <c r="B164" s="7" t="s">
        <v>69</v>
      </c>
      <c r="C164" s="7" t="s">
        <v>76</v>
      </c>
      <c r="D164" s="7" t="s">
        <v>40</v>
      </c>
      <c r="E164" s="22" t="n">
        <v>-0.879771512140549</v>
      </c>
      <c r="F164" s="22" t="n">
        <v>0.219494511307183</v>
      </c>
      <c r="G164" s="23" t="n">
        <v>19</v>
      </c>
      <c r="H164" s="24" t="n">
        <f aca="false">IF(F164&gt;0,E164/F164,"")</f>
        <v>-4.00817089639799</v>
      </c>
      <c r="I164" s="24" t="n">
        <f aca="false">IF(H164="","",TDIST(ABS(H164),G164-1,2))</f>
        <v>0.000824684644403986</v>
      </c>
    </row>
    <row r="165" customFormat="false" ht="15" hidden="false" customHeight="false" outlineLevel="0" collapsed="false">
      <c r="A165" s="7" t="s">
        <v>71</v>
      </c>
      <c r="B165" s="7" t="s">
        <v>69</v>
      </c>
      <c r="C165" s="7" t="s">
        <v>77</v>
      </c>
      <c r="D165" s="7" t="s">
        <v>40</v>
      </c>
      <c r="E165" s="22" t="n">
        <v>-0.729473438979807</v>
      </c>
      <c r="F165" s="22" t="n">
        <v>0.438687644065669</v>
      </c>
      <c r="G165" s="23" t="n">
        <v>19</v>
      </c>
      <c r="H165" s="24" t="n">
        <f aca="false">IF(F165&gt;0,E165/F165,"")</f>
        <v>-1.66285385250242</v>
      </c>
      <c r="I165" s="24" t="n">
        <f aca="false">IF(H165="","",TDIST(ABS(H165),G165-1,2))</f>
        <v>0.113655815157652</v>
      </c>
    </row>
    <row r="166" customFormat="false" ht="15" hidden="false" customHeight="false" outlineLevel="0" collapsed="false">
      <c r="A166" s="7" t="s">
        <v>71</v>
      </c>
      <c r="B166" s="7" t="s">
        <v>69</v>
      </c>
      <c r="C166" s="7" t="s">
        <v>78</v>
      </c>
      <c r="D166" s="7" t="s">
        <v>40</v>
      </c>
      <c r="E166" s="22" t="n">
        <v>0.723411508385831</v>
      </c>
      <c r="F166" s="22" t="n">
        <v>0.195572650303001</v>
      </c>
      <c r="G166" s="23" t="n">
        <v>19</v>
      </c>
      <c r="H166" s="24" t="n">
        <f aca="false">IF(F166&gt;0,E166/F166,"")</f>
        <v>3.69894004741997</v>
      </c>
      <c r="I166" s="24" t="n">
        <f aca="false">IF(H166="","",TDIST(ABS(H166),G166-1,2))</f>
        <v>0.00164253219736185</v>
      </c>
    </row>
    <row r="167" customFormat="false" ht="15" hidden="false" customHeight="false" outlineLevel="0" collapsed="false">
      <c r="A167" s="7" t="s">
        <v>71</v>
      </c>
      <c r="B167" s="7" t="s">
        <v>69</v>
      </c>
      <c r="C167" s="7" t="s">
        <v>79</v>
      </c>
      <c r="D167" s="7" t="s">
        <v>40</v>
      </c>
      <c r="E167" s="22" t="n">
        <v>0.150320654819024</v>
      </c>
      <c r="F167" s="22" t="n">
        <v>0.177201870170189</v>
      </c>
      <c r="G167" s="23" t="n">
        <v>19</v>
      </c>
      <c r="H167" s="24" t="n">
        <f aca="false">IF(F167&gt;0,E167/F167,"")</f>
        <v>0.848301740126399</v>
      </c>
      <c r="I167" s="24" t="n">
        <f aca="false">IF(H167="","",TDIST(ABS(H167),G167-1,2))</f>
        <v>0.407409765292392</v>
      </c>
    </row>
    <row r="168" customFormat="false" ht="15" hidden="false" customHeight="false" outlineLevel="0" collapsed="false">
      <c r="A168" s="7" t="s">
        <v>71</v>
      </c>
      <c r="B168" s="7" t="s">
        <v>69</v>
      </c>
      <c r="C168" s="7" t="s">
        <v>80</v>
      </c>
      <c r="D168" s="7" t="s">
        <v>40</v>
      </c>
      <c r="E168" s="22" t="n">
        <v>1.13892124080796</v>
      </c>
      <c r="F168" s="22" t="n">
        <v>0.580305353699914</v>
      </c>
      <c r="G168" s="23" t="n">
        <v>19</v>
      </c>
      <c r="H168" s="24" t="n">
        <f aca="false">IF(F168&gt;0,E168/F168,"")</f>
        <v>1.96262404533479</v>
      </c>
      <c r="I168" s="24" t="n">
        <f aca="false">IF(H168="","",TDIST(ABS(H168),G168-1,2))</f>
        <v>0.0653360129697859</v>
      </c>
    </row>
    <row r="169" customFormat="false" ht="15" hidden="false" customHeight="false" outlineLevel="0" collapsed="false">
      <c r="A169" s="7" t="s">
        <v>71</v>
      </c>
      <c r="B169" s="7" t="s">
        <v>69</v>
      </c>
      <c r="C169" s="7" t="s">
        <v>72</v>
      </c>
      <c r="D169" s="7" t="s">
        <v>41</v>
      </c>
      <c r="E169" s="22" t="n">
        <v>0.205172439404871</v>
      </c>
      <c r="F169" s="22" t="n">
        <v>0.192036989357258</v>
      </c>
      <c r="G169" s="23" t="n">
        <v>19</v>
      </c>
      <c r="H169" s="24" t="n">
        <f aca="false">IF(F169&gt;0,E169/F169,"")</f>
        <v>1.06840062475243</v>
      </c>
      <c r="I169" s="24" t="n">
        <f aca="false">IF(H169="","",TDIST(ABS(H169),G169-1,2))</f>
        <v>0.299459478780565</v>
      </c>
    </row>
    <row r="170" customFormat="false" ht="15" hidden="false" customHeight="false" outlineLevel="0" collapsed="false">
      <c r="A170" s="7" t="s">
        <v>71</v>
      </c>
      <c r="B170" s="7" t="s">
        <v>69</v>
      </c>
      <c r="C170" s="7" t="s">
        <v>73</v>
      </c>
      <c r="D170" s="7" t="s">
        <v>41</v>
      </c>
      <c r="E170" s="22" t="n">
        <v>-0.00990371412728956</v>
      </c>
      <c r="F170" s="22" t="n">
        <v>0.182612441895637</v>
      </c>
      <c r="G170" s="23" t="n">
        <v>19</v>
      </c>
      <c r="H170" s="24" t="n">
        <f aca="false">IF(F170&gt;0,E170/F170,"")</f>
        <v>-0.0542335123745267</v>
      </c>
      <c r="I170" s="24" t="n">
        <f aca="false">IF(H170="","",TDIST(ABS(H170),G170-1,2))</f>
        <v>0.957346531741126</v>
      </c>
    </row>
    <row r="171" customFormat="false" ht="15" hidden="false" customHeight="false" outlineLevel="0" collapsed="false">
      <c r="A171" s="7" t="s">
        <v>71</v>
      </c>
      <c r="B171" s="7" t="s">
        <v>69</v>
      </c>
      <c r="C171" s="7" t="s">
        <v>74</v>
      </c>
      <c r="D171" s="7" t="s">
        <v>41</v>
      </c>
      <c r="E171" s="22" t="n">
        <v>0.0937188399502295</v>
      </c>
      <c r="F171" s="22" t="n">
        <v>0.0753149826210819</v>
      </c>
      <c r="G171" s="23" t="n">
        <v>19</v>
      </c>
      <c r="H171" s="24" t="n">
        <f aca="false">IF(F171&gt;0,E171/F171,"")</f>
        <v>1.24435851524709</v>
      </c>
      <c r="I171" s="24" t="n">
        <f aca="false">IF(H171="","",TDIST(ABS(H171),G171-1,2))</f>
        <v>0.229327709827023</v>
      </c>
    </row>
    <row r="172" customFormat="false" ht="15" hidden="false" customHeight="false" outlineLevel="0" collapsed="false">
      <c r="A172" s="7" t="s">
        <v>71</v>
      </c>
      <c r="B172" s="7" t="s">
        <v>69</v>
      </c>
      <c r="C172" s="7" t="s">
        <v>75</v>
      </c>
      <c r="D172" s="7" t="s">
        <v>41</v>
      </c>
      <c r="E172" s="22" t="n">
        <v>-0.166215826352968</v>
      </c>
      <c r="F172" s="22" t="n">
        <v>0.142122083240106</v>
      </c>
      <c r="G172" s="23" t="n">
        <v>19</v>
      </c>
      <c r="H172" s="24" t="n">
        <f aca="false">IF(F172&gt;0,E172/F172,"")</f>
        <v>-1.16952849665282</v>
      </c>
      <c r="I172" s="24" t="n">
        <f aca="false">IF(H172="","",TDIST(ABS(H172),G172-1,2))</f>
        <v>0.257444945035891</v>
      </c>
    </row>
    <row r="173" customFormat="false" ht="15" hidden="false" customHeight="false" outlineLevel="0" collapsed="false">
      <c r="A173" s="7" t="s">
        <v>71</v>
      </c>
      <c r="B173" s="7" t="s">
        <v>69</v>
      </c>
      <c r="C173" s="7" t="s">
        <v>76</v>
      </c>
      <c r="D173" s="7" t="s">
        <v>41</v>
      </c>
      <c r="E173" s="22" t="n">
        <v>0.429813543597097</v>
      </c>
      <c r="F173" s="22" t="n">
        <v>0.189974826947844</v>
      </c>
      <c r="G173" s="23" t="n">
        <v>19</v>
      </c>
      <c r="H173" s="24" t="n">
        <f aca="false">IF(F173&gt;0,E173/F173,"")</f>
        <v>2.26247630016318</v>
      </c>
      <c r="I173" s="24" t="n">
        <f aca="false">IF(H173="","",TDIST(ABS(H173),G173-1,2))</f>
        <v>0.0362737658996507</v>
      </c>
    </row>
    <row r="174" customFormat="false" ht="15" hidden="false" customHeight="false" outlineLevel="0" collapsed="false">
      <c r="A174" s="7" t="s">
        <v>71</v>
      </c>
      <c r="B174" s="7" t="s">
        <v>69</v>
      </c>
      <c r="C174" s="7" t="s">
        <v>77</v>
      </c>
      <c r="D174" s="7" t="s">
        <v>41</v>
      </c>
      <c r="E174" s="22" t="n">
        <v>-0.186899793172648</v>
      </c>
      <c r="F174" s="22" t="n">
        <v>0.134824398971898</v>
      </c>
      <c r="G174" s="23" t="n">
        <v>19</v>
      </c>
      <c r="H174" s="24" t="n">
        <f aca="false">IF(F174&gt;0,E174/F174,"")</f>
        <v>-1.38624606968658</v>
      </c>
      <c r="I174" s="24" t="n">
        <f aca="false">IF(H174="","",TDIST(ABS(H174),G174-1,2))</f>
        <v>0.182605055779677</v>
      </c>
    </row>
    <row r="175" customFormat="false" ht="15" hidden="false" customHeight="false" outlineLevel="0" collapsed="false">
      <c r="A175" s="7" t="s">
        <v>71</v>
      </c>
      <c r="B175" s="7" t="s">
        <v>69</v>
      </c>
      <c r="C175" s="7" t="s">
        <v>78</v>
      </c>
      <c r="D175" s="7" t="s">
        <v>41</v>
      </c>
      <c r="E175" s="22" t="n">
        <v>0.0223546699179022</v>
      </c>
      <c r="F175" s="22" t="n">
        <v>0.128897926738762</v>
      </c>
      <c r="G175" s="23" t="n">
        <v>19</v>
      </c>
      <c r="H175" s="24" t="n">
        <f aca="false">IF(F175&gt;0,E175/F175,"")</f>
        <v>0.173429243460282</v>
      </c>
      <c r="I175" s="24" t="n">
        <f aca="false">IF(H175="","",TDIST(ABS(H175),G175-1,2))</f>
        <v>0.864249458255698</v>
      </c>
    </row>
    <row r="176" customFormat="false" ht="15" hidden="false" customHeight="false" outlineLevel="0" collapsed="false">
      <c r="A176" s="7" t="s">
        <v>71</v>
      </c>
      <c r="B176" s="7" t="s">
        <v>69</v>
      </c>
      <c r="C176" s="7" t="s">
        <v>79</v>
      </c>
      <c r="D176" s="7" t="s">
        <v>41</v>
      </c>
      <c r="E176" s="22" t="n">
        <v>0.0537141773336715</v>
      </c>
      <c r="F176" s="22" t="n">
        <v>0.115939124874815</v>
      </c>
      <c r="G176" s="23" t="n">
        <v>19</v>
      </c>
      <c r="H176" s="24" t="n">
        <f aca="false">IF(F176&gt;0,E176/F176,"")</f>
        <v>0.463296384129768</v>
      </c>
      <c r="I176" s="24" t="n">
        <f aca="false">IF(H176="","",TDIST(ABS(H176),G176-1,2))</f>
        <v>0.648704637236957</v>
      </c>
    </row>
    <row r="177" customFormat="false" ht="15" hidden="false" customHeight="false" outlineLevel="0" collapsed="false">
      <c r="A177" s="7" t="s">
        <v>71</v>
      </c>
      <c r="B177" s="7" t="s">
        <v>69</v>
      </c>
      <c r="C177" s="7" t="s">
        <v>80</v>
      </c>
      <c r="D177" s="7" t="s">
        <v>41</v>
      </c>
      <c r="E177" s="22" t="n">
        <v>-1.21924237620046</v>
      </c>
      <c r="F177" s="22" t="n">
        <v>0.475648064780492</v>
      </c>
      <c r="G177" s="23" t="n">
        <v>19</v>
      </c>
      <c r="H177" s="24" t="n">
        <f aca="false">IF(F177&gt;0,E177/F177,"")</f>
        <v>-2.5633287854606</v>
      </c>
      <c r="I177" s="24" t="n">
        <f aca="false">IF(H177="","",TDIST(ABS(H177),G177-1,2))</f>
        <v>0.0195469564388887</v>
      </c>
    </row>
    <row r="178" customFormat="false" ht="15" hidden="false" customHeight="false" outlineLevel="0" collapsed="false">
      <c r="A178" s="7" t="s">
        <v>71</v>
      </c>
      <c r="B178" s="7" t="s">
        <v>69</v>
      </c>
      <c r="C178" s="7" t="s">
        <v>72</v>
      </c>
      <c r="D178" s="7" t="s">
        <v>42</v>
      </c>
      <c r="E178" s="22" t="n">
        <v>-0.64253335625374</v>
      </c>
      <c r="F178" s="22" t="n">
        <v>0.171789413002097</v>
      </c>
      <c r="G178" s="23" t="n">
        <v>19</v>
      </c>
      <c r="H178" s="24" t="n">
        <f aca="false">IF(F178&gt;0,E178/F178,"")</f>
        <v>-3.74023838271044</v>
      </c>
      <c r="I178" s="24" t="n">
        <f aca="false">IF(H178="","",TDIST(ABS(H178),G178-1,2))</f>
        <v>0.00149817394517115</v>
      </c>
    </row>
    <row r="179" customFormat="false" ht="15" hidden="false" customHeight="false" outlineLevel="0" collapsed="false">
      <c r="A179" s="7" t="s">
        <v>71</v>
      </c>
      <c r="B179" s="7" t="s">
        <v>69</v>
      </c>
      <c r="C179" s="7" t="s">
        <v>73</v>
      </c>
      <c r="D179" s="7" t="s">
        <v>42</v>
      </c>
      <c r="E179" s="22" t="n">
        <v>-0.649971815853632</v>
      </c>
      <c r="F179" s="22" t="n">
        <v>0.172117212235823</v>
      </c>
      <c r="G179" s="23" t="n">
        <v>19</v>
      </c>
      <c r="H179" s="24" t="n">
        <f aca="false">IF(F179&gt;0,E179/F179,"")</f>
        <v>-3.77633246210778</v>
      </c>
      <c r="I179" s="24" t="n">
        <f aca="false">IF(H179="","",TDIST(ABS(H179),G179-1,2))</f>
        <v>0.00138240865051203</v>
      </c>
    </row>
    <row r="180" customFormat="false" ht="15" hidden="false" customHeight="false" outlineLevel="0" collapsed="false">
      <c r="A180" s="7" t="s">
        <v>71</v>
      </c>
      <c r="B180" s="7" t="s">
        <v>69</v>
      </c>
      <c r="C180" s="7" t="s">
        <v>74</v>
      </c>
      <c r="D180" s="7" t="s">
        <v>42</v>
      </c>
      <c r="E180" s="22" t="n">
        <v>-0.445679854362366</v>
      </c>
      <c r="F180" s="22" t="n">
        <v>0.175081983753797</v>
      </c>
      <c r="G180" s="23" t="n">
        <v>19</v>
      </c>
      <c r="H180" s="24" t="n">
        <f aca="false">IF(F180&gt;0,E180/F180,"")</f>
        <v>-2.54554948948424</v>
      </c>
      <c r="I180" s="24" t="n">
        <f aca="false">IF(H180="","",TDIST(ABS(H180),G180-1,2))</f>
        <v>0.0202876226261408</v>
      </c>
    </row>
    <row r="181" customFormat="false" ht="15" hidden="false" customHeight="false" outlineLevel="0" collapsed="false">
      <c r="A181" s="7" t="s">
        <v>71</v>
      </c>
      <c r="B181" s="7" t="s">
        <v>69</v>
      </c>
      <c r="C181" s="7" t="s">
        <v>75</v>
      </c>
      <c r="D181" s="7" t="s">
        <v>42</v>
      </c>
      <c r="E181" s="22" t="n">
        <v>-0.344464514885398</v>
      </c>
      <c r="F181" s="22" t="n">
        <v>0.229712272962651</v>
      </c>
      <c r="G181" s="23" t="n">
        <v>19</v>
      </c>
      <c r="H181" s="24" t="n">
        <f aca="false">IF(F181&gt;0,E181/F181,"")</f>
        <v>-1.49954771872987</v>
      </c>
      <c r="I181" s="24" t="n">
        <f aca="false">IF(H181="","",TDIST(ABS(H181),G181-1,2))</f>
        <v>0.151066733287962</v>
      </c>
    </row>
    <row r="182" customFormat="false" ht="15" hidden="false" customHeight="false" outlineLevel="0" collapsed="false">
      <c r="A182" s="7" t="s">
        <v>71</v>
      </c>
      <c r="B182" s="7" t="s">
        <v>69</v>
      </c>
      <c r="C182" s="7" t="s">
        <v>76</v>
      </c>
      <c r="D182" s="7" t="s">
        <v>42</v>
      </c>
      <c r="E182" s="22" t="n">
        <v>-1.15611407059807</v>
      </c>
      <c r="F182" s="22" t="n">
        <v>0.156511999359692</v>
      </c>
      <c r="G182" s="23" t="n">
        <v>19</v>
      </c>
      <c r="H182" s="24" t="n">
        <f aca="false">IF(F182&gt;0,E182/F182,"")</f>
        <v>-7.38674398977627</v>
      </c>
      <c r="I182" s="24" t="n">
        <f aca="false">IF(H182="","",TDIST(ABS(H182),G182-1,2))</f>
        <v>7.48563334955318E-007</v>
      </c>
    </row>
    <row r="183" customFormat="false" ht="15" hidden="false" customHeight="false" outlineLevel="0" collapsed="false">
      <c r="A183" s="7" t="s">
        <v>71</v>
      </c>
      <c r="B183" s="7" t="s">
        <v>69</v>
      </c>
      <c r="C183" s="7" t="s">
        <v>77</v>
      </c>
      <c r="D183" s="7" t="s">
        <v>42</v>
      </c>
      <c r="E183" s="22" t="n">
        <v>-1.12293742454482</v>
      </c>
      <c r="F183" s="22" t="n">
        <v>0.414879968225075</v>
      </c>
      <c r="G183" s="23" t="n">
        <v>19</v>
      </c>
      <c r="H183" s="24" t="n">
        <f aca="false">IF(F183&gt;0,E183/F183,"")</f>
        <v>-2.7066561669606</v>
      </c>
      <c r="I183" s="24" t="n">
        <f aca="false">IF(H183="","",TDIST(ABS(H183),G183-1,2))</f>
        <v>0.0144459422086407</v>
      </c>
    </row>
    <row r="184" customFormat="false" ht="15" hidden="false" customHeight="false" outlineLevel="0" collapsed="false">
      <c r="A184" s="7" t="s">
        <v>71</v>
      </c>
      <c r="B184" s="7" t="s">
        <v>69</v>
      </c>
      <c r="C184" s="7" t="s">
        <v>78</v>
      </c>
      <c r="D184" s="7" t="s">
        <v>43</v>
      </c>
      <c r="E184" s="22" t="n">
        <v>-0.810909461304996</v>
      </c>
      <c r="F184" s="22" t="n">
        <v>0.156145228613888</v>
      </c>
      <c r="G184" s="23" t="n">
        <v>19</v>
      </c>
      <c r="H184" s="24" t="n">
        <f aca="false">IF(F184&gt;0,E184/F184,"")</f>
        <v>-5.19330285339805</v>
      </c>
      <c r="I184" s="24" t="n">
        <f aca="false">IF(H184="","",TDIST(ABS(H184),G184-1,2))</f>
        <v>6.1216511756411E-005</v>
      </c>
    </row>
    <row r="185" customFormat="false" ht="15" hidden="false" customHeight="false" outlineLevel="0" collapsed="false">
      <c r="A185" s="7" t="s">
        <v>71</v>
      </c>
      <c r="B185" s="7" t="s">
        <v>69</v>
      </c>
      <c r="C185" s="7" t="s">
        <v>79</v>
      </c>
      <c r="D185" s="7" t="s">
        <v>43</v>
      </c>
      <c r="E185" s="22" t="n">
        <v>-0.532938634471804</v>
      </c>
      <c r="F185" s="22" t="n">
        <v>0.157441705692526</v>
      </c>
      <c r="G185" s="23" t="n">
        <v>19</v>
      </c>
      <c r="H185" s="24" t="n">
        <f aca="false">IF(F185&gt;0,E185/F185,"")</f>
        <v>-3.38499022306454</v>
      </c>
      <c r="I185" s="24" t="n">
        <f aca="false">IF(H185="","",TDIST(ABS(H185),G185-1,2))</f>
        <v>0.00329935980041076</v>
      </c>
    </row>
    <row r="186" customFormat="false" ht="15" hidden="false" customHeight="false" outlineLevel="0" collapsed="false">
      <c r="A186" s="7" t="s">
        <v>71</v>
      </c>
      <c r="B186" s="7" t="s">
        <v>69</v>
      </c>
      <c r="C186" s="7" t="s">
        <v>80</v>
      </c>
      <c r="D186" s="7" t="s">
        <v>43</v>
      </c>
      <c r="E186" s="22" t="n">
        <v>-0.473907712425528</v>
      </c>
      <c r="F186" s="22" t="n">
        <v>0.115916961287898</v>
      </c>
      <c r="G186" s="23" t="n">
        <v>19</v>
      </c>
      <c r="H186" s="24" t="n">
        <f aca="false">IF(F186&gt;0,E186/F186,"")</f>
        <v>-4.08833795468897</v>
      </c>
      <c r="I186" s="24" t="n">
        <f aca="false">IF(H186="","",TDIST(ABS(H186),G186-1,2))</f>
        <v>0.000689892282863588</v>
      </c>
    </row>
    <row r="187" customFormat="false" ht="15" hidden="false" customHeight="false" outlineLevel="0" collapsed="false">
      <c r="A187" s="7" t="s">
        <v>71</v>
      </c>
      <c r="B187" s="7" t="s">
        <v>69</v>
      </c>
      <c r="C187" s="7" t="s">
        <v>78</v>
      </c>
      <c r="D187" s="7" t="s">
        <v>44</v>
      </c>
      <c r="E187" s="22" t="n">
        <v>-0.266028096063226</v>
      </c>
      <c r="F187" s="22" t="n">
        <v>0.124512566572527</v>
      </c>
      <c r="G187" s="23" t="n">
        <v>19</v>
      </c>
      <c r="H187" s="24" t="n">
        <f aca="false">IF(F187&gt;0,E187/F187,"")</f>
        <v>-2.13655619979746</v>
      </c>
      <c r="I187" s="24" t="n">
        <f aca="false">IF(H187="","",TDIST(ABS(H187),G187-1,2))</f>
        <v>0.0466177787434796</v>
      </c>
    </row>
    <row r="188" customFormat="false" ht="15" hidden="false" customHeight="false" outlineLevel="0" collapsed="false">
      <c r="A188" s="7" t="s">
        <v>71</v>
      </c>
      <c r="B188" s="7" t="s">
        <v>69</v>
      </c>
      <c r="C188" s="7" t="s">
        <v>79</v>
      </c>
      <c r="D188" s="7" t="s">
        <v>44</v>
      </c>
      <c r="E188" s="22" t="n">
        <v>-0.43690704604042</v>
      </c>
      <c r="F188" s="22" t="n">
        <v>0.136191374000793</v>
      </c>
      <c r="G188" s="23" t="n">
        <v>19</v>
      </c>
      <c r="H188" s="24" t="n">
        <f aca="false">IF(F188&gt;0,E188/F188,"")</f>
        <v>-3.20803758127792</v>
      </c>
      <c r="I188" s="24" t="n">
        <f aca="false">IF(H188="","",TDIST(ABS(H188),G188-1,2))</f>
        <v>0.00487556237898413</v>
      </c>
    </row>
    <row r="189" customFormat="false" ht="15" hidden="false" customHeight="false" outlineLevel="0" collapsed="false">
      <c r="A189" s="7" t="s">
        <v>71</v>
      </c>
      <c r="B189" s="7" t="s">
        <v>69</v>
      </c>
      <c r="C189" s="7" t="s">
        <v>80</v>
      </c>
      <c r="D189" s="7" t="s">
        <v>44</v>
      </c>
      <c r="E189" s="22" t="n">
        <v>-0.214928591204918</v>
      </c>
      <c r="F189" s="22" t="n">
        <v>0.184961443750177</v>
      </c>
      <c r="G189" s="23" t="n">
        <v>19</v>
      </c>
      <c r="H189" s="24" t="n">
        <f aca="false">IF(F189&gt;0,E189/F189,"")</f>
        <v>-1.16201834743038</v>
      </c>
      <c r="I189" s="24" t="n">
        <f aca="false">IF(H189="","",TDIST(ABS(H189),G189-1,2))</f>
        <v>0.260404698170455</v>
      </c>
    </row>
    <row r="190" customFormat="false" ht="15" hidden="false" customHeight="false" outlineLevel="0" collapsed="false">
      <c r="A190" s="7" t="s">
        <v>71</v>
      </c>
      <c r="B190" s="7" t="s">
        <v>70</v>
      </c>
      <c r="C190" s="7" t="s">
        <v>72</v>
      </c>
      <c r="D190" s="7" t="s">
        <v>10</v>
      </c>
      <c r="E190" s="22" t="n">
        <v>-0.312234243150085</v>
      </c>
      <c r="F190" s="22" t="n">
        <v>0.139711315680443</v>
      </c>
      <c r="G190" s="23" t="n">
        <v>19</v>
      </c>
      <c r="H190" s="24" t="n">
        <f aca="false">IF(F190&gt;0,E190/F190,"")</f>
        <v>-2.23485292962417</v>
      </c>
      <c r="I190" s="24" t="n">
        <f aca="false">IF(H190="","",TDIST(ABS(H190),G190-1,2))</f>
        <v>0.0383428682956767</v>
      </c>
    </row>
    <row r="191" customFormat="false" ht="15" hidden="false" customHeight="false" outlineLevel="0" collapsed="false">
      <c r="A191" s="7" t="s">
        <v>71</v>
      </c>
      <c r="B191" s="7" t="s">
        <v>70</v>
      </c>
      <c r="C191" s="7" t="s">
        <v>73</v>
      </c>
      <c r="D191" s="7" t="s">
        <v>10</v>
      </c>
      <c r="E191" s="22" t="n">
        <v>-0.283098788754784</v>
      </c>
      <c r="F191" s="22" t="n">
        <v>0.124224043523314</v>
      </c>
      <c r="G191" s="23" t="n">
        <v>19</v>
      </c>
      <c r="H191" s="24" t="n">
        <f aca="false">IF(F191&gt;0,E191/F191,"")</f>
        <v>-2.27893715842259</v>
      </c>
      <c r="I191" s="24" t="n">
        <f aca="false">IF(H191="","",TDIST(ABS(H191),G191-1,2))</f>
        <v>0.0350903312537591</v>
      </c>
    </row>
    <row r="192" customFormat="false" ht="15" hidden="false" customHeight="false" outlineLevel="0" collapsed="false">
      <c r="A192" s="7" t="s">
        <v>71</v>
      </c>
      <c r="B192" s="7" t="s">
        <v>70</v>
      </c>
      <c r="C192" s="7" t="s">
        <v>74</v>
      </c>
      <c r="D192" s="7" t="s">
        <v>10</v>
      </c>
      <c r="E192" s="22" t="n">
        <v>-0.39598970536099</v>
      </c>
      <c r="F192" s="22" t="n">
        <v>0.184219750663995</v>
      </c>
      <c r="G192" s="23" t="n">
        <v>19</v>
      </c>
      <c r="H192" s="24" t="n">
        <f aca="false">IF(F192&gt;0,E192/F192,"")</f>
        <v>-2.14955076170551</v>
      </c>
      <c r="I192" s="24" t="n">
        <f aca="false">IF(H192="","",TDIST(ABS(H192),G192-1,2))</f>
        <v>0.0454372493203034</v>
      </c>
    </row>
    <row r="193" customFormat="false" ht="15" hidden="false" customHeight="false" outlineLevel="0" collapsed="false">
      <c r="A193" s="7" t="s">
        <v>71</v>
      </c>
      <c r="B193" s="7" t="s">
        <v>70</v>
      </c>
      <c r="C193" s="7" t="s">
        <v>75</v>
      </c>
      <c r="D193" s="7" t="s">
        <v>10</v>
      </c>
      <c r="E193" s="22" t="n">
        <v>-0.440598403997753</v>
      </c>
      <c r="F193" s="22" t="n">
        <v>0.126011103299946</v>
      </c>
      <c r="G193" s="23" t="n">
        <v>19</v>
      </c>
      <c r="H193" s="24" t="n">
        <f aca="false">IF(F193&gt;0,E193/F193,"")</f>
        <v>-3.49650461316087</v>
      </c>
      <c r="I193" s="24" t="n">
        <f aca="false">IF(H193="","",TDIST(ABS(H193),G193-1,2))</f>
        <v>0.00257664665279639</v>
      </c>
    </row>
    <row r="194" customFormat="false" ht="15" hidden="false" customHeight="false" outlineLevel="0" collapsed="false">
      <c r="A194" s="7" t="s">
        <v>71</v>
      </c>
      <c r="B194" s="7" t="s">
        <v>70</v>
      </c>
      <c r="C194" s="7" t="s">
        <v>76</v>
      </c>
      <c r="D194" s="7" t="s">
        <v>10</v>
      </c>
      <c r="E194" s="22" t="n">
        <v>-0.250935234970348</v>
      </c>
      <c r="F194" s="22" t="n">
        <v>0.117926086410015</v>
      </c>
      <c r="G194" s="23" t="n">
        <v>19</v>
      </c>
      <c r="H194" s="24" t="n">
        <f aca="false">IF(F194&gt;0,E194/F194,"")</f>
        <v>-2.12790267708771</v>
      </c>
      <c r="I194" s="24" t="n">
        <f aca="false">IF(H194="","",TDIST(ABS(H194),G194-1,2))</f>
        <v>0.0474193881544764</v>
      </c>
    </row>
    <row r="195" customFormat="false" ht="15" hidden="false" customHeight="false" outlineLevel="0" collapsed="false">
      <c r="A195" s="7" t="s">
        <v>71</v>
      </c>
      <c r="B195" s="7" t="s">
        <v>70</v>
      </c>
      <c r="C195" s="7" t="s">
        <v>77</v>
      </c>
      <c r="D195" s="7" t="s">
        <v>10</v>
      </c>
      <c r="E195" s="22" t="n">
        <v>-0.351194093139785</v>
      </c>
      <c r="F195" s="22" t="n">
        <v>0.126111514207019</v>
      </c>
      <c r="G195" s="23" t="n">
        <v>19</v>
      </c>
      <c r="H195" s="24" t="n">
        <f aca="false">IF(F195&gt;0,E195/F195,"")</f>
        <v>-2.78479007526054</v>
      </c>
      <c r="I195" s="24" t="n">
        <f aca="false">IF(H195="","",TDIST(ABS(H195),G195-1,2))</f>
        <v>0.012228610946736</v>
      </c>
    </row>
    <row r="196" customFormat="false" ht="15" hidden="false" customHeight="false" outlineLevel="0" collapsed="false">
      <c r="A196" s="7" t="s">
        <v>71</v>
      </c>
      <c r="B196" s="7" t="s">
        <v>70</v>
      </c>
      <c r="C196" s="7" t="s">
        <v>78</v>
      </c>
      <c r="D196" s="7" t="s">
        <v>10</v>
      </c>
      <c r="E196" s="22" t="n">
        <v>-0.503333856047393</v>
      </c>
      <c r="F196" s="22" t="n">
        <v>0.115606137790392</v>
      </c>
      <c r="G196" s="23" t="n">
        <v>19</v>
      </c>
      <c r="H196" s="24" t="n">
        <f aca="false">IF(F196&gt;0,E196/F196,"")</f>
        <v>-4.3538679318221</v>
      </c>
      <c r="I196" s="24" t="n">
        <f aca="false">IF(H196="","",TDIST(ABS(H196),G196-1,2))</f>
        <v>0.00038259578897725</v>
      </c>
    </row>
    <row r="197" customFormat="false" ht="15" hidden="false" customHeight="false" outlineLevel="0" collapsed="false">
      <c r="A197" s="7" t="s">
        <v>71</v>
      </c>
      <c r="B197" s="7" t="s">
        <v>70</v>
      </c>
      <c r="C197" s="7" t="s">
        <v>79</v>
      </c>
      <c r="D197" s="7" t="s">
        <v>10</v>
      </c>
      <c r="E197" s="22" t="n">
        <v>-0.449278387157695</v>
      </c>
      <c r="F197" s="22" t="n">
        <v>0.128974592079257</v>
      </c>
      <c r="G197" s="23" t="n">
        <v>19</v>
      </c>
      <c r="H197" s="24" t="n">
        <f aca="false">IF(F197&gt;0,E197/F197,"")</f>
        <v>-3.48346430032983</v>
      </c>
      <c r="I197" s="24" t="n">
        <f aca="false">IF(H197="","",TDIST(ABS(H197),G197-1,2))</f>
        <v>0.00265232488851838</v>
      </c>
    </row>
    <row r="198" customFormat="false" ht="15" hidden="false" customHeight="false" outlineLevel="0" collapsed="false">
      <c r="A198" s="7" t="s">
        <v>71</v>
      </c>
      <c r="B198" s="7" t="s">
        <v>70</v>
      </c>
      <c r="C198" s="7" t="s">
        <v>80</v>
      </c>
      <c r="D198" s="7" t="s">
        <v>10</v>
      </c>
      <c r="E198" s="22" t="n">
        <v>-0.343086171735109</v>
      </c>
      <c r="F198" s="22" t="n">
        <v>0.133909878431354</v>
      </c>
      <c r="G198" s="23" t="n">
        <v>19</v>
      </c>
      <c r="H198" s="24" t="n">
        <f aca="false">IF(F198&gt;0,E198/F198,"")</f>
        <v>-2.56206768129496</v>
      </c>
      <c r="I198" s="24" t="n">
        <f aca="false">IF(H198="","",TDIST(ABS(H198),G198-1,2))</f>
        <v>0.0195986379306939</v>
      </c>
    </row>
    <row r="199" customFormat="false" ht="15" hidden="false" customHeight="false" outlineLevel="0" collapsed="false">
      <c r="A199" s="7" t="s">
        <v>71</v>
      </c>
      <c r="B199" s="7" t="s">
        <v>70</v>
      </c>
      <c r="C199" s="7" t="s">
        <v>72</v>
      </c>
      <c r="D199" s="7" t="s">
        <v>40</v>
      </c>
      <c r="E199" s="22" t="n">
        <v>-0.256935900103019</v>
      </c>
      <c r="F199" s="22" t="n">
        <v>0.187922331844688</v>
      </c>
      <c r="G199" s="23" t="n">
        <v>19</v>
      </c>
      <c r="H199" s="24" t="n">
        <f aca="false">IF(F199&gt;0,E199/F199,"")</f>
        <v>-1.3672451676226</v>
      </c>
      <c r="I199" s="24" t="n">
        <f aca="false">IF(H199="","",TDIST(ABS(H199),G199-1,2))</f>
        <v>0.188381016385888</v>
      </c>
    </row>
    <row r="200" customFormat="false" ht="15" hidden="false" customHeight="false" outlineLevel="0" collapsed="false">
      <c r="A200" s="7" t="s">
        <v>71</v>
      </c>
      <c r="B200" s="7" t="s">
        <v>70</v>
      </c>
      <c r="C200" s="7" t="s">
        <v>73</v>
      </c>
      <c r="D200" s="7" t="s">
        <v>40</v>
      </c>
      <c r="E200" s="22" t="n">
        <v>-0.304954175089176</v>
      </c>
      <c r="F200" s="22" t="n">
        <v>0.215530074888515</v>
      </c>
      <c r="G200" s="23" t="n">
        <v>19</v>
      </c>
      <c r="H200" s="24" t="n">
        <f aca="false">IF(F200&gt;0,E200/F200,"")</f>
        <v>-1.41490311849479</v>
      </c>
      <c r="I200" s="24" t="n">
        <f aca="false">IF(H200="","",TDIST(ABS(H200),G200-1,2))</f>
        <v>0.174164153397781</v>
      </c>
    </row>
    <row r="201" customFormat="false" ht="15" hidden="false" customHeight="false" outlineLevel="0" collapsed="false">
      <c r="A201" s="7" t="s">
        <v>71</v>
      </c>
      <c r="B201" s="7" t="s">
        <v>70</v>
      </c>
      <c r="C201" s="7" t="s">
        <v>74</v>
      </c>
      <c r="D201" s="7" t="s">
        <v>40</v>
      </c>
      <c r="E201" s="22" t="n">
        <v>-0.0753976748017639</v>
      </c>
      <c r="F201" s="22" t="n">
        <v>0.289579434600205</v>
      </c>
      <c r="G201" s="23" t="n">
        <v>19</v>
      </c>
      <c r="H201" s="24" t="n">
        <f aca="false">IF(F201&gt;0,E201/F201,"")</f>
        <v>-0.260369576678877</v>
      </c>
      <c r="I201" s="24" t="n">
        <f aca="false">IF(H201="","",TDIST(ABS(H201),G201-1,2))</f>
        <v>0.797533881542849</v>
      </c>
    </row>
    <row r="202" customFormat="false" ht="15" hidden="false" customHeight="false" outlineLevel="0" collapsed="false">
      <c r="A202" s="7" t="s">
        <v>71</v>
      </c>
      <c r="B202" s="7" t="s">
        <v>70</v>
      </c>
      <c r="C202" s="7" t="s">
        <v>75</v>
      </c>
      <c r="D202" s="7" t="s">
        <v>40</v>
      </c>
      <c r="E202" s="22" t="n">
        <v>0.0401047423541374</v>
      </c>
      <c r="F202" s="22" t="n">
        <v>0.281723073679861</v>
      </c>
      <c r="G202" s="23" t="n">
        <v>19</v>
      </c>
      <c r="H202" s="24" t="n">
        <f aca="false">IF(F202&gt;0,E202/F202,"")</f>
        <v>0.142355192389072</v>
      </c>
      <c r="I202" s="24" t="n">
        <f aca="false">IF(H202="","",TDIST(ABS(H202),G202-1,2))</f>
        <v>0.888380774546539</v>
      </c>
    </row>
    <row r="203" customFormat="false" ht="15" hidden="false" customHeight="false" outlineLevel="0" collapsed="false">
      <c r="A203" s="7" t="s">
        <v>71</v>
      </c>
      <c r="B203" s="7" t="s">
        <v>70</v>
      </c>
      <c r="C203" s="7" t="s">
        <v>76</v>
      </c>
      <c r="D203" s="7" t="s">
        <v>40</v>
      </c>
      <c r="E203" s="22" t="n">
        <v>-0.813406522528066</v>
      </c>
      <c r="F203" s="22" t="n">
        <v>0.225391694276629</v>
      </c>
      <c r="G203" s="23" t="n">
        <v>19</v>
      </c>
      <c r="H203" s="24" t="n">
        <f aca="false">IF(F203&gt;0,E203/F203,"")</f>
        <v>-3.60885757187553</v>
      </c>
      <c r="I203" s="24" t="n">
        <f aca="false">IF(H203="","",TDIST(ABS(H203),G203-1,2))</f>
        <v>0.00200725405604928</v>
      </c>
    </row>
    <row r="204" customFormat="false" ht="15" hidden="false" customHeight="false" outlineLevel="0" collapsed="false">
      <c r="A204" s="7" t="s">
        <v>71</v>
      </c>
      <c r="B204" s="7" t="s">
        <v>70</v>
      </c>
      <c r="C204" s="7" t="s">
        <v>77</v>
      </c>
      <c r="D204" s="7" t="s">
        <v>40</v>
      </c>
      <c r="E204" s="22" t="n">
        <v>-0.827112031640256</v>
      </c>
      <c r="F204" s="22" t="n">
        <v>0.457839893253686</v>
      </c>
      <c r="G204" s="23" t="n">
        <v>19</v>
      </c>
      <c r="H204" s="24" t="n">
        <f aca="false">IF(F204&gt;0,E204/F204,"")</f>
        <v>-1.8065529977353</v>
      </c>
      <c r="I204" s="24" t="n">
        <f aca="false">IF(H204="","",TDIST(ABS(H204),G204-1,2))</f>
        <v>0.0875797401670893</v>
      </c>
    </row>
    <row r="205" customFormat="false" ht="15" hidden="false" customHeight="false" outlineLevel="0" collapsed="false">
      <c r="A205" s="7" t="s">
        <v>71</v>
      </c>
      <c r="B205" s="7" t="s">
        <v>70</v>
      </c>
      <c r="C205" s="7" t="s">
        <v>78</v>
      </c>
      <c r="D205" s="7" t="s">
        <v>40</v>
      </c>
      <c r="E205" s="22" t="n">
        <v>0.622918613821556</v>
      </c>
      <c r="F205" s="22" t="n">
        <v>0.17122333466111</v>
      </c>
      <c r="G205" s="23" t="n">
        <v>19</v>
      </c>
      <c r="H205" s="24" t="n">
        <f aca="false">IF(F205&gt;0,E205/F205,"")</f>
        <v>3.63804743701818</v>
      </c>
      <c r="I205" s="24" t="n">
        <f aca="false">IF(H205="","",TDIST(ABS(H205),G205-1,2))</f>
        <v>0.00188101814530361</v>
      </c>
    </row>
    <row r="206" customFormat="false" ht="15" hidden="false" customHeight="false" outlineLevel="0" collapsed="false">
      <c r="A206" s="7" t="s">
        <v>71</v>
      </c>
      <c r="B206" s="7" t="s">
        <v>70</v>
      </c>
      <c r="C206" s="7" t="s">
        <v>79</v>
      </c>
      <c r="D206" s="7" t="s">
        <v>40</v>
      </c>
      <c r="E206" s="22" t="n">
        <v>0.19004039017788</v>
      </c>
      <c r="F206" s="22" t="n">
        <v>0.196902698965966</v>
      </c>
      <c r="G206" s="23" t="n">
        <v>19</v>
      </c>
      <c r="H206" s="24" t="n">
        <f aca="false">IF(F206&gt;0,E206/F206,"")</f>
        <v>0.965148731713059</v>
      </c>
      <c r="I206" s="24" t="n">
        <f aca="false">IF(H206="","",TDIST(ABS(H206),G206-1,2))</f>
        <v>0.347259289521376</v>
      </c>
    </row>
    <row r="207" customFormat="false" ht="15" hidden="false" customHeight="false" outlineLevel="0" collapsed="false">
      <c r="A207" s="7" t="s">
        <v>71</v>
      </c>
      <c r="B207" s="7" t="s">
        <v>70</v>
      </c>
      <c r="C207" s="7" t="s">
        <v>80</v>
      </c>
      <c r="D207" s="7" t="s">
        <v>40</v>
      </c>
      <c r="E207" s="22" t="n">
        <v>0.884012495422981</v>
      </c>
      <c r="F207" s="22" t="n">
        <v>0.559978333074153</v>
      </c>
      <c r="G207" s="23" t="n">
        <v>19</v>
      </c>
      <c r="H207" s="24" t="n">
        <f aca="false">IF(F207&gt;0,E207/F207,"")</f>
        <v>1.57865482146417</v>
      </c>
      <c r="I207" s="24" t="n">
        <f aca="false">IF(H207="","",TDIST(ABS(H207),G207-1,2))</f>
        <v>0.131827423337518</v>
      </c>
    </row>
    <row r="208" customFormat="false" ht="15" hidden="false" customHeight="false" outlineLevel="0" collapsed="false">
      <c r="A208" s="7" t="s">
        <v>71</v>
      </c>
      <c r="B208" s="7" t="s">
        <v>70</v>
      </c>
      <c r="C208" s="7" t="s">
        <v>72</v>
      </c>
      <c r="D208" s="7" t="s">
        <v>41</v>
      </c>
      <c r="E208" s="22" t="n">
        <v>0.140505650268988</v>
      </c>
      <c r="F208" s="22" t="n">
        <v>0.179363819958464</v>
      </c>
      <c r="G208" s="23" t="n">
        <v>19</v>
      </c>
      <c r="H208" s="24" t="n">
        <f aca="false">IF(F208&gt;0,E208/F208,"")</f>
        <v>0.783355585878613</v>
      </c>
      <c r="I208" s="24" t="n">
        <f aca="false">IF(H208="","",TDIST(ABS(H208),G208-1,2))</f>
        <v>0.443604104019432</v>
      </c>
    </row>
    <row r="209" customFormat="false" ht="15" hidden="false" customHeight="false" outlineLevel="0" collapsed="false">
      <c r="A209" s="7" t="s">
        <v>71</v>
      </c>
      <c r="B209" s="7" t="s">
        <v>70</v>
      </c>
      <c r="C209" s="7" t="s">
        <v>73</v>
      </c>
      <c r="D209" s="7" t="s">
        <v>41</v>
      </c>
      <c r="E209" s="22" t="n">
        <v>-0.0951617067311029</v>
      </c>
      <c r="F209" s="22" t="n">
        <v>0.173217864410336</v>
      </c>
      <c r="G209" s="23" t="n">
        <v>19</v>
      </c>
      <c r="H209" s="24" t="n">
        <f aca="false">IF(F209&gt;0,E209/F209,"")</f>
        <v>-0.549375822494118</v>
      </c>
      <c r="I209" s="24" t="n">
        <f aca="false">IF(H209="","",TDIST(ABS(H209),G209-1,2))</f>
        <v>0.589499057856376</v>
      </c>
    </row>
    <row r="210" customFormat="false" ht="15" hidden="false" customHeight="false" outlineLevel="0" collapsed="false">
      <c r="A210" s="7" t="s">
        <v>71</v>
      </c>
      <c r="B210" s="7" t="s">
        <v>70</v>
      </c>
      <c r="C210" s="7" t="s">
        <v>74</v>
      </c>
      <c r="D210" s="7" t="s">
        <v>41</v>
      </c>
      <c r="E210" s="22" t="n">
        <v>0.136344643260065</v>
      </c>
      <c r="F210" s="22" t="n">
        <v>0.0734770612546144</v>
      </c>
      <c r="G210" s="23" t="n">
        <v>19</v>
      </c>
      <c r="H210" s="24" t="n">
        <f aca="false">IF(F210&gt;0,E210/F210,"")</f>
        <v>1.85560828008078</v>
      </c>
      <c r="I210" s="24" t="n">
        <f aca="false">IF(H210="","",TDIST(ABS(H210),G210-1,2))</f>
        <v>0.0799599487528141</v>
      </c>
    </row>
    <row r="211" customFormat="false" ht="15" hidden="false" customHeight="false" outlineLevel="0" collapsed="false">
      <c r="A211" s="7" t="s">
        <v>71</v>
      </c>
      <c r="B211" s="7" t="s">
        <v>70</v>
      </c>
      <c r="C211" s="7" t="s">
        <v>75</v>
      </c>
      <c r="D211" s="7" t="s">
        <v>41</v>
      </c>
      <c r="E211" s="22" t="n">
        <v>-0.0831551944626213</v>
      </c>
      <c r="F211" s="22" t="n">
        <v>0.149777374827657</v>
      </c>
      <c r="G211" s="23" t="n">
        <v>19</v>
      </c>
      <c r="H211" s="24" t="n">
        <f aca="false">IF(F211&gt;0,E211/F211,"")</f>
        <v>-0.555191961124333</v>
      </c>
      <c r="I211" s="24" t="n">
        <f aca="false">IF(H211="","",TDIST(ABS(H211),G211-1,2))</f>
        <v>0.585597680034206</v>
      </c>
    </row>
    <row r="212" customFormat="false" ht="15" hidden="false" customHeight="false" outlineLevel="0" collapsed="false">
      <c r="A212" s="7" t="s">
        <v>71</v>
      </c>
      <c r="B212" s="7" t="s">
        <v>70</v>
      </c>
      <c r="C212" s="7" t="s">
        <v>76</v>
      </c>
      <c r="D212" s="7" t="s">
        <v>41</v>
      </c>
      <c r="E212" s="22" t="n">
        <v>0.514151781282495</v>
      </c>
      <c r="F212" s="22" t="n">
        <v>0.158076442171469</v>
      </c>
      <c r="G212" s="23" t="n">
        <v>19</v>
      </c>
      <c r="H212" s="24" t="n">
        <f aca="false">IF(F212&gt;0,E212/F212,"")</f>
        <v>3.25255157707043</v>
      </c>
      <c r="I212" s="24" t="n">
        <f aca="false">IF(H212="","",TDIST(ABS(H212),G212-1,2))</f>
        <v>0.00442049029850708</v>
      </c>
    </row>
    <row r="213" customFormat="false" ht="15" hidden="false" customHeight="false" outlineLevel="0" collapsed="false">
      <c r="A213" s="7" t="s">
        <v>71</v>
      </c>
      <c r="B213" s="7" t="s">
        <v>70</v>
      </c>
      <c r="C213" s="7" t="s">
        <v>77</v>
      </c>
      <c r="D213" s="7" t="s">
        <v>41</v>
      </c>
      <c r="E213" s="22" t="n">
        <v>-0.11161783454484</v>
      </c>
      <c r="F213" s="22" t="n">
        <v>0.149209481740026</v>
      </c>
      <c r="G213" s="23" t="n">
        <v>19</v>
      </c>
      <c r="H213" s="24" t="n">
        <f aca="false">IF(F213&gt;0,E213/F213,"")</f>
        <v>-0.748061270927251</v>
      </c>
      <c r="I213" s="24" t="n">
        <f aca="false">IF(H213="","",TDIST(ABS(H213),G213-1,2))</f>
        <v>0.464085616257976</v>
      </c>
    </row>
    <row r="214" customFormat="false" ht="15" hidden="false" customHeight="false" outlineLevel="0" collapsed="false">
      <c r="A214" s="7" t="s">
        <v>71</v>
      </c>
      <c r="B214" s="7" t="s">
        <v>70</v>
      </c>
      <c r="C214" s="7" t="s">
        <v>78</v>
      </c>
      <c r="D214" s="7" t="s">
        <v>41</v>
      </c>
      <c r="E214" s="22" t="n">
        <v>0.00259137024220034</v>
      </c>
      <c r="F214" s="22" t="n">
        <v>0.122910003392779</v>
      </c>
      <c r="G214" s="23" t="n">
        <v>19</v>
      </c>
      <c r="H214" s="24" t="n">
        <f aca="false">IF(F214&gt;0,E214/F214,"")</f>
        <v>0.0210834771025039</v>
      </c>
      <c r="I214" s="24" t="n">
        <f aca="false">IF(H214="","",TDIST(ABS(H214),G214-1,2))</f>
        <v>0.98341102469607</v>
      </c>
    </row>
    <row r="215" customFormat="false" ht="15" hidden="false" customHeight="false" outlineLevel="0" collapsed="false">
      <c r="A215" s="7" t="s">
        <v>71</v>
      </c>
      <c r="B215" s="7" t="s">
        <v>70</v>
      </c>
      <c r="C215" s="7" t="s">
        <v>79</v>
      </c>
      <c r="D215" s="7" t="s">
        <v>41</v>
      </c>
      <c r="E215" s="22" t="n">
        <v>0.0167114498040896</v>
      </c>
      <c r="F215" s="22" t="n">
        <v>0.111413246328489</v>
      </c>
      <c r="G215" s="23" t="n">
        <v>19</v>
      </c>
      <c r="H215" s="24" t="n">
        <f aca="false">IF(F215&gt;0,E215/F215,"")</f>
        <v>0.149995178803226</v>
      </c>
      <c r="I215" s="24" t="n">
        <f aca="false">IF(H215="","",TDIST(ABS(H215),G215-1,2))</f>
        <v>0.882436373570607</v>
      </c>
    </row>
    <row r="216" customFormat="false" ht="15" hidden="false" customHeight="false" outlineLevel="0" collapsed="false">
      <c r="A216" s="7" t="s">
        <v>71</v>
      </c>
      <c r="B216" s="7" t="s">
        <v>70</v>
      </c>
      <c r="C216" s="7" t="s">
        <v>80</v>
      </c>
      <c r="D216" s="7" t="s">
        <v>41</v>
      </c>
      <c r="E216" s="22" t="n">
        <v>-0.92012514868856</v>
      </c>
      <c r="F216" s="22" t="n">
        <v>0.41891625617395</v>
      </c>
      <c r="G216" s="23" t="n">
        <v>19</v>
      </c>
      <c r="H216" s="24" t="n">
        <f aca="false">IF(F216&gt;0,E216/F216,"")</f>
        <v>-2.19644173537751</v>
      </c>
      <c r="I216" s="24" t="n">
        <f aca="false">IF(H216="","",TDIST(ABS(H216),G216-1,2))</f>
        <v>0.0414010294220149</v>
      </c>
    </row>
    <row r="217" customFormat="false" ht="15" hidden="false" customHeight="false" outlineLevel="0" collapsed="false">
      <c r="A217" s="7" t="s">
        <v>71</v>
      </c>
      <c r="B217" s="7" t="s">
        <v>70</v>
      </c>
      <c r="C217" s="7" t="s">
        <v>72</v>
      </c>
      <c r="D217" s="7" t="s">
        <v>42</v>
      </c>
      <c r="E217" s="22" t="n">
        <v>-0.569170143253104</v>
      </c>
      <c r="F217" s="22" t="n">
        <v>0.139339591680428</v>
      </c>
      <c r="G217" s="23" t="n">
        <v>19</v>
      </c>
      <c r="H217" s="24" t="n">
        <f aca="false">IF(F217&gt;0,E217/F217,"")</f>
        <v>-4.08476970822825</v>
      </c>
      <c r="I217" s="24" t="n">
        <f aca="false">IF(H217="","",TDIST(ABS(H217),G217-1,2))</f>
        <v>0.000695391936184156</v>
      </c>
    </row>
    <row r="218" customFormat="false" ht="15" hidden="false" customHeight="false" outlineLevel="0" collapsed="false">
      <c r="A218" s="7" t="s">
        <v>71</v>
      </c>
      <c r="B218" s="7" t="s">
        <v>70</v>
      </c>
      <c r="C218" s="7" t="s">
        <v>73</v>
      </c>
      <c r="D218" s="7" t="s">
        <v>42</v>
      </c>
      <c r="E218" s="22" t="n">
        <v>-0.58805296384396</v>
      </c>
      <c r="F218" s="22" t="n">
        <v>0.168877389181709</v>
      </c>
      <c r="G218" s="23" t="n">
        <v>19</v>
      </c>
      <c r="H218" s="24" t="n">
        <f aca="false">IF(F218&gt;0,E218/F218,"")</f>
        <v>-3.48212964857733</v>
      </c>
      <c r="I218" s="24" t="n">
        <f aca="false">IF(H218="","",TDIST(ABS(H218),G218-1,2))</f>
        <v>0.00266019341832138</v>
      </c>
    </row>
    <row r="219" customFormat="false" ht="15" hidden="false" customHeight="false" outlineLevel="0" collapsed="false">
      <c r="A219" s="7" t="s">
        <v>71</v>
      </c>
      <c r="B219" s="7" t="s">
        <v>70</v>
      </c>
      <c r="C219" s="7" t="s">
        <v>74</v>
      </c>
      <c r="D219" s="7" t="s">
        <v>42</v>
      </c>
      <c r="E219" s="22" t="n">
        <v>-0.471387380162754</v>
      </c>
      <c r="F219" s="22" t="n">
        <v>0.182293002526452</v>
      </c>
      <c r="G219" s="23" t="n">
        <v>19</v>
      </c>
      <c r="H219" s="24" t="n">
        <f aca="false">IF(F219&gt;0,E219/F219,"")</f>
        <v>-2.58587753577844</v>
      </c>
      <c r="I219" s="24" t="n">
        <f aca="false">IF(H219="","",TDIST(ABS(H219),G219-1,2))</f>
        <v>0.0186443855964202</v>
      </c>
    </row>
    <row r="220" customFormat="false" ht="15" hidden="false" customHeight="false" outlineLevel="0" collapsed="false">
      <c r="A220" s="7" t="s">
        <v>71</v>
      </c>
      <c r="B220" s="7" t="s">
        <v>70</v>
      </c>
      <c r="C220" s="7" t="s">
        <v>75</v>
      </c>
      <c r="D220" s="7" t="s">
        <v>42</v>
      </c>
      <c r="E220" s="22" t="n">
        <v>-0.400493661643616</v>
      </c>
      <c r="F220" s="22" t="n">
        <v>0.232699076368526</v>
      </c>
      <c r="G220" s="23" t="n">
        <v>19</v>
      </c>
      <c r="H220" s="24" t="n">
        <f aca="false">IF(F220&gt;0,E220/F220,"")</f>
        <v>-1.72107972190381</v>
      </c>
      <c r="I220" s="24" t="n">
        <f aca="false">IF(H220="","",TDIST(ABS(H220),G220-1,2))</f>
        <v>0.102378879915389</v>
      </c>
    </row>
    <row r="221" customFormat="false" ht="15" hidden="false" customHeight="false" outlineLevel="0" collapsed="false">
      <c r="A221" s="7" t="s">
        <v>71</v>
      </c>
      <c r="B221" s="7" t="s">
        <v>70</v>
      </c>
      <c r="C221" s="7" t="s">
        <v>76</v>
      </c>
      <c r="D221" s="7" t="s">
        <v>42</v>
      </c>
      <c r="E221" s="22" t="n">
        <v>-1.06434175749841</v>
      </c>
      <c r="F221" s="22" t="n">
        <v>0.166606515694032</v>
      </c>
      <c r="G221" s="23" t="n">
        <v>19</v>
      </c>
      <c r="H221" s="24" t="n">
        <f aca="false">IF(F221&gt;0,E221/F221,"")</f>
        <v>-6.38835614000265</v>
      </c>
      <c r="I221" s="24" t="n">
        <f aca="false">IF(H221="","",TDIST(ABS(H221),G221-1,2))</f>
        <v>5.13795558947442E-006</v>
      </c>
    </row>
    <row r="222" customFormat="false" ht="15" hidden="false" customHeight="false" outlineLevel="0" collapsed="false">
      <c r="A222" s="7" t="s">
        <v>71</v>
      </c>
      <c r="B222" s="7" t="s">
        <v>70</v>
      </c>
      <c r="C222" s="7" t="s">
        <v>77</v>
      </c>
      <c r="D222" s="7" t="s">
        <v>42</v>
      </c>
      <c r="E222" s="22" t="n">
        <v>-1.17830612478004</v>
      </c>
      <c r="F222" s="22" t="n">
        <v>0.381882780796747</v>
      </c>
      <c r="G222" s="23" t="n">
        <v>19</v>
      </c>
      <c r="H222" s="24" t="n">
        <f aca="false">IF(F222&gt;0,E222/F222,"")</f>
        <v>-3.08551781863969</v>
      </c>
      <c r="I222" s="24" t="n">
        <f aca="false">IF(H222="","",TDIST(ABS(H222),G222-1,2))</f>
        <v>0.00637812340601863</v>
      </c>
    </row>
    <row r="223" customFormat="false" ht="15" hidden="false" customHeight="false" outlineLevel="0" collapsed="false">
      <c r="A223" s="7" t="s">
        <v>71</v>
      </c>
      <c r="B223" s="7" t="s">
        <v>70</v>
      </c>
      <c r="C223" s="7" t="s">
        <v>78</v>
      </c>
      <c r="D223" s="7" t="s">
        <v>43</v>
      </c>
      <c r="E223" s="22" t="n">
        <v>-0.771678790536805</v>
      </c>
      <c r="F223" s="22" t="n">
        <v>0.159433878224925</v>
      </c>
      <c r="G223" s="23" t="n">
        <v>19</v>
      </c>
      <c r="H223" s="24" t="n">
        <f aca="false">IF(F223&gt;0,E223/F223,"")</f>
        <v>-4.84011804221523</v>
      </c>
      <c r="I223" s="24" t="n">
        <f aca="false">IF(H223="","",TDIST(ABS(H223),G223-1,2))</f>
        <v>0.000131384485065718</v>
      </c>
    </row>
    <row r="224" customFormat="false" ht="15" hidden="false" customHeight="false" outlineLevel="0" collapsed="false">
      <c r="A224" s="7" t="s">
        <v>71</v>
      </c>
      <c r="B224" s="7" t="s">
        <v>70</v>
      </c>
      <c r="C224" s="7" t="s">
        <v>79</v>
      </c>
      <c r="D224" s="7" t="s">
        <v>43</v>
      </c>
      <c r="E224" s="22" t="n">
        <v>-0.508086765580898</v>
      </c>
      <c r="F224" s="22" t="n">
        <v>0.164999154910695</v>
      </c>
      <c r="G224" s="23" t="n">
        <v>19</v>
      </c>
      <c r="H224" s="24" t="n">
        <f aca="false">IF(F224&gt;0,E224/F224,"")</f>
        <v>-3.07932950235957</v>
      </c>
      <c r="I224" s="24" t="n">
        <f aca="false">IF(H224="","",TDIST(ABS(H224),G224-1,2))</f>
        <v>0.00646496236563543</v>
      </c>
    </row>
    <row r="225" customFormat="false" ht="15" hidden="false" customHeight="false" outlineLevel="0" collapsed="false">
      <c r="A225" s="7" t="s">
        <v>71</v>
      </c>
      <c r="B225" s="7" t="s">
        <v>70</v>
      </c>
      <c r="C225" s="7" t="s">
        <v>80</v>
      </c>
      <c r="D225" s="7" t="s">
        <v>43</v>
      </c>
      <c r="E225" s="22" t="n">
        <v>-0.422953734890235</v>
      </c>
      <c r="F225" s="22" t="n">
        <v>0.105248480715347</v>
      </c>
      <c r="G225" s="23" t="n">
        <v>19</v>
      </c>
      <c r="H225" s="24" t="n">
        <f aca="false">IF(F225&gt;0,E225/F225,"")</f>
        <v>-4.01862081063336</v>
      </c>
      <c r="I225" s="24" t="n">
        <f aca="false">IF(H225="","",TDIST(ABS(H225),G225-1,2))</f>
        <v>0.000805714646333982</v>
      </c>
    </row>
    <row r="226" customFormat="false" ht="15" hidden="false" customHeight="false" outlineLevel="0" collapsed="false">
      <c r="A226" s="7" t="s">
        <v>71</v>
      </c>
      <c r="B226" s="7" t="s">
        <v>70</v>
      </c>
      <c r="C226" s="7" t="s">
        <v>78</v>
      </c>
      <c r="D226" s="7" t="s">
        <v>44</v>
      </c>
      <c r="E226" s="22" t="n">
        <v>-0.288885362259408</v>
      </c>
      <c r="F226" s="22" t="n">
        <v>0.107489663756097</v>
      </c>
      <c r="G226" s="23" t="n">
        <v>19</v>
      </c>
      <c r="H226" s="24" t="n">
        <f aca="false">IF(F226&gt;0,E226/F226,"")</f>
        <v>-2.68756410769797</v>
      </c>
      <c r="I226" s="24" t="n">
        <f aca="false">IF(H226="","",TDIST(ABS(H226),G226-1,2))</f>
        <v>0.0150435403607881</v>
      </c>
    </row>
    <row r="227" customFormat="false" ht="15" hidden="false" customHeight="false" outlineLevel="0" collapsed="false">
      <c r="A227" s="7" t="s">
        <v>71</v>
      </c>
      <c r="B227" s="7" t="s">
        <v>70</v>
      </c>
      <c r="C227" s="7" t="s">
        <v>79</v>
      </c>
      <c r="D227" s="7" t="s">
        <v>44</v>
      </c>
      <c r="E227" s="22" t="n">
        <v>-0.384301349653583</v>
      </c>
      <c r="F227" s="22" t="n">
        <v>0.116481262895982</v>
      </c>
      <c r="G227" s="23" t="n">
        <v>19</v>
      </c>
      <c r="H227" s="24" t="n">
        <f aca="false">IF(F227&gt;0,E227/F227,"")</f>
        <v>-3.29925466207183</v>
      </c>
      <c r="I227" s="24" t="n">
        <f aca="false">IF(H227="","",TDIST(ABS(H227),G227-1,2))</f>
        <v>0.00398786243399632</v>
      </c>
    </row>
    <row r="228" customFormat="false" ht="15" hidden="false" customHeight="false" outlineLevel="0" collapsed="false">
      <c r="A228" s="7" t="s">
        <v>71</v>
      </c>
      <c r="B228" s="7" t="s">
        <v>70</v>
      </c>
      <c r="C228" s="7" t="s">
        <v>80</v>
      </c>
      <c r="D228" s="7" t="s">
        <v>44</v>
      </c>
      <c r="E228" s="22" t="n">
        <v>-0.240549749859148</v>
      </c>
      <c r="F228" s="22" t="n">
        <v>0.185031889039991</v>
      </c>
      <c r="G228" s="23" t="n">
        <v>19</v>
      </c>
      <c r="H228" s="24" t="n">
        <f aca="false">IF(F228&gt;0,E228/F228,"")</f>
        <v>-1.300044825285</v>
      </c>
      <c r="I228" s="24" t="n">
        <f aca="false">IF(H228="","",TDIST(ABS(H228),G228-1,2))</f>
        <v>0.209987381537066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2026-10-19T17:36:32Z</dcterms:created>
  <dc:creator>openpyxl</dc:creator>
  <dc:description/>
  <dc:language>en-US</dc:language>
  <cp:lastModifiedBy/>
  <dcterms:modified xsi:type="dcterms:W3CDTF">2026-10-19T17:36:32Z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