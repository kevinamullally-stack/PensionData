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le XI-split" sheetId="1" state="visible" r:id="rId3"/>
    <sheet name="Table XII-split" sheetId="2" state="visible" r:id="rId4"/>
    <sheet name="Table XI" sheetId="3" state="visible" r:id="rId5"/>
    <sheet name="Table XII" sheetId="4" state="visible" r:id="rId6"/>
    <sheet name="Table XIII" sheetId="5" state="visible" r:id="rId7"/>
    <sheet name="Estimates-split" sheetId="6" state="visible" r:id="rId8"/>
    <sheet name="Estimate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<sst xmlns="http://schemas.openxmlformats.org/spreadsheetml/2006/main" count="443" uniqueCount="167">
  <si>
    <t xml:space="preserve">Table XI: Conflicted CIOs: Plan Performance in the First versus Second Half of Tenure (updated benchmark, fiscal-year-end fixed effects)</t>
  </si>
  <si>
    <t xml:space="preserve">This table repeats the regressions of Table III, splitting the Conflicted CIO indicator into two indicators: Conflicted CIO x First Half of Tenure, equal to 1 in the fiscal years in which a conflicted CIO's tenure is at most one half of the CIO's tenure at departure, and Conflicted CIO x Second Half of Tenure, equal to 1 in the remaining fiscal years of a conflicted CIO's tenure. The omitted category is all plan-years run by non-conflicted CIOs, so each coefficient is the performance differential of conflicted CIOs in that part of their tenure relative to non-conflicted CIOs. Tenure at departure is the CIO's tenure in the last fiscal year observed in the plan plus any gap to the departure year. 11 conflicted plan-years for which tenure at departure cannot be determined are absorbed by a separate indicator that is not reported. The performance measure in Panel A is Peer-Adjusted Return, which is the difference of a plan's return and the average pension plan return each year. The performance measure in Panel B is Benchmark-Adjusted Return, which is calculated as the plan's return minus the return of its updated policy benchmark (the benchmark return reported in the plan's financial report or, where none is stated, an inferred value graded A or B). The other independent variables are as defined in Table I. All columns include fiscal-year-end date fixed effects, so plans are compared only with plans whose fiscal year covers the same twelve months. Column 3 adds plan fixed effects. The last row reports the p-value of a test that the first-half and second-half coefficients are equal. The standard errors are double clustered by plan and year. Coefficients marked with ***, **, and * are significant at the 1%, 5%, and 10% level, respectively.</t>
  </si>
  <si>
    <t xml:space="preserve">Panel A. Peer-Adjusted Returns</t>
  </si>
  <si>
    <t xml:space="preserve">(1)</t>
  </si>
  <si>
    <t xml:space="preserve">(2)</t>
  </si>
  <si>
    <t xml:space="preserve">(3)</t>
  </si>
  <si>
    <t xml:space="preserve">Peer-adj. Ret. (t)</t>
  </si>
  <si>
    <t xml:space="preserve">Conflicted CIO x First Half of Tenure (0/1)</t>
  </si>
  <si>
    <t xml:space="preserve">Conflicted CIO x Second Half of Tenure (0/1)</t>
  </si>
  <si>
    <t xml:space="preserve">Investment Return (t - 1)</t>
  </si>
  <si>
    <t xml:space="preserve">Log (Plan Size) (t-1)</t>
  </si>
  <si>
    <t xml:space="preserve">Funding Ratio (t-1)</t>
  </si>
  <si>
    <t xml:space="preserve">Equity Allocation (%)</t>
  </si>
  <si>
    <t xml:space="preserve">Fixed Income Allocation (%)</t>
  </si>
  <si>
    <t xml:space="preserve">Real Estate Allocation (%)</t>
  </si>
  <si>
    <t xml:space="preserve">Private Equity Allocation (%)</t>
  </si>
  <si>
    <t xml:space="preserve">Hedge Fund Allocation (%)</t>
  </si>
  <si>
    <t xml:space="preserve">Misc. Alternatives Allocation (%)</t>
  </si>
  <si>
    <t xml:space="preserve">Commodities Allocation (%)</t>
  </si>
  <si>
    <t xml:space="preserve">Cash Allocation (%)</t>
  </si>
  <si>
    <t xml:space="preserve">Financial Center (0/1)</t>
  </si>
  <si>
    <t xml:space="preserve">Log (CIO Age) (t-1)</t>
  </si>
  <si>
    <t xml:space="preserve">Log (CIO Tenure) (t-1)</t>
  </si>
  <si>
    <t xml:space="preserve">CIO Prior Private Experience (0/1)</t>
  </si>
  <si>
    <t xml:space="preserve">CIO Attended Elite College (0/1)</t>
  </si>
  <si>
    <t xml:space="preserve">Separate Investment Board (0/1)</t>
  </si>
  <si>
    <t xml:space="preserve">% Political Appointees on Board</t>
  </si>
  <si>
    <t xml:space="preserve">Observations</t>
  </si>
  <si>
    <t xml:space="preserve">Adjusted R-squared</t>
  </si>
  <si>
    <t xml:space="preserve">Plan FE</t>
  </si>
  <si>
    <t xml:space="preserve">No</t>
  </si>
  <si>
    <t xml:space="preserve">Yes</t>
  </si>
  <si>
    <t xml:space="preserve">Fiscal-Year-End FE</t>
  </si>
  <si>
    <t xml:space="preserve">p-value: First Half = Second Half</t>
  </si>
  <si>
    <t xml:space="preserve">Panel B. Benchmark-Adjusted Returns</t>
  </si>
  <si>
    <t xml:space="preserve">Bench-adj. Ret. (t)</t>
  </si>
  <si>
    <t xml:space="preserve">Table XII: Conflicted CIOs: Fee Ratio in the First versus Second Half of Tenure (fiscal-year-end fixed effects)</t>
  </si>
  <si>
    <t xml:space="preserve">This table repeats the regressions of Table XI with Fee Ratio as the dependent variable. Fee Ratio is the plan's total investment fees as a percentage of plan assets. Conflicted CIO x First Half of Tenure and Conflicted CIO x Second Half of Tenure are defined as in Table XI, and the omitted category is all plan-years run by non-conflicted CIOs. The other independent variables are as defined in Table I. All columns include fiscal-year-end date fixed effects, so plans are compared only with plans whose fiscal year covers the same twelve months. Column 3 adds plan fixed effects. The last row reports the p-value of a test that the first-half and second-half coefficients are equal. The standard errors are double clustered by plan and year. Coefficients marked with ***, **, and * are significant at the 1%, 5%, and 10% level, respectively.</t>
  </si>
  <si>
    <t xml:space="preserve">Fee Ratio (t)</t>
  </si>
  <si>
    <t xml:space="preserve">Table XI: Conflicted CIOs: Plan Performance in the First versus Second Half of Tenure, Conflicted CIOs Only (updated benchmark, fiscal-year-end fixed effects)</t>
  </si>
  <si>
    <t xml:space="preserve">This table reports results of tests that regress the returns of public pension plans run by conflicted CIOs on an indicator variable, Second Half of Tenure, which is equal to 1 in the fiscal years in which the CIO's tenure exceeds one half of the CIO's tenure at departure and 0 otherwise. Conflicted CIOs are defined as in Table III, and the sample is restricted to their plan-years, so the coefficient compares the second half of a conflicted CIO's tenure with the first half. Tenure at departure is the CIO's tenure in the last fiscal year observed in the plan plus any gap to the departure year. The performance measure in Panel A is Peer-Adjusted Return, which is the difference of a plan's return and the average pension plan return each year. The performance measure in Panel B is Benchmark-Adjusted Return, which is calculated as the plan's return minus the return of its updated policy benchmark (the benchmark return reported in the plan's financial report or, where none is stated, an inferred value graded A or B). The other independent variables are as defined in Table I. All columns include fiscal-year-end date fixed effects, so plans are compared only with plans whose fiscal year covers the same twelve months. Column 3 adds plan fixed effects. Columns 4 and 5 include CIO fixed effects and omit the CIO-level controls; Column 5 restricts the sample to CIOs whose tenure at departure is at least four years, so that each half of tenure contains at least two fiscal years. The standard errors are double clustered by plan and year. Coefficients marked with ***, **, and * are significant at the 1%, 5%, and 10% level, respectively.</t>
  </si>
  <si>
    <t xml:space="preserve">(4)</t>
  </si>
  <si>
    <t xml:space="preserve">(5)</t>
  </si>
  <si>
    <t xml:space="preserve">Second Half of Tenure (0/1)</t>
  </si>
  <si>
    <t xml:space="preserve">Number of CIOs</t>
  </si>
  <si>
    <t xml:space="preserve">CIO FE</t>
  </si>
  <si>
    <t xml:space="preserve">Min. Tenure at Departure (years)</t>
  </si>
  <si>
    <t xml:space="preserve">4</t>
  </si>
  <si>
    <t xml:space="preserve">Table XII: Conflicted CIOs: Fee Ratio in the First versus Second Half of Tenure, Conflicted CIOs Only (fiscal-year-end fixed effects)</t>
  </si>
  <si>
    <t xml:space="preserve">This table repeats the tests of Table XI with Fee Ratio as the dependent variable. Fee Ratio is the plan's total investment fees as a percentage of plan assets. The sample is restricted to plan-years of conflicted CIOs, and Second Half of Tenure is equal to 1 in the fiscal years in which the CIO's tenure exceeds one half of the CIO's tenure at departure and 0 otherwise. The other independent variables are as defined in Table I. All columns include fiscal-year-end date fixed effects, so plans are compared only with plans whose fiscal year covers the same twelve months. Column 3 adds plan fixed effects. Columns 4 and 5 include CIO fixed effects and omit the CIO-level controls; Column 5 restricts the sample to CIOs whose tenure at departure is at least four years. The standard errors are double clustered by plan and year. Coefficients marked with ***, **, and * are significant at the 1%, 5%, and 10% level, respectively.</t>
  </si>
  <si>
    <t xml:space="preserve">Table XIII: Conflicted CIOs: Univariate Comparison of the First and Second Half of Tenure (updated benchmark)</t>
  </si>
  <si>
    <t xml:space="preserve">This table compares the average outcomes of conflicted CIOs in the first and second half of their tenure with one observation per CIO. Plan-years are first averaged within CIO-year for CIOs who run several plans, then averaged within each half of tenure. Difference is the mean within-CIO change from the first to the second half; the t-statistic tests whether this mean change is zero, and the last column reports the p-value of a Wilcoxon signed-rank test of the same hypothesis. Coefficients marked with ***, **, and * are significant at the 1%, 5%, and 10% level, respectively.</t>
  </si>
  <si>
    <t xml:space="preserve">N (CIOs)</t>
  </si>
  <si>
    <t xml:space="preserve">First Half</t>
  </si>
  <si>
    <t xml:space="preserve">Second Half</t>
  </si>
  <si>
    <t xml:space="preserve">Difference</t>
  </si>
  <si>
    <t xml:space="preserve">t-stat</t>
  </si>
  <si>
    <t xml:space="preserve">% Improving</t>
  </si>
  <si>
    <t xml:space="preserve">Wilcoxon p-value</t>
  </si>
  <si>
    <t xml:space="preserve">SD of change</t>
  </si>
  <si>
    <t xml:space="preserve">t (helper)</t>
  </si>
  <si>
    <t xml:space="preserve">p (helper)</t>
  </si>
  <si>
    <t xml:space="preserve">Peer-Adjusted Return (%)</t>
  </si>
  <si>
    <t xml:space="preserve">Benchmark-Adjusted Return (%)</t>
  </si>
  <si>
    <t xml:space="preserve">Fee Ratio (%)</t>
  </si>
  <si>
    <t xml:space="preserve">Estimates behind the split tables (blue = regression output; t and p are formulas). Full Table III sample; SE double clustered by plan and year (PSD-corrected); p-values use the t distribution with min(plan clusters, year clusters) - 1 df.</t>
  </si>
  <si>
    <t xml:space="preserve">Variable</t>
  </si>
  <si>
    <t xml:space="preserve">S1A(1) coef</t>
  </si>
  <si>
    <t xml:space="preserve">S1A(1) se</t>
  </si>
  <si>
    <t xml:space="preserve">S1A(1) t</t>
  </si>
  <si>
    <t xml:space="preserve">S1A(1) p</t>
  </si>
  <si>
    <t xml:space="preserve">S1A(2) coef</t>
  </si>
  <si>
    <t xml:space="preserve">S1A(2) se</t>
  </si>
  <si>
    <t xml:space="preserve">S1A(2) t</t>
  </si>
  <si>
    <t xml:space="preserve">S1A(2) p</t>
  </si>
  <si>
    <t xml:space="preserve">S1A(3) coef</t>
  </si>
  <si>
    <t xml:space="preserve">S1A(3) se</t>
  </si>
  <si>
    <t xml:space="preserve">S1A(3) t</t>
  </si>
  <si>
    <t xml:space="preserve">S1A(3) p</t>
  </si>
  <si>
    <t xml:space="preserve">S1B(1) coef</t>
  </si>
  <si>
    <t xml:space="preserve">S1B(1) se</t>
  </si>
  <si>
    <t xml:space="preserve">S1B(1) t</t>
  </si>
  <si>
    <t xml:space="preserve">S1B(1) p</t>
  </si>
  <si>
    <t xml:space="preserve">S1B(2) coef</t>
  </si>
  <si>
    <t xml:space="preserve">S1B(2) se</t>
  </si>
  <si>
    <t xml:space="preserve">S1B(2) t</t>
  </si>
  <si>
    <t xml:space="preserve">S1B(2) p</t>
  </si>
  <si>
    <t xml:space="preserve">S1B(3) coef</t>
  </si>
  <si>
    <t xml:space="preserve">S1B(3) se</t>
  </si>
  <si>
    <t xml:space="preserve">S1B(3) t</t>
  </si>
  <si>
    <t xml:space="preserve">S1B(3) p</t>
  </si>
  <si>
    <t xml:space="preserve">S2A(1) coef</t>
  </si>
  <si>
    <t xml:space="preserve">S2A(1) se</t>
  </si>
  <si>
    <t xml:space="preserve">S2A(1) t</t>
  </si>
  <si>
    <t xml:space="preserve">S2A(1) p</t>
  </si>
  <si>
    <t xml:space="preserve">S2A(2) coef</t>
  </si>
  <si>
    <t xml:space="preserve">S2A(2) se</t>
  </si>
  <si>
    <t xml:space="preserve">S2A(2) t</t>
  </si>
  <si>
    <t xml:space="preserve">S2A(2) p</t>
  </si>
  <si>
    <t xml:space="preserve">S2A(3) coef</t>
  </si>
  <si>
    <t xml:space="preserve">S2A(3) se</t>
  </si>
  <si>
    <t xml:space="preserve">S2A(3) t</t>
  </si>
  <si>
    <t xml:space="preserve">S2A(3) p</t>
  </si>
  <si>
    <t xml:space="preserve">First Half minus Second Half</t>
  </si>
  <si>
    <t xml:space="preserve">Plan clusters</t>
  </si>
  <si>
    <t xml:space="preserve">Year clusters</t>
  </si>
  <si>
    <t xml:space="preserve">Estimates behind the tables (blue = regression output; t and p are formulas). Standard errors double clustered by plan and year; p-values use the t distribution with min(plan clusters, year clusters) - 1 degrees of freedom.</t>
  </si>
  <si>
    <t xml:space="preserve">T1A(1) coef</t>
  </si>
  <si>
    <t xml:space="preserve">T1A(1) se</t>
  </si>
  <si>
    <t xml:space="preserve">T1A(1) t</t>
  </si>
  <si>
    <t xml:space="preserve">T1A(1) p</t>
  </si>
  <si>
    <t xml:space="preserve">T1A(2) coef</t>
  </si>
  <si>
    <t xml:space="preserve">T1A(2) se</t>
  </si>
  <si>
    <t xml:space="preserve">T1A(2) t</t>
  </si>
  <si>
    <t xml:space="preserve">T1A(2) p</t>
  </si>
  <si>
    <t xml:space="preserve">T1A(3) coef</t>
  </si>
  <si>
    <t xml:space="preserve">T1A(3) se</t>
  </si>
  <si>
    <t xml:space="preserve">T1A(3) t</t>
  </si>
  <si>
    <t xml:space="preserve">T1A(3) p</t>
  </si>
  <si>
    <t xml:space="preserve">T1A(4) coef</t>
  </si>
  <si>
    <t xml:space="preserve">T1A(4) se</t>
  </si>
  <si>
    <t xml:space="preserve">T1A(4) t</t>
  </si>
  <si>
    <t xml:space="preserve">T1A(4) p</t>
  </si>
  <si>
    <t xml:space="preserve">T1A(5) coef</t>
  </si>
  <si>
    <t xml:space="preserve">T1A(5) se</t>
  </si>
  <si>
    <t xml:space="preserve">T1A(5) t</t>
  </si>
  <si>
    <t xml:space="preserve">T1A(5) p</t>
  </si>
  <si>
    <t xml:space="preserve">T1B(1) coef</t>
  </si>
  <si>
    <t xml:space="preserve">T1B(1) se</t>
  </si>
  <si>
    <t xml:space="preserve">T1B(1) t</t>
  </si>
  <si>
    <t xml:space="preserve">T1B(1) p</t>
  </si>
  <si>
    <t xml:space="preserve">T1B(2) coef</t>
  </si>
  <si>
    <t xml:space="preserve">T1B(2) se</t>
  </si>
  <si>
    <t xml:space="preserve">T1B(2) t</t>
  </si>
  <si>
    <t xml:space="preserve">T1B(2) p</t>
  </si>
  <si>
    <t xml:space="preserve">T1B(3) coef</t>
  </si>
  <si>
    <t xml:space="preserve">T1B(3) se</t>
  </si>
  <si>
    <t xml:space="preserve">T1B(3) t</t>
  </si>
  <si>
    <t xml:space="preserve">T1B(3) p</t>
  </si>
  <si>
    <t xml:space="preserve">T1B(4) coef</t>
  </si>
  <si>
    <t xml:space="preserve">T1B(4) se</t>
  </si>
  <si>
    <t xml:space="preserve">T1B(4) t</t>
  </si>
  <si>
    <t xml:space="preserve">T1B(4) p</t>
  </si>
  <si>
    <t xml:space="preserve">T1B(5) coef</t>
  </si>
  <si>
    <t xml:space="preserve">T1B(5) se</t>
  </si>
  <si>
    <t xml:space="preserve">T1B(5) t</t>
  </si>
  <si>
    <t xml:space="preserve">T1B(5) p</t>
  </si>
  <si>
    <t xml:space="preserve">T2A(1) coef</t>
  </si>
  <si>
    <t xml:space="preserve">T2A(1) se</t>
  </si>
  <si>
    <t xml:space="preserve">T2A(1) t</t>
  </si>
  <si>
    <t xml:space="preserve">T2A(1) p</t>
  </si>
  <si>
    <t xml:space="preserve">T2A(2) coef</t>
  </si>
  <si>
    <t xml:space="preserve">T2A(2) se</t>
  </si>
  <si>
    <t xml:space="preserve">T2A(2) t</t>
  </si>
  <si>
    <t xml:space="preserve">T2A(2) p</t>
  </si>
  <si>
    <t xml:space="preserve">T2A(3) coef</t>
  </si>
  <si>
    <t xml:space="preserve">T2A(3) se</t>
  </si>
  <si>
    <t xml:space="preserve">T2A(3) t</t>
  </si>
  <si>
    <t xml:space="preserve">T2A(3) p</t>
  </si>
  <si>
    <t xml:space="preserve">T2A(4) coef</t>
  </si>
  <si>
    <t xml:space="preserve">T2A(4) se</t>
  </si>
  <si>
    <t xml:space="preserve">T2A(4) t</t>
  </si>
  <si>
    <t xml:space="preserve">T2A(4) p</t>
  </si>
  <si>
    <t xml:space="preserve">T2A(5) coef</t>
  </si>
  <si>
    <t xml:space="preserve">T2A(5) se</t>
  </si>
  <si>
    <t xml:space="preserve">T2A(5) t</t>
  </si>
  <si>
    <t xml:space="preserve">T2A(5) p</t>
  </si>
</sst>
</file>

<file path=xl/styles.xml><?xml version="1.0" encoding="utf-8"?>
<styleSheet xmlns="http://schemas.openxmlformats.org/spreadsheetml/2006/main">
  <numFmts count="6">
    <numFmt numFmtId="164" formatCode="General"/>
    <numFmt numFmtId="165" formatCode="#,##0"/>
    <numFmt numFmtId="166" formatCode="0.000"/>
    <numFmt numFmtId="167" formatCode="0"/>
    <numFmt numFmtId="168" formatCode="0.0%"/>
    <numFmt numFmtId="169" formatCode="0.0000"/>
  </numFmts>
  <fonts count="8">
    <font>
      <sz val="11"/>
      <color theme="1"/>
      <name val="Calibri"/>
      <family val="2"/>
      <charset val="1"/>
    </font>
    <font>
      <sz val="10"/>
      <name val="Arial"/>
      <family val="0"/>
    </font>
    <font>
      <sz val="10"/>
      <name val="Arial"/>
      <family val="0"/>
    </font>
    <font>
      <sz val="10"/>
      <name val="Arial"/>
      <family val="0"/>
    </font>
    <font>
      <b val="true"/>
      <sz val="10.5"/>
      <name val="Times New Roman"/>
      <family val="0"/>
      <charset val="1"/>
    </font>
    <font>
      <sz val="10.5"/>
      <name val="Times New Roman"/>
      <family val="0"/>
      <charset val="1"/>
    </font>
    <font>
      <i val="true"/>
      <sz val="10.5"/>
      <name val="Times New Roman"/>
      <family val="0"/>
      <charset val="1"/>
    </font>
    <font>
      <sz val="10.5"/>
      <color rgb="FF0000FF"/>
      <name val="Times New Roman"/>
      <family val="0"/>
      <charset val="1"/>
    </font>
  </fonts>
  <fills count="2">
    <fill>
      <patternFill patternType="none"/>
    </fill>
    <fill>
      <patternFill patternType="gray125"/>
    </fill>
  </fills>
  <borders count="4">
    <border diagonalUp="false" diagonalDown="false">
      <left/>
      <right/>
      <top/>
      <bottom/>
      <diagonal/>
    </border>
    <border diagonalUp="false" diagonalDown="false">
      <left/>
      <right/>
      <top style="thin"/>
      <bottom/>
      <diagonal/>
    </border>
    <border diagonalUp="false" diagonalDown="false">
      <left/>
      <right/>
      <top/>
      <bottom style="thin"/>
      <diagonal/>
    </border>
    <border diagonalUp="false" diagonalDown="false">
      <left/>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justify"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5" fontId="5" fillId="0" borderId="0" xfId="0" applyFont="true" applyBorder="false" applyAlignment="true" applyProtection="false">
      <alignment horizontal="right" vertical="bottom" textRotation="0" wrapText="false" indent="0" shrinkToFit="false"/>
      <protection locked="true" hidden="false"/>
    </xf>
    <xf numFmtId="166" fontId="5" fillId="0" borderId="0" xfId="0" applyFont="true" applyBorder="fals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6" fontId="5" fillId="0" borderId="2" xfId="0" applyFont="true" applyBorder="true" applyAlignment="true" applyProtection="false">
      <alignment horizontal="right" vertical="bottom" textRotation="0" wrapText="false" indent="0" shrinkToFit="false"/>
      <protection locked="true" hidden="false"/>
    </xf>
    <xf numFmtId="167" fontId="5" fillId="0" borderId="0" xfId="0" applyFont="true" applyBorder="false" applyAlignment="true" applyProtection="false">
      <alignment horizontal="right" vertical="bottom" textRotation="0" wrapText="false" indent="0" shrinkToFit="false"/>
      <protection locked="true" hidden="false"/>
    </xf>
    <xf numFmtId="164" fontId="5" fillId="0" borderId="3"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right" vertical="bottom" textRotation="0" wrapText="false" indent="0" shrinkToFit="false"/>
      <protection locked="true" hidden="false"/>
    </xf>
    <xf numFmtId="166" fontId="7" fillId="0" borderId="0" xfId="0" applyFont="true" applyBorder="false" applyAlignment="true" applyProtection="false">
      <alignment horizontal="right" vertical="bottom" textRotation="0" wrapText="false" indent="0" shrinkToFit="false"/>
      <protection locked="true" hidden="false"/>
    </xf>
    <xf numFmtId="168" fontId="7"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2" xfId="0" applyFont="true" applyBorder="true" applyAlignment="true" applyProtection="false">
      <alignment horizontal="right" vertical="bottom" textRotation="0" wrapText="false" indent="0" shrinkToFit="false"/>
      <protection locked="true" hidden="false"/>
    </xf>
    <xf numFmtId="166" fontId="7" fillId="0" borderId="2" xfId="0" applyFont="true" applyBorder="true" applyAlignment="true" applyProtection="false">
      <alignment horizontal="right" vertical="bottom" textRotation="0" wrapText="false" indent="0" shrinkToFit="false"/>
      <protection locked="true" hidden="false"/>
    </xf>
    <xf numFmtId="164" fontId="5" fillId="0" borderId="2" xfId="0" applyFont="true" applyBorder="true" applyAlignment="true" applyProtection="false">
      <alignment horizontal="right" vertical="bottom" textRotation="0" wrapText="false" indent="0" shrinkToFit="false"/>
      <protection locked="true" hidden="false"/>
    </xf>
    <xf numFmtId="168" fontId="7" fillId="0" borderId="2" xfId="0" applyFont="true" applyBorder="true" applyAlignment="true" applyProtection="false">
      <alignment horizontal="right"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5" min="2" style="0" width="16"/>
  </cols>
  <sheetData>
    <row r="1" customFormat="false" ht="15" hidden="false" customHeight="false" outlineLevel="0" collapsed="false">
      <c r="A1" s="1" t="s">
        <v>0</v>
      </c>
    </row>
    <row r="2" customFormat="false" ht="300" hidden="false" customHeight="true" outlineLevel="0" collapsed="false">
      <c r="A2" s="2" t="s">
        <v>1</v>
      </c>
      <c r="B2" s="2"/>
      <c r="C2" s="2"/>
      <c r="D2" s="2"/>
      <c r="E2" s="2"/>
    </row>
    <row r="4" customFormat="false" ht="15" hidden="false" customHeight="false" outlineLevel="0" collapsed="false">
      <c r="A4" s="1" t="s">
        <v>2</v>
      </c>
    </row>
    <row r="5" customFormat="false" ht="15" hidden="false" customHeight="false" outlineLevel="0" collapsed="false">
      <c r="A5" s="3"/>
      <c r="B5" s="4" t="s">
        <v>3</v>
      </c>
      <c r="C5" s="4" t="s">
        <v>4</v>
      </c>
      <c r="D5" s="4" t="s">
        <v>5</v>
      </c>
    </row>
    <row r="6" customFormat="false" ht="15" hidden="false" customHeight="false" outlineLevel="0" collapsed="false">
      <c r="A6" s="5"/>
      <c r="B6" s="6" t="s">
        <v>6</v>
      </c>
      <c r="C6" s="6" t="s">
        <v>6</v>
      </c>
      <c r="D6" s="6" t="s">
        <v>6</v>
      </c>
    </row>
    <row r="7" customFormat="false" ht="15" hidden="false" customHeight="false" outlineLevel="0" collapsed="false">
      <c r="A7" s="7" t="s">
        <v>7</v>
      </c>
      <c r="B7" s="8" t="str">
        <f aca="false">TEXT('Estimates-split'!B4,"0.000")&amp;IF('Estimates-split'!E4="","",IF('Estimates-split'!E4&lt;0.01,"***",IF('Estimates-split'!E4&lt;0.05,"**",IF('Estimates-split'!E4&lt;0.1,"*",""))))</f>
        <v>-0.474**</v>
      </c>
      <c r="C7" s="8" t="str">
        <f aca="false">TEXT('Estimates-split'!F4,"0.000")&amp;IF('Estimates-split'!I4="","",IF('Estimates-split'!I4&lt;0.01,"***",IF('Estimates-split'!I4&lt;0.05,"**",IF('Estimates-split'!I4&lt;0.1,"*",""))))</f>
        <v>-0.497*</v>
      </c>
      <c r="D7" s="8" t="str">
        <f aca="false">TEXT('Estimates-split'!J4,"0.000")&amp;IF('Estimates-split'!M4="","",IF('Estimates-split'!M4&lt;0.01,"***",IF('Estimates-split'!M4&lt;0.05,"**",IF('Estimates-split'!M4&lt;0.1,"*",""))))</f>
        <v>-0.845**</v>
      </c>
    </row>
    <row r="8" customFormat="false" ht="15" hidden="false" customHeight="false" outlineLevel="0" collapsed="false">
      <c r="B8" s="8" t="str">
        <f aca="false">IF('Estimates-split'!D4="","(n/a)","("&amp;TEXT('Estimates-split'!D4,"0.00")&amp;")")</f>
        <v>(-2.51)</v>
      </c>
      <c r="C8" s="8" t="str">
        <f aca="false">IF('Estimates-split'!H4="","(n/a)","("&amp;TEXT('Estimates-split'!H4,"0.00")&amp;")")</f>
        <v>(-2.10)</v>
      </c>
      <c r="D8" s="8" t="str">
        <f aca="false">IF('Estimates-split'!L4="","(n/a)","("&amp;TEXT('Estimates-split'!L4,"0.00")&amp;")")</f>
        <v>(-2.29)</v>
      </c>
    </row>
    <row r="9" customFormat="false" ht="15" hidden="false" customHeight="false" outlineLevel="0" collapsed="false">
      <c r="A9" s="7" t="s">
        <v>8</v>
      </c>
      <c r="B9" s="8" t="str">
        <f aca="false">TEXT('Estimates-split'!B5,"0.000")&amp;IF('Estimates-split'!E5="","",IF('Estimates-split'!E5&lt;0.01,"***",IF('Estimates-split'!E5&lt;0.05,"**",IF('Estimates-split'!E5&lt;0.1,"*",""))))</f>
        <v>-0.596***</v>
      </c>
      <c r="C9" s="8" t="str">
        <f aca="false">TEXT('Estimates-split'!F5,"0.000")&amp;IF('Estimates-split'!I5="","",IF('Estimates-split'!I5&lt;0.01,"***",IF('Estimates-split'!I5&lt;0.05,"**",IF('Estimates-split'!I5&lt;0.1,"*",""))))</f>
        <v>-0.536**</v>
      </c>
      <c r="D9" s="8" t="str">
        <f aca="false">TEXT('Estimates-split'!J5,"0.000")&amp;IF('Estimates-split'!M5="","",IF('Estimates-split'!M5&lt;0.01,"***",IF('Estimates-split'!M5&lt;0.05,"**",IF('Estimates-split'!M5&lt;0.1,"*",""))))</f>
        <v>-0.644*</v>
      </c>
    </row>
    <row r="10" customFormat="false" ht="15" hidden="false" customHeight="false" outlineLevel="0" collapsed="false">
      <c r="B10" s="8" t="str">
        <f aca="false">IF('Estimates-split'!D5="","(n/a)","("&amp;TEXT('Estimates-split'!D5,"0.00")&amp;")")</f>
        <v>(-3.32)</v>
      </c>
      <c r="C10" s="8" t="str">
        <f aca="false">IF('Estimates-split'!H5="","(n/a)","("&amp;TEXT('Estimates-split'!H5,"0.00")&amp;")")</f>
        <v>(-2.56)</v>
      </c>
      <c r="D10" s="8" t="str">
        <f aca="false">IF('Estimates-split'!L5="","(n/a)","("&amp;TEXT('Estimates-split'!L5,"0.00")&amp;")")</f>
        <v>(-2.02)</v>
      </c>
    </row>
    <row r="11" customFormat="false" ht="15" hidden="false" customHeight="false" outlineLevel="0" collapsed="false">
      <c r="A11" s="7" t="s">
        <v>9</v>
      </c>
      <c r="B11" s="8" t="str">
        <f aca="false">TEXT('Estimates-split'!B6,"0.000")&amp;IF('Estimates-split'!E6="","",IF('Estimates-split'!E6&lt;0.01,"***",IF('Estimates-split'!E6&lt;0.05,"**",IF('Estimates-split'!E6&lt;0.1,"*",""))))</f>
        <v>0.119</v>
      </c>
      <c r="C11" s="8" t="str">
        <f aca="false">TEXT('Estimates-split'!F6,"0.000")&amp;IF('Estimates-split'!I6="","",IF('Estimates-split'!I6&lt;0.01,"***",IF('Estimates-split'!I6&lt;0.05,"**",IF('Estimates-split'!I6&lt;0.1,"*",""))))</f>
        <v>0.091</v>
      </c>
      <c r="D11" s="8" t="str">
        <f aca="false">TEXT('Estimates-split'!J6,"0.000")&amp;IF('Estimates-split'!M6="","",IF('Estimates-split'!M6&lt;0.01,"***",IF('Estimates-split'!M6&lt;0.05,"**",IF('Estimates-split'!M6&lt;0.1,"*",""))))</f>
        <v>0.030</v>
      </c>
    </row>
    <row r="12" customFormat="false" ht="15" hidden="false" customHeight="false" outlineLevel="0" collapsed="false">
      <c r="B12" s="8" t="str">
        <f aca="false">IF('Estimates-split'!D6="","(n/a)","("&amp;TEXT('Estimates-split'!D6,"0.00")&amp;")")</f>
        <v>(1.55)</v>
      </c>
      <c r="C12" s="8" t="str">
        <f aca="false">IF('Estimates-split'!H6="","(n/a)","("&amp;TEXT('Estimates-split'!H6,"0.00")&amp;")")</f>
        <v>(1.16)</v>
      </c>
      <c r="D12" s="8" t="str">
        <f aca="false">IF('Estimates-split'!L6="","(n/a)","("&amp;TEXT('Estimates-split'!L6,"0.00")&amp;")")</f>
        <v>(0.40)</v>
      </c>
    </row>
    <row r="13" customFormat="false" ht="15" hidden="false" customHeight="false" outlineLevel="0" collapsed="false">
      <c r="A13" s="7" t="s">
        <v>10</v>
      </c>
      <c r="B13" s="8" t="str">
        <f aca="false">TEXT('Estimates-split'!B7,"0.000")&amp;IF('Estimates-split'!E7="","",IF('Estimates-split'!E7&lt;0.01,"***",IF('Estimates-split'!E7&lt;0.05,"**",IF('Estimates-split'!E7&lt;0.1,"*",""))))</f>
        <v>0.013</v>
      </c>
      <c r="C13" s="8" t="str">
        <f aca="false">TEXT('Estimates-split'!F7,"0.000")&amp;IF('Estimates-split'!I7="","",IF('Estimates-split'!I7&lt;0.01,"***",IF('Estimates-split'!I7&lt;0.05,"**",IF('Estimates-split'!I7&lt;0.1,"*",""))))</f>
        <v>0.072</v>
      </c>
      <c r="D13" s="8" t="str">
        <f aca="false">TEXT('Estimates-split'!J7,"0.000")&amp;IF('Estimates-split'!M7="","",IF('Estimates-split'!M7&lt;0.01,"***",IF('Estimates-split'!M7&lt;0.05,"**",IF('Estimates-split'!M7&lt;0.1,"*",""))))</f>
        <v>-1.428*</v>
      </c>
    </row>
    <row r="14" customFormat="false" ht="15" hidden="false" customHeight="false" outlineLevel="0" collapsed="false">
      <c r="B14" s="8" t="str">
        <f aca="false">IF('Estimates-split'!D7="","(n/a)","("&amp;TEXT('Estimates-split'!D7,"0.00")&amp;")")</f>
        <v>(0.26)</v>
      </c>
      <c r="C14" s="8" t="str">
        <f aca="false">IF('Estimates-split'!H7="","(n/a)","("&amp;TEXT('Estimates-split'!H7,"0.00")&amp;")")</f>
        <v>(1.27)</v>
      </c>
      <c r="D14" s="8" t="str">
        <f aca="false">IF('Estimates-split'!L7="","(n/a)","("&amp;TEXT('Estimates-split'!L7,"0.00")&amp;")")</f>
        <v>(-1.77)</v>
      </c>
    </row>
    <row r="15" customFormat="false" ht="15" hidden="false" customHeight="false" outlineLevel="0" collapsed="false">
      <c r="A15" s="7" t="s">
        <v>11</v>
      </c>
      <c r="B15" s="8" t="str">
        <f aca="false">TEXT('Estimates-split'!B8,"0.000")&amp;IF('Estimates-split'!E8="","",IF('Estimates-split'!E8&lt;0.01,"***",IF('Estimates-split'!E8&lt;0.05,"**",IF('Estimates-split'!E8&lt;0.1,"*",""))))</f>
        <v>-0.004</v>
      </c>
      <c r="C15" s="8" t="str">
        <f aca="false">TEXT('Estimates-split'!F8,"0.000")&amp;IF('Estimates-split'!I8="","",IF('Estimates-split'!I8&lt;0.01,"***",IF('Estimates-split'!I8&lt;0.05,"**",IF('Estimates-split'!I8&lt;0.1,"*",""))))</f>
        <v>-0.006</v>
      </c>
      <c r="D15" s="8" t="str">
        <f aca="false">TEXT('Estimates-split'!J8,"0.000")&amp;IF('Estimates-split'!M8="","",IF('Estimates-split'!M8&lt;0.01,"***",IF('Estimates-split'!M8&lt;0.05,"**",IF('Estimates-split'!M8&lt;0.1,"*",""))))</f>
        <v>-0.030**</v>
      </c>
    </row>
    <row r="16" customFormat="false" ht="15" hidden="false" customHeight="false" outlineLevel="0" collapsed="false">
      <c r="B16" s="8" t="str">
        <f aca="false">IF('Estimates-split'!D8="","(n/a)","("&amp;TEXT('Estimates-split'!D8,"0.00")&amp;")")</f>
        <v>(-0.94)</v>
      </c>
      <c r="C16" s="8" t="str">
        <f aca="false">IF('Estimates-split'!H8="","(n/a)","("&amp;TEXT('Estimates-split'!H8,"0.00")&amp;")")</f>
        <v>(-1.00)</v>
      </c>
      <c r="D16" s="8" t="str">
        <f aca="false">IF('Estimates-split'!L8="","(n/a)","("&amp;TEXT('Estimates-split'!L8,"0.00")&amp;")")</f>
        <v>(-2.68)</v>
      </c>
    </row>
    <row r="17" customFormat="false" ht="15" hidden="false" customHeight="false" outlineLevel="0" collapsed="false">
      <c r="A17" s="7" t="s">
        <v>12</v>
      </c>
      <c r="B17" s="8" t="str">
        <f aca="false">TEXT('Estimates-split'!B9,"0.000")&amp;IF('Estimates-split'!E9="","",IF('Estimates-split'!E9&lt;0.01,"***",IF('Estimates-split'!E9&lt;0.05,"**",IF('Estimates-split'!E9&lt;0.1,"*",""))))</f>
        <v>-0.073</v>
      </c>
      <c r="C17" s="8" t="str">
        <f aca="false">TEXT('Estimates-split'!F9,"0.000")&amp;IF('Estimates-split'!I9="","",IF('Estimates-split'!I9&lt;0.01,"***",IF('Estimates-split'!I9&lt;0.05,"**",IF('Estimates-split'!I9&lt;0.1,"*",""))))</f>
        <v>-0.012</v>
      </c>
      <c r="D17" s="8" t="str">
        <f aca="false">TEXT('Estimates-split'!J9,"0.000")&amp;IF('Estimates-split'!M9="","",IF('Estimates-split'!M9&lt;0.01,"***",IF('Estimates-split'!M9&lt;0.05,"**",IF('Estimates-split'!M9&lt;0.1,"*",""))))</f>
        <v>-0.035</v>
      </c>
    </row>
    <row r="18" customFormat="false" ht="15" hidden="false" customHeight="false" outlineLevel="0" collapsed="false">
      <c r="B18" s="8" t="str">
        <f aca="false">IF('Estimates-split'!D9="","(n/a)","("&amp;TEXT('Estimates-split'!D9,"0.00")&amp;")")</f>
        <v>(-0.58)</v>
      </c>
      <c r="C18" s="8" t="str">
        <f aca="false">IF('Estimates-split'!H9="","(n/a)","("&amp;TEXT('Estimates-split'!H9,"0.00")&amp;")")</f>
        <v>(-0.21)</v>
      </c>
      <c r="D18" s="8" t="str">
        <f aca="false">IF('Estimates-split'!L9="","(n/a)","("&amp;TEXT('Estimates-split'!L9,"0.00")&amp;")")</f>
        <v>(-0.40)</v>
      </c>
    </row>
    <row r="19" customFormat="false" ht="15" hidden="false" customHeight="false" outlineLevel="0" collapsed="false">
      <c r="A19" s="7" t="s">
        <v>13</v>
      </c>
      <c r="B19" s="8" t="str">
        <f aca="false">TEXT('Estimates-split'!B10,"0.000")&amp;IF('Estimates-split'!E10="","",IF('Estimates-split'!E10&lt;0.01,"***",IF('Estimates-split'!E10&lt;0.05,"**",IF('Estimates-split'!E10&lt;0.1,"*",""))))</f>
        <v>-0.086</v>
      </c>
      <c r="C19" s="8" t="str">
        <f aca="false">TEXT('Estimates-split'!F10,"0.000")&amp;IF('Estimates-split'!I10="","",IF('Estimates-split'!I10&lt;0.01,"***",IF('Estimates-split'!I10&lt;0.05,"**",IF('Estimates-split'!I10&lt;0.1,"*",""))))</f>
        <v>-0.020</v>
      </c>
      <c r="D19" s="8" t="str">
        <f aca="false">TEXT('Estimates-split'!J10,"0.000")&amp;IF('Estimates-split'!M10="","",IF('Estimates-split'!M10&lt;0.01,"***",IF('Estimates-split'!M10&lt;0.05,"**",IF('Estimates-split'!M10&lt;0.1,"*",""))))</f>
        <v>-0.041</v>
      </c>
    </row>
    <row r="20" customFormat="false" ht="15" hidden="false" customHeight="false" outlineLevel="0" collapsed="false">
      <c r="B20" s="8" t="str">
        <f aca="false">IF('Estimates-split'!D10="","(n/a)","("&amp;TEXT('Estimates-split'!D10,"0.00")&amp;")")</f>
        <v>(-0.64)</v>
      </c>
      <c r="C20" s="8" t="str">
        <f aca="false">IF('Estimates-split'!H10="","(n/a)","("&amp;TEXT('Estimates-split'!H10,"0.00")&amp;")")</f>
        <v>(-0.26)</v>
      </c>
      <c r="D20" s="8" t="str">
        <f aca="false">IF('Estimates-split'!L10="","(n/a)","("&amp;TEXT('Estimates-split'!L10,"0.00")&amp;")")</f>
        <v>(-0.42)</v>
      </c>
    </row>
    <row r="21" customFormat="false" ht="15" hidden="false" customHeight="false" outlineLevel="0" collapsed="false">
      <c r="A21" s="7" t="s">
        <v>14</v>
      </c>
      <c r="B21" s="8" t="str">
        <f aca="false">TEXT('Estimates-split'!B11,"0.000")&amp;IF('Estimates-split'!E11="","",IF('Estimates-split'!E11&lt;0.01,"***",IF('Estimates-split'!E11&lt;0.05,"**",IF('Estimates-split'!E11&lt;0.1,"*",""))))</f>
        <v>-0.067</v>
      </c>
      <c r="C21" s="8" t="str">
        <f aca="false">TEXT('Estimates-split'!F11,"0.000")&amp;IF('Estimates-split'!I11="","",IF('Estimates-split'!I11&lt;0.01,"***",IF('Estimates-split'!I11&lt;0.05,"**",IF('Estimates-split'!I11&lt;0.1,"*",""))))</f>
        <v>-0.005</v>
      </c>
      <c r="D21" s="8" t="str">
        <f aca="false">TEXT('Estimates-split'!J11,"0.000")&amp;IF('Estimates-split'!M11="","",IF('Estimates-split'!M11&lt;0.01,"***",IF('Estimates-split'!M11&lt;0.05,"**",IF('Estimates-split'!M11&lt;0.1,"*",""))))</f>
        <v>-0.082</v>
      </c>
    </row>
    <row r="22" customFormat="false" ht="15" hidden="false" customHeight="false" outlineLevel="0" collapsed="false">
      <c r="B22" s="8" t="str">
        <f aca="false">IF('Estimates-split'!D11="","(n/a)","("&amp;TEXT('Estimates-split'!D11,"0.00")&amp;")")</f>
        <v>(-0.53)</v>
      </c>
      <c r="C22" s="8" t="str">
        <f aca="false">IF('Estimates-split'!H11="","(n/a)","("&amp;TEXT('Estimates-split'!H11,"0.00")&amp;")")</f>
        <v>(-0.09)</v>
      </c>
      <c r="D22" s="8" t="str">
        <f aca="false">IF('Estimates-split'!L11="","(n/a)","("&amp;TEXT('Estimates-split'!L11,"0.00")&amp;")")</f>
        <v>(-0.87)</v>
      </c>
    </row>
    <row r="23" customFormat="false" ht="15" hidden="false" customHeight="false" outlineLevel="0" collapsed="false">
      <c r="A23" s="7" t="s">
        <v>15</v>
      </c>
      <c r="B23" s="8" t="str">
        <f aca="false">TEXT('Estimates-split'!B12,"0.000")&amp;IF('Estimates-split'!E12="","",IF('Estimates-split'!E12&lt;0.01,"***",IF('Estimates-split'!E12&lt;0.05,"**",IF('Estimates-split'!E12&lt;0.1,"*",""))))</f>
        <v>-0.061</v>
      </c>
      <c r="C23" s="8" t="str">
        <f aca="false">TEXT('Estimates-split'!F12,"0.000")&amp;IF('Estimates-split'!I12="","",IF('Estimates-split'!I12&lt;0.01,"***",IF('Estimates-split'!I12&lt;0.05,"**",IF('Estimates-split'!I12&lt;0.1,"*",""))))</f>
        <v>0.011</v>
      </c>
      <c r="D23" s="8" t="str">
        <f aca="false">TEXT('Estimates-split'!J12,"0.000")&amp;IF('Estimates-split'!M12="","",IF('Estimates-split'!M12&lt;0.01,"***",IF('Estimates-split'!M12&lt;0.05,"**",IF('Estimates-split'!M12&lt;0.1,"*",""))))</f>
        <v>0.013</v>
      </c>
    </row>
    <row r="24" customFormat="false" ht="15" hidden="false" customHeight="false" outlineLevel="0" collapsed="false">
      <c r="B24" s="8" t="str">
        <f aca="false">IF('Estimates-split'!D12="","(n/a)","("&amp;TEXT('Estimates-split'!D12,"0.00")&amp;")")</f>
        <v>(-0.45)</v>
      </c>
      <c r="C24" s="8" t="str">
        <f aca="false">IF('Estimates-split'!H12="","(n/a)","("&amp;TEXT('Estimates-split'!H12,"0.00")&amp;")")</f>
        <v>(0.17)</v>
      </c>
      <c r="D24" s="8" t="str">
        <f aca="false">IF('Estimates-split'!L12="","(n/a)","("&amp;TEXT('Estimates-split'!L12,"0.00")&amp;")")</f>
        <v>(0.14)</v>
      </c>
    </row>
    <row r="25" customFormat="false" ht="15" hidden="false" customHeight="false" outlineLevel="0" collapsed="false">
      <c r="A25" s="7" t="s">
        <v>16</v>
      </c>
      <c r="B25" s="8" t="str">
        <f aca="false">TEXT('Estimates-split'!B13,"0.000")&amp;IF('Estimates-split'!E13="","",IF('Estimates-split'!E13&lt;0.01,"***",IF('Estimates-split'!E13&lt;0.05,"**",IF('Estimates-split'!E13&lt;0.1,"*",""))))</f>
        <v>-0.117</v>
      </c>
      <c r="C25" s="8" t="str">
        <f aca="false">TEXT('Estimates-split'!F13,"0.000")&amp;IF('Estimates-split'!I13="","",IF('Estimates-split'!I13&lt;0.01,"***",IF('Estimates-split'!I13&lt;0.05,"**",IF('Estimates-split'!I13&lt;0.1,"*",""))))</f>
        <v>-0.053</v>
      </c>
      <c r="D25" s="8" t="str">
        <f aca="false">TEXT('Estimates-split'!J13,"0.000")&amp;IF('Estimates-split'!M13="","",IF('Estimates-split'!M13&lt;0.01,"***",IF('Estimates-split'!M13&lt;0.05,"**",IF('Estimates-split'!M13&lt;0.1,"*",""))))</f>
        <v>-0.087</v>
      </c>
    </row>
    <row r="26" customFormat="false" ht="15" hidden="false" customHeight="false" outlineLevel="0" collapsed="false">
      <c r="B26" s="8" t="str">
        <f aca="false">IF('Estimates-split'!D13="","(n/a)","("&amp;TEXT('Estimates-split'!D13,"0.00")&amp;")")</f>
        <v>(-0.93)</v>
      </c>
      <c r="C26" s="8" t="str">
        <f aca="false">IF('Estimates-split'!H13="","(n/a)","("&amp;TEXT('Estimates-split'!H13,"0.00")&amp;")")</f>
        <v>(-0.87)</v>
      </c>
      <c r="D26" s="8" t="str">
        <f aca="false">IF('Estimates-split'!L13="","(n/a)","("&amp;TEXT('Estimates-split'!L13,"0.00")&amp;")")</f>
        <v>(-1.17)</v>
      </c>
    </row>
    <row r="27" customFormat="false" ht="15" hidden="false" customHeight="false" outlineLevel="0" collapsed="false">
      <c r="A27" s="7" t="s">
        <v>17</v>
      </c>
      <c r="B27" s="8" t="str">
        <f aca="false">TEXT('Estimates-split'!B14,"0.000")&amp;IF('Estimates-split'!E14="","",IF('Estimates-split'!E14&lt;0.01,"***",IF('Estimates-split'!E14&lt;0.05,"**",IF('Estimates-split'!E14&lt;0.1,"*",""))))</f>
        <v>-0.094</v>
      </c>
      <c r="C27" s="8" t="str">
        <f aca="false">TEXT('Estimates-split'!F14,"0.000")&amp;IF('Estimates-split'!I14="","",IF('Estimates-split'!I14&lt;0.01,"***",IF('Estimates-split'!I14&lt;0.05,"**",IF('Estimates-split'!I14&lt;0.1,"*",""))))</f>
        <v>-0.032</v>
      </c>
      <c r="D27" s="8" t="str">
        <f aca="false">TEXT('Estimates-split'!J14,"0.000")&amp;IF('Estimates-split'!M14="","",IF('Estimates-split'!M14&lt;0.01,"***",IF('Estimates-split'!M14&lt;0.05,"**",IF('Estimates-split'!M14&lt;0.1,"*",""))))</f>
        <v>-0.081</v>
      </c>
    </row>
    <row r="28" customFormat="false" ht="15" hidden="false" customHeight="false" outlineLevel="0" collapsed="false">
      <c r="B28" s="8" t="str">
        <f aca="false">IF('Estimates-split'!D14="","(n/a)","("&amp;TEXT('Estimates-split'!D14,"0.00")&amp;")")</f>
        <v>(-0.72)</v>
      </c>
      <c r="C28" s="8" t="str">
        <f aca="false">IF('Estimates-split'!H14="","(n/a)","("&amp;TEXT('Estimates-split'!H14,"0.00")&amp;")")</f>
        <v>(-0.55)</v>
      </c>
      <c r="D28" s="8" t="str">
        <f aca="false">IF('Estimates-split'!L14="","(n/a)","("&amp;TEXT('Estimates-split'!L14,"0.00")&amp;")")</f>
        <v>(-0.90)</v>
      </c>
    </row>
    <row r="29" customFormat="false" ht="15" hidden="false" customHeight="false" outlineLevel="0" collapsed="false">
      <c r="A29" s="7" t="s">
        <v>18</v>
      </c>
      <c r="B29" s="8" t="str">
        <f aca="false">TEXT('Estimates-split'!B15,"0.000")&amp;IF('Estimates-split'!E15="","",IF('Estimates-split'!E15&lt;0.01,"***",IF('Estimates-split'!E15&lt;0.05,"**",IF('Estimates-split'!E15&lt;0.1,"*",""))))</f>
        <v>-0.134</v>
      </c>
      <c r="C29" s="8" t="str">
        <f aca="false">TEXT('Estimates-split'!F15,"0.000")&amp;IF('Estimates-split'!I15="","",IF('Estimates-split'!I15&lt;0.01,"***",IF('Estimates-split'!I15&lt;0.05,"**",IF('Estimates-split'!I15&lt;0.1,"*",""))))</f>
        <v>-0.065</v>
      </c>
      <c r="D29" s="8" t="str">
        <f aca="false">TEXT('Estimates-split'!J15,"0.000")&amp;IF('Estimates-split'!M15="","",IF('Estimates-split'!M15&lt;0.01,"***",IF('Estimates-split'!M15&lt;0.05,"**",IF('Estimates-split'!M15&lt;0.1,"*",""))))</f>
        <v>-0.135</v>
      </c>
    </row>
    <row r="30" customFormat="false" ht="15" hidden="false" customHeight="false" outlineLevel="0" collapsed="false">
      <c r="B30" s="8" t="str">
        <f aca="false">IF('Estimates-split'!D15="","(n/a)","("&amp;TEXT('Estimates-split'!D15,"0.00")&amp;")")</f>
        <v>(-1.02)</v>
      </c>
      <c r="C30" s="8" t="str">
        <f aca="false">IF('Estimates-split'!H15="","(n/a)","("&amp;TEXT('Estimates-split'!H15,"0.00")&amp;")")</f>
        <v>(-1.14)</v>
      </c>
      <c r="D30" s="8" t="str">
        <f aca="false">IF('Estimates-split'!L15="","(n/a)","("&amp;TEXT('Estimates-split'!L15,"0.00")&amp;")")</f>
        <v>(-1.34)</v>
      </c>
    </row>
    <row r="31" customFormat="false" ht="15" hidden="false" customHeight="false" outlineLevel="0" collapsed="false">
      <c r="A31" s="7" t="s">
        <v>19</v>
      </c>
      <c r="B31" s="8" t="str">
        <f aca="false">TEXT('Estimates-split'!B16,"0.000")&amp;IF('Estimates-split'!E16="","",IF('Estimates-split'!E16&lt;0.01,"***",IF('Estimates-split'!E16&lt;0.05,"**",IF('Estimates-split'!E16&lt;0.1,"*",""))))</f>
        <v>-0.094</v>
      </c>
      <c r="C31" s="8" t="str">
        <f aca="false">TEXT('Estimates-split'!F16,"0.000")&amp;IF('Estimates-split'!I16="","",IF('Estimates-split'!I16&lt;0.01,"***",IF('Estimates-split'!I16&lt;0.05,"**",IF('Estimates-split'!I16&lt;0.1,"*",""))))</f>
        <v>-0.039</v>
      </c>
      <c r="D31" s="8" t="str">
        <f aca="false">TEXT('Estimates-split'!J16,"0.000")&amp;IF('Estimates-split'!M16="","",IF('Estimates-split'!M16&lt;0.01,"***",IF('Estimates-split'!M16&lt;0.05,"**",IF('Estimates-split'!M16&lt;0.1,"*",""))))</f>
        <v>-0.056</v>
      </c>
    </row>
    <row r="32" customFormat="false" ht="15" hidden="false" customHeight="false" outlineLevel="0" collapsed="false">
      <c r="B32" s="8" t="str">
        <f aca="false">IF('Estimates-split'!D16="","(n/a)","("&amp;TEXT('Estimates-split'!D16,"0.00")&amp;")")</f>
        <v>(-0.67)</v>
      </c>
      <c r="C32" s="8" t="str">
        <f aca="false">IF('Estimates-split'!H16="","(n/a)","("&amp;TEXT('Estimates-split'!H16,"0.00")&amp;")")</f>
        <v>(-0.52)</v>
      </c>
      <c r="D32" s="8" t="str">
        <f aca="false">IF('Estimates-split'!L16="","(n/a)","("&amp;TEXT('Estimates-split'!L16,"0.00")&amp;")")</f>
        <v>(-0.47)</v>
      </c>
    </row>
    <row r="33" customFormat="false" ht="15" hidden="false" customHeight="false" outlineLevel="0" collapsed="false">
      <c r="A33" s="7" t="s">
        <v>20</v>
      </c>
      <c r="B33" s="8" t="str">
        <f aca="false">TEXT('Estimates-split'!B17,"0.000")&amp;IF('Estimates-split'!E17="","",IF('Estimates-split'!E17&lt;0.01,"***",IF('Estimates-split'!E17&lt;0.05,"**",IF('Estimates-split'!E17&lt;0.1,"*",""))))</f>
        <v>0.065</v>
      </c>
      <c r="C33" s="8" t="str">
        <f aca="false">TEXT('Estimates-split'!F17,"0.000")&amp;IF('Estimates-split'!I17="","",IF('Estimates-split'!I17&lt;0.01,"***",IF('Estimates-split'!I17&lt;0.05,"**",IF('Estimates-split'!I17&lt;0.1,"*",""))))</f>
        <v>0.089</v>
      </c>
    </row>
    <row r="34" customFormat="false" ht="15" hidden="false" customHeight="false" outlineLevel="0" collapsed="false">
      <c r="B34" s="8" t="str">
        <f aca="false">IF('Estimates-split'!D17="","(n/a)","("&amp;TEXT('Estimates-split'!D17,"0.00")&amp;")")</f>
        <v>(0.46)</v>
      </c>
      <c r="C34" s="8" t="str">
        <f aca="false">IF('Estimates-split'!H17="","(n/a)","("&amp;TEXT('Estimates-split'!H17,"0.00")&amp;")")</f>
        <v>(0.58)</v>
      </c>
    </row>
    <row r="35" customFormat="false" ht="15" hidden="false" customHeight="false" outlineLevel="0" collapsed="false">
      <c r="A35" s="7" t="s">
        <v>21</v>
      </c>
      <c r="C35" s="8" t="str">
        <f aca="false">TEXT('Estimates-split'!F18,"0.000")&amp;IF('Estimates-split'!I18="","",IF('Estimates-split'!I18&lt;0.01,"***",IF('Estimates-split'!I18&lt;0.05,"**",IF('Estimates-split'!I18&lt;0.1,"*",""))))</f>
        <v>-0.270</v>
      </c>
      <c r="D35" s="8" t="str">
        <f aca="false">TEXT('Estimates-split'!J18,"0.000")&amp;IF('Estimates-split'!M18="","",IF('Estimates-split'!M18&lt;0.01,"***",IF('Estimates-split'!M18&lt;0.05,"**",IF('Estimates-split'!M18&lt;0.1,"*",""))))</f>
        <v>0.793</v>
      </c>
    </row>
    <row r="36" customFormat="false" ht="15" hidden="false" customHeight="false" outlineLevel="0" collapsed="false">
      <c r="C36" s="8" t="str">
        <f aca="false">IF('Estimates-split'!H18="","(n/a)","("&amp;TEXT('Estimates-split'!H18,"0.00")&amp;")")</f>
        <v>(-0.50)</v>
      </c>
      <c r="D36" s="8" t="str">
        <f aca="false">IF('Estimates-split'!L18="","(n/a)","("&amp;TEXT('Estimates-split'!L18,"0.00")&amp;")")</f>
        <v>(0.96)</v>
      </c>
    </row>
    <row r="37" customFormat="false" ht="15" hidden="false" customHeight="false" outlineLevel="0" collapsed="false">
      <c r="A37" s="7" t="s">
        <v>22</v>
      </c>
      <c r="C37" s="8" t="str">
        <f aca="false">TEXT('Estimates-split'!F19,"0.000")&amp;IF('Estimates-split'!I19="","",IF('Estimates-split'!I19&lt;0.01,"***",IF('Estimates-split'!I19&lt;0.05,"**",IF('Estimates-split'!I19&lt;0.1,"*",""))))</f>
        <v>0.066</v>
      </c>
      <c r="D37" s="8" t="str">
        <f aca="false">TEXT('Estimates-split'!J19,"0.000")&amp;IF('Estimates-split'!M19="","",IF('Estimates-split'!M19&lt;0.01,"***",IF('Estimates-split'!M19&lt;0.05,"**",IF('Estimates-split'!M19&lt;0.1,"*",""))))</f>
        <v>0.008</v>
      </c>
    </row>
    <row r="38" customFormat="false" ht="15" hidden="false" customHeight="false" outlineLevel="0" collapsed="false">
      <c r="C38" s="8" t="str">
        <f aca="false">IF('Estimates-split'!H19="","(n/a)","("&amp;TEXT('Estimates-split'!H19,"0.00")&amp;")")</f>
        <v>(0.79)</v>
      </c>
      <c r="D38" s="8" t="str">
        <f aca="false">IF('Estimates-split'!L19="","(n/a)","("&amp;TEXT('Estimates-split'!L19,"0.00")&amp;")")</f>
        <v>(0.06)</v>
      </c>
    </row>
    <row r="39" customFormat="false" ht="15" hidden="false" customHeight="false" outlineLevel="0" collapsed="false">
      <c r="A39" s="7" t="s">
        <v>23</v>
      </c>
      <c r="C39" s="8" t="str">
        <f aca="false">TEXT('Estimates-split'!F20,"0.000")&amp;IF('Estimates-split'!I20="","",IF('Estimates-split'!I20&lt;0.01,"***",IF('Estimates-split'!I20&lt;0.05,"**",IF('Estimates-split'!I20&lt;0.1,"*",""))))</f>
        <v>0.062</v>
      </c>
      <c r="D39" s="8" t="str">
        <f aca="false">TEXT('Estimates-split'!J20,"0.000")&amp;IF('Estimates-split'!M20="","",IF('Estimates-split'!M20&lt;0.01,"***",IF('Estimates-split'!M20&lt;0.05,"**",IF('Estimates-split'!M20&lt;0.1,"*",""))))</f>
        <v>0.009</v>
      </c>
    </row>
    <row r="40" customFormat="false" ht="15" hidden="false" customHeight="false" outlineLevel="0" collapsed="false">
      <c r="C40" s="8" t="str">
        <f aca="false">IF('Estimates-split'!H20="","(n/a)","("&amp;TEXT('Estimates-split'!H20,"0.00")&amp;")")</f>
        <v>(0.56)</v>
      </c>
      <c r="D40" s="8" t="str">
        <f aca="false">IF('Estimates-split'!L20="","(n/a)","("&amp;TEXT('Estimates-split'!L20,"0.00")&amp;")")</f>
        <v>(0.04)</v>
      </c>
    </row>
    <row r="41" customFormat="false" ht="15" hidden="false" customHeight="false" outlineLevel="0" collapsed="false">
      <c r="A41" s="7" t="s">
        <v>24</v>
      </c>
      <c r="C41" s="8" t="str">
        <f aca="false">TEXT('Estimates-split'!F21,"0.000")&amp;IF('Estimates-split'!I21="","",IF('Estimates-split'!I21&lt;0.01,"***",IF('Estimates-split'!I21&lt;0.05,"**",IF('Estimates-split'!I21&lt;0.1,"*",""))))</f>
        <v>-0.183</v>
      </c>
      <c r="D41" s="8" t="str">
        <f aca="false">TEXT('Estimates-split'!J21,"0.000")&amp;IF('Estimates-split'!M21="","",IF('Estimates-split'!M21&lt;0.01,"***",IF('Estimates-split'!M21&lt;0.05,"**",IF('Estimates-split'!M21&lt;0.1,"*",""))))</f>
        <v>0.287</v>
      </c>
    </row>
    <row r="42" customFormat="false" ht="15" hidden="false" customHeight="false" outlineLevel="0" collapsed="false">
      <c r="C42" s="8" t="str">
        <f aca="false">IF('Estimates-split'!H21="","(n/a)","("&amp;TEXT('Estimates-split'!H21,"0.00")&amp;")")</f>
        <v>(-1.31)</v>
      </c>
      <c r="D42" s="8" t="str">
        <f aca="false">IF('Estimates-split'!L21="","(n/a)","("&amp;TEXT('Estimates-split'!L21,"0.00")&amp;")")</f>
        <v>(1.11)</v>
      </c>
    </row>
    <row r="43" customFormat="false" ht="15" hidden="false" customHeight="false" outlineLevel="0" collapsed="false">
      <c r="A43" s="7" t="s">
        <v>25</v>
      </c>
      <c r="C43" s="8" t="str">
        <f aca="false">TEXT('Estimates-split'!F22,"0.000")&amp;IF('Estimates-split'!I22="","",IF('Estimates-split'!I22&lt;0.01,"***",IF('Estimates-split'!I22&lt;0.05,"**",IF('Estimates-split'!I22&lt;0.1,"*",""))))</f>
        <v>0.281**</v>
      </c>
      <c r="D43" s="8" t="str">
        <f aca="false">TEXT('Estimates-split'!J22,"0.000")&amp;IF('Estimates-split'!M22="","",IF('Estimates-split'!M22&lt;0.01,"***",IF('Estimates-split'!M22&lt;0.05,"**",IF('Estimates-split'!M22&lt;0.1,"*",""))))</f>
        <v>0.258</v>
      </c>
    </row>
    <row r="44" customFormat="false" ht="15" hidden="false" customHeight="false" outlineLevel="0" collapsed="false">
      <c r="C44" s="8" t="str">
        <f aca="false">IF('Estimates-split'!H22="","(n/a)","("&amp;TEXT('Estimates-split'!H22,"0.00")&amp;")")</f>
        <v>(2.31)</v>
      </c>
      <c r="D44" s="8" t="str">
        <f aca="false">IF('Estimates-split'!L22="","(n/a)","("&amp;TEXT('Estimates-split'!L22,"0.00")&amp;")")</f>
        <v>(0.28)</v>
      </c>
    </row>
    <row r="45" customFormat="false" ht="15" hidden="false" customHeight="false" outlineLevel="0" collapsed="false">
      <c r="A45" s="7" t="s">
        <v>26</v>
      </c>
      <c r="C45" s="8" t="str">
        <f aca="false">TEXT('Estimates-split'!F23,"0.000")&amp;IF('Estimates-split'!I23="","",IF('Estimates-split'!I23&lt;0.01,"***",IF('Estimates-split'!I23&lt;0.05,"**",IF('Estimates-split'!I23&lt;0.1,"*",""))))</f>
        <v>-0.162</v>
      </c>
      <c r="D45" s="8" t="str">
        <f aca="false">TEXT('Estimates-split'!J23,"0.000")&amp;IF('Estimates-split'!M23="","",IF('Estimates-split'!M23&lt;0.01,"***",IF('Estimates-split'!M23&lt;0.05,"**",IF('Estimates-split'!M23&lt;0.1,"*",""))))</f>
        <v>0.140</v>
      </c>
    </row>
    <row r="46" customFormat="false" ht="15" hidden="false" customHeight="false" outlineLevel="0" collapsed="false">
      <c r="C46" s="8" t="str">
        <f aca="false">IF('Estimates-split'!H23="","(n/a)","("&amp;TEXT('Estimates-split'!H23,"0.00")&amp;")")</f>
        <v>(-0.57)</v>
      </c>
      <c r="D46" s="8" t="str">
        <f aca="false">IF('Estimates-split'!L23="","(n/a)","("&amp;TEXT('Estimates-split'!L23,"0.00")&amp;")")</f>
        <v>(0.10)</v>
      </c>
    </row>
    <row r="48" customFormat="false" ht="15" hidden="false" customHeight="false" outlineLevel="0" collapsed="false">
      <c r="A48" s="7" t="s">
        <v>27</v>
      </c>
      <c r="B48" s="9" t="n">
        <f aca="false">'Estimates-split'!B26</f>
        <v>1723</v>
      </c>
      <c r="C48" s="9" t="n">
        <f aca="false">'Estimates-split'!F26</f>
        <v>1478</v>
      </c>
      <c r="D48" s="9" t="n">
        <f aca="false">'Estimates-split'!J26</f>
        <v>1477</v>
      </c>
    </row>
    <row r="49" customFormat="false" ht="15" hidden="false" customHeight="false" outlineLevel="0" collapsed="false">
      <c r="A49" s="7" t="s">
        <v>28</v>
      </c>
      <c r="B49" s="10" t="n">
        <f aca="false">'Estimates-split'!B29</f>
        <v>0.0582207133665683</v>
      </c>
      <c r="C49" s="10" t="n">
        <f aca="false">'Estimates-split'!F29</f>
        <v>0.0695212787954275</v>
      </c>
      <c r="D49" s="10" t="n">
        <f aca="false">'Estimates-split'!J29</f>
        <v>0.0886447221475494</v>
      </c>
    </row>
    <row r="50" customFormat="false" ht="15" hidden="false" customHeight="false" outlineLevel="0" collapsed="false">
      <c r="A50" s="7" t="s">
        <v>29</v>
      </c>
      <c r="B50" s="11" t="s">
        <v>30</v>
      </c>
      <c r="C50" s="11" t="s">
        <v>30</v>
      </c>
      <c r="D50" s="11" t="s">
        <v>31</v>
      </c>
    </row>
    <row r="51" customFormat="false" ht="15" hidden="false" customHeight="false" outlineLevel="0" collapsed="false">
      <c r="A51" s="7" t="s">
        <v>32</v>
      </c>
      <c r="B51" s="11" t="s">
        <v>31</v>
      </c>
      <c r="C51" s="11" t="s">
        <v>31</v>
      </c>
      <c r="D51" s="11" t="s">
        <v>31</v>
      </c>
    </row>
    <row r="52" customFormat="false" ht="15" hidden="false" customHeight="false" outlineLevel="0" collapsed="false">
      <c r="A52" s="12" t="s">
        <v>33</v>
      </c>
      <c r="B52" s="13" t="n">
        <f aca="false">'Estimates-split'!E24</f>
        <v>0.602504581393224</v>
      </c>
      <c r="C52" s="13" t="n">
        <f aca="false">'Estimates-split'!I24</f>
        <v>0.846523768890903</v>
      </c>
      <c r="D52" s="13" t="n">
        <f aca="false">'Estimates-split'!M24</f>
        <v>0.401112572209475</v>
      </c>
    </row>
    <row r="54" customFormat="false" ht="15" hidden="false" customHeight="false" outlineLevel="0" collapsed="false">
      <c r="A54" s="1" t="s">
        <v>34</v>
      </c>
    </row>
    <row r="55" customFormat="false" ht="15" hidden="false" customHeight="false" outlineLevel="0" collapsed="false">
      <c r="A55" s="3"/>
      <c r="B55" s="4" t="s">
        <v>3</v>
      </c>
      <c r="C55" s="4" t="s">
        <v>4</v>
      </c>
      <c r="D55" s="4" t="s">
        <v>5</v>
      </c>
    </row>
    <row r="56" customFormat="false" ht="15" hidden="false" customHeight="false" outlineLevel="0" collapsed="false">
      <c r="A56" s="5"/>
      <c r="B56" s="6" t="s">
        <v>35</v>
      </c>
      <c r="C56" s="6" t="s">
        <v>35</v>
      </c>
      <c r="D56" s="6" t="s">
        <v>35</v>
      </c>
    </row>
    <row r="57" customFormat="false" ht="15" hidden="false" customHeight="false" outlineLevel="0" collapsed="false">
      <c r="A57" s="7" t="s">
        <v>7</v>
      </c>
      <c r="B57" s="8" t="str">
        <f aca="false">TEXT('Estimates-split'!N4,"0.000")&amp;IF('Estimates-split'!Q4="","",IF('Estimates-split'!Q4&lt;0.01,"***",IF('Estimates-split'!Q4&lt;0.05,"**",IF('Estimates-split'!Q4&lt;0.1,"*",""))))</f>
        <v>-0.526**</v>
      </c>
      <c r="C57" s="8" t="str">
        <f aca="false">TEXT('Estimates-split'!R4,"0.000")&amp;IF('Estimates-split'!U4="","",IF('Estimates-split'!U4&lt;0.01,"***",IF('Estimates-split'!U4&lt;0.05,"**",IF('Estimates-split'!U4&lt;0.1,"*",""))))</f>
        <v>-0.575***</v>
      </c>
      <c r="D57" s="8" t="str">
        <f aca="false">TEXT('Estimates-split'!V4,"0.000")&amp;IF('Estimates-split'!Y4="","",IF('Estimates-split'!Y4&lt;0.01,"***",IF('Estimates-split'!Y4&lt;0.05,"**",IF('Estimates-split'!Y4&lt;0.1,"*",""))))</f>
        <v>-0.646**</v>
      </c>
    </row>
    <row r="58" customFormat="false" ht="15" hidden="false" customHeight="false" outlineLevel="0" collapsed="false">
      <c r="B58" s="8" t="str">
        <f aca="false">IF('Estimates-split'!P4="","(n/a)","("&amp;TEXT('Estimates-split'!P4,"0.00")&amp;")")</f>
        <v>(-2.37)</v>
      </c>
      <c r="C58" s="8" t="str">
        <f aca="false">IF('Estimates-split'!T4="","(n/a)","("&amp;TEXT('Estimates-split'!T4,"0.00")&amp;")")</f>
        <v>(-3.29)</v>
      </c>
      <c r="D58" s="8" t="str">
        <f aca="false">IF('Estimates-split'!X4="","(n/a)","("&amp;TEXT('Estimates-split'!X4,"0.00")&amp;")")</f>
        <v>(-2.70)</v>
      </c>
    </row>
    <row r="59" customFormat="false" ht="15" hidden="false" customHeight="false" outlineLevel="0" collapsed="false">
      <c r="A59" s="7" t="s">
        <v>8</v>
      </c>
      <c r="B59" s="8" t="str">
        <f aca="false">TEXT('Estimates-split'!N5,"0.000")&amp;IF('Estimates-split'!Q5="","",IF('Estimates-split'!Q5&lt;0.01,"***",IF('Estimates-split'!Q5&lt;0.05,"**",IF('Estimates-split'!Q5&lt;0.1,"*",""))))</f>
        <v>-0.338*</v>
      </c>
      <c r="C59" s="8" t="str">
        <f aca="false">TEXT('Estimates-split'!R5,"0.000")&amp;IF('Estimates-split'!U5="","",IF('Estimates-split'!U5&lt;0.01,"***",IF('Estimates-split'!U5&lt;0.05,"**",IF('Estimates-split'!U5&lt;0.1,"*",""))))</f>
        <v>-0.388**</v>
      </c>
      <c r="D59" s="8" t="str">
        <f aca="false">TEXT('Estimates-split'!V5,"0.000")&amp;IF('Estimates-split'!Y5="","",IF('Estimates-split'!Y5&lt;0.01,"***",IF('Estimates-split'!Y5&lt;0.05,"**",IF('Estimates-split'!Y5&lt;0.1,"*",""))))</f>
        <v>-0.219</v>
      </c>
    </row>
    <row r="60" customFormat="false" ht="15" hidden="false" customHeight="false" outlineLevel="0" collapsed="false">
      <c r="B60" s="8" t="str">
        <f aca="false">IF('Estimates-split'!P5="","(n/a)","("&amp;TEXT('Estimates-split'!P5,"0.00")&amp;")")</f>
        <v>(-1.88)</v>
      </c>
      <c r="C60" s="8" t="str">
        <f aca="false">IF('Estimates-split'!T5="","(n/a)","("&amp;TEXT('Estimates-split'!T5,"0.00")&amp;")")</f>
        <v>(-2.37)</v>
      </c>
      <c r="D60" s="8" t="str">
        <f aca="false">IF('Estimates-split'!X5="","(n/a)","("&amp;TEXT('Estimates-split'!X5,"0.00")&amp;")")</f>
        <v>(-1.01)</v>
      </c>
    </row>
    <row r="61" customFormat="false" ht="15" hidden="false" customHeight="false" outlineLevel="0" collapsed="false">
      <c r="A61" s="7" t="s">
        <v>9</v>
      </c>
      <c r="B61" s="8" t="str">
        <f aca="false">TEXT('Estimates-split'!N6,"0.000")&amp;IF('Estimates-split'!Q6="","",IF('Estimates-split'!Q6&lt;0.01,"***",IF('Estimates-split'!Q6&lt;0.05,"**",IF('Estimates-split'!Q6&lt;0.1,"*",""))))</f>
        <v>0.066</v>
      </c>
      <c r="C61" s="8" t="str">
        <f aca="false">TEXT('Estimates-split'!R6,"0.000")&amp;IF('Estimates-split'!U6="","",IF('Estimates-split'!U6&lt;0.01,"***",IF('Estimates-split'!U6&lt;0.05,"**",IF('Estimates-split'!U6&lt;0.1,"*",""))))</f>
        <v>0.036</v>
      </c>
      <c r="D61" s="8" t="str">
        <f aca="false">TEXT('Estimates-split'!V6,"0.000")&amp;IF('Estimates-split'!Y6="","",IF('Estimates-split'!Y6&lt;0.01,"***",IF('Estimates-split'!Y6&lt;0.05,"**",IF('Estimates-split'!Y6&lt;0.1,"*",""))))</f>
        <v>0.020</v>
      </c>
    </row>
    <row r="62" customFormat="false" ht="15" hidden="false" customHeight="false" outlineLevel="0" collapsed="false">
      <c r="B62" s="8" t="str">
        <f aca="false">IF('Estimates-split'!P6="","(n/a)","("&amp;TEXT('Estimates-split'!P6,"0.00")&amp;")")</f>
        <v>(0.95)</v>
      </c>
      <c r="C62" s="8" t="str">
        <f aca="false">IF('Estimates-split'!T6="","(n/a)","("&amp;TEXT('Estimates-split'!T6,"0.00")&amp;")")</f>
        <v>(0.52)</v>
      </c>
      <c r="D62" s="8" t="str">
        <f aca="false">IF('Estimates-split'!X6="","(n/a)","("&amp;TEXT('Estimates-split'!X6,"0.00")&amp;")")</f>
        <v>(0.32)</v>
      </c>
    </row>
    <row r="63" customFormat="false" ht="15" hidden="false" customHeight="false" outlineLevel="0" collapsed="false">
      <c r="A63" s="7" t="s">
        <v>10</v>
      </c>
      <c r="B63" s="8" t="str">
        <f aca="false">TEXT('Estimates-split'!N7,"0.000")&amp;IF('Estimates-split'!Q7="","",IF('Estimates-split'!Q7&lt;0.01,"***",IF('Estimates-split'!Q7&lt;0.05,"**",IF('Estimates-split'!Q7&lt;0.1,"*",""))))</f>
        <v>-0.051</v>
      </c>
      <c r="C63" s="8" t="str">
        <f aca="false">TEXT('Estimates-split'!R7,"0.000")&amp;IF('Estimates-split'!U7="","",IF('Estimates-split'!U7&lt;0.01,"***",IF('Estimates-split'!U7&lt;0.05,"**",IF('Estimates-split'!U7&lt;0.1,"*",""))))</f>
        <v>-0.004</v>
      </c>
      <c r="D63" s="8" t="str">
        <f aca="false">TEXT('Estimates-split'!V7,"0.000")&amp;IF('Estimates-split'!Y7="","",IF('Estimates-split'!Y7&lt;0.01,"***",IF('Estimates-split'!Y7&lt;0.05,"**",IF('Estimates-split'!Y7&lt;0.1,"*",""))))</f>
        <v>-0.002</v>
      </c>
    </row>
    <row r="64" customFormat="false" ht="15" hidden="false" customHeight="false" outlineLevel="0" collapsed="false">
      <c r="B64" s="8" t="str">
        <f aca="false">IF('Estimates-split'!P7="","(n/a)","("&amp;TEXT('Estimates-split'!P7,"0.00")&amp;")")</f>
        <v>(-1.30)</v>
      </c>
      <c r="C64" s="8" t="str">
        <f aca="false">IF('Estimates-split'!T7="","(n/a)","("&amp;TEXT('Estimates-split'!T7,"0.00")&amp;")")</f>
        <v>(-0.08)</v>
      </c>
      <c r="D64" s="8" t="str">
        <f aca="false">IF('Estimates-split'!X7="","(n/a)","("&amp;TEXT('Estimates-split'!X7,"0.00")&amp;")")</f>
        <v>(0.00)</v>
      </c>
    </row>
    <row r="65" customFormat="false" ht="15" hidden="false" customHeight="false" outlineLevel="0" collapsed="false">
      <c r="A65" s="7" t="s">
        <v>11</v>
      </c>
      <c r="B65" s="8" t="str">
        <f aca="false">TEXT('Estimates-split'!N8,"0.000")&amp;IF('Estimates-split'!Q8="","",IF('Estimates-split'!Q8&lt;0.01,"***",IF('Estimates-split'!Q8&lt;0.05,"**",IF('Estimates-split'!Q8&lt;0.1,"*",""))))</f>
        <v>0.005</v>
      </c>
      <c r="C65" s="8" t="str">
        <f aca="false">TEXT('Estimates-split'!R8,"0.000")&amp;IF('Estimates-split'!U8="","",IF('Estimates-split'!U8&lt;0.01,"***",IF('Estimates-split'!U8&lt;0.05,"**",IF('Estimates-split'!U8&lt;0.1,"*",""))))</f>
        <v>0.005</v>
      </c>
      <c r="D65" s="8" t="str">
        <f aca="false">TEXT('Estimates-split'!V8,"0.000")&amp;IF('Estimates-split'!Y8="","",IF('Estimates-split'!Y8&lt;0.01,"***",IF('Estimates-split'!Y8&lt;0.05,"**",IF('Estimates-split'!Y8&lt;0.1,"*",""))))</f>
        <v>-0.017</v>
      </c>
    </row>
    <row r="66" customFormat="false" ht="15" hidden="false" customHeight="false" outlineLevel="0" collapsed="false">
      <c r="B66" s="8" t="str">
        <f aca="false">IF('Estimates-split'!P8="","(n/a)","("&amp;TEXT('Estimates-split'!P8,"0.00")&amp;")")</f>
        <v>(1.13)</v>
      </c>
      <c r="C66" s="8" t="str">
        <f aca="false">IF('Estimates-split'!T8="","(n/a)","("&amp;TEXT('Estimates-split'!T8,"0.00")&amp;")")</f>
        <v>(0.90)</v>
      </c>
      <c r="D66" s="8" t="str">
        <f aca="false">IF('Estimates-split'!X8="","(n/a)","("&amp;TEXT('Estimates-split'!X8,"0.00")&amp;")")</f>
        <v>(-1.59)</v>
      </c>
    </row>
    <row r="67" customFormat="false" ht="15" hidden="false" customHeight="false" outlineLevel="0" collapsed="false">
      <c r="A67" s="7" t="s">
        <v>12</v>
      </c>
      <c r="B67" s="8" t="str">
        <f aca="false">TEXT('Estimates-split'!N9,"0.000")&amp;IF('Estimates-split'!Q9="","",IF('Estimates-split'!Q9&lt;0.01,"***",IF('Estimates-split'!Q9&lt;0.05,"**",IF('Estimates-split'!Q9&lt;0.1,"*",""))))</f>
        <v>-0.162</v>
      </c>
      <c r="C67" s="8" t="str">
        <f aca="false">TEXT('Estimates-split'!R9,"0.000")&amp;IF('Estimates-split'!U9="","",IF('Estimates-split'!U9&lt;0.01,"***",IF('Estimates-split'!U9&lt;0.05,"**",IF('Estimates-split'!U9&lt;0.1,"*",""))))</f>
        <v>-0.010</v>
      </c>
      <c r="D67" s="8" t="str">
        <f aca="false">TEXT('Estimates-split'!V9,"0.000")&amp;IF('Estimates-split'!Y9="","",IF('Estimates-split'!Y9&lt;0.01,"***",IF('Estimates-split'!Y9&lt;0.05,"**",IF('Estimates-split'!Y9&lt;0.1,"*",""))))</f>
        <v>0.021</v>
      </c>
    </row>
    <row r="68" customFormat="false" ht="15" hidden="false" customHeight="false" outlineLevel="0" collapsed="false">
      <c r="B68" s="8" t="str">
        <f aca="false">IF('Estimates-split'!P9="","(n/a)","("&amp;TEXT('Estimates-split'!P9,"0.00")&amp;")")</f>
        <v>(-1.23)</v>
      </c>
      <c r="C68" s="8" t="str">
        <f aca="false">IF('Estimates-split'!T9="","(n/a)","("&amp;TEXT('Estimates-split'!T9,"0.00")&amp;")")</f>
        <v>(-0.09)</v>
      </c>
      <c r="D68" s="8" t="str">
        <f aca="false">IF('Estimates-split'!X9="","(n/a)","("&amp;TEXT('Estimates-split'!X9,"0.00")&amp;")")</f>
        <v>(0.12)</v>
      </c>
    </row>
    <row r="69" customFormat="false" ht="15" hidden="false" customHeight="false" outlineLevel="0" collapsed="false">
      <c r="A69" s="7" t="s">
        <v>13</v>
      </c>
      <c r="B69" s="8" t="str">
        <f aca="false">TEXT('Estimates-split'!N10,"0.000")&amp;IF('Estimates-split'!Q10="","",IF('Estimates-split'!Q10&lt;0.01,"***",IF('Estimates-split'!Q10&lt;0.05,"**",IF('Estimates-split'!Q10&lt;0.1,"*",""))))</f>
        <v>-0.154</v>
      </c>
      <c r="C69" s="8" t="str">
        <f aca="false">TEXT('Estimates-split'!R10,"0.000")&amp;IF('Estimates-split'!U10="","",IF('Estimates-split'!U10&lt;0.01,"***",IF('Estimates-split'!U10&lt;0.05,"**",IF('Estimates-split'!U10&lt;0.1,"*",""))))</f>
        <v>-0.012</v>
      </c>
      <c r="D69" s="8" t="str">
        <f aca="false">TEXT('Estimates-split'!V10,"0.000")&amp;IF('Estimates-split'!Y10="","",IF('Estimates-split'!Y10&lt;0.01,"***",IF('Estimates-split'!Y10&lt;0.05,"**",IF('Estimates-split'!Y10&lt;0.1,"*",""))))</f>
        <v>0.010</v>
      </c>
    </row>
    <row r="70" customFormat="false" ht="15" hidden="false" customHeight="false" outlineLevel="0" collapsed="false">
      <c r="B70" s="8" t="str">
        <f aca="false">IF('Estimates-split'!P10="","(n/a)","("&amp;TEXT('Estimates-split'!P10,"0.00")&amp;")")</f>
        <v>(-1.19)</v>
      </c>
      <c r="C70" s="8" t="str">
        <f aca="false">IF('Estimates-split'!T10="","(n/a)","("&amp;TEXT('Estimates-split'!T10,"0.00")&amp;")")</f>
        <v>(-0.10)</v>
      </c>
      <c r="D70" s="8" t="str">
        <f aca="false">IF('Estimates-split'!X10="","(n/a)","("&amp;TEXT('Estimates-split'!X10,"0.00")&amp;")")</f>
        <v>(0.06)</v>
      </c>
    </row>
    <row r="71" customFormat="false" ht="15" hidden="false" customHeight="false" outlineLevel="0" collapsed="false">
      <c r="A71" s="7" t="s">
        <v>14</v>
      </c>
      <c r="B71" s="8" t="str">
        <f aca="false">TEXT('Estimates-split'!N11,"0.000")&amp;IF('Estimates-split'!Q11="","",IF('Estimates-split'!Q11&lt;0.01,"***",IF('Estimates-split'!Q11&lt;0.05,"**",IF('Estimates-split'!Q11&lt;0.1,"*",""))))</f>
        <v>-0.192</v>
      </c>
      <c r="C71" s="8" t="str">
        <f aca="false">TEXT('Estimates-split'!R11,"0.000")&amp;IF('Estimates-split'!U11="","",IF('Estimates-split'!U11&lt;0.01,"***",IF('Estimates-split'!U11&lt;0.05,"**",IF('Estimates-split'!U11&lt;0.1,"*",""))))</f>
        <v>-0.031</v>
      </c>
      <c r="D71" s="8" t="str">
        <f aca="false">TEXT('Estimates-split'!V11,"0.000")&amp;IF('Estimates-split'!Y11="","",IF('Estimates-split'!Y11&lt;0.01,"***",IF('Estimates-split'!Y11&lt;0.05,"**",IF('Estimates-split'!Y11&lt;0.1,"*",""))))</f>
        <v>-0.042</v>
      </c>
    </row>
    <row r="72" customFormat="false" ht="15" hidden="false" customHeight="false" outlineLevel="0" collapsed="false">
      <c r="B72" s="8" t="str">
        <f aca="false">IF('Estimates-split'!P11="","(n/a)","("&amp;TEXT('Estimates-split'!P11,"0.00")&amp;")")</f>
        <v>(-1.63)</v>
      </c>
      <c r="C72" s="8" t="str">
        <f aca="false">IF('Estimates-split'!T11="","(n/a)","("&amp;TEXT('Estimates-split'!T11,"0.00")&amp;")")</f>
        <v>(-0.30)</v>
      </c>
      <c r="D72" s="8" t="str">
        <f aca="false">IF('Estimates-split'!X11="","(n/a)","("&amp;TEXT('Estimates-split'!X11,"0.00")&amp;")")</f>
        <v>(-0.26)</v>
      </c>
    </row>
    <row r="73" customFormat="false" ht="15" hidden="false" customHeight="false" outlineLevel="0" collapsed="false">
      <c r="A73" s="7" t="s">
        <v>15</v>
      </c>
      <c r="B73" s="8" t="str">
        <f aca="false">TEXT('Estimates-split'!N12,"0.000")&amp;IF('Estimates-split'!Q12="","",IF('Estimates-split'!Q12&lt;0.01,"***",IF('Estimates-split'!Q12&lt;0.05,"**",IF('Estimates-split'!Q12&lt;0.1,"*",""))))</f>
        <v>-0.150</v>
      </c>
      <c r="C73" s="8" t="str">
        <f aca="false">TEXT('Estimates-split'!R12,"0.000")&amp;IF('Estimates-split'!U12="","",IF('Estimates-split'!U12&lt;0.01,"***",IF('Estimates-split'!U12&lt;0.05,"**",IF('Estimates-split'!U12&lt;0.1,"*",""))))</f>
        <v>0.006</v>
      </c>
      <c r="D73" s="8" t="str">
        <f aca="false">TEXT('Estimates-split'!V12,"0.000")&amp;IF('Estimates-split'!Y12="","",IF('Estimates-split'!Y12&lt;0.01,"***",IF('Estimates-split'!Y12&lt;0.05,"**",IF('Estimates-split'!Y12&lt;0.1,"*",""))))</f>
        <v>0.029</v>
      </c>
    </row>
    <row r="74" customFormat="false" ht="15" hidden="false" customHeight="false" outlineLevel="0" collapsed="false">
      <c r="B74" s="8" t="str">
        <f aca="false">IF('Estimates-split'!P12="","(n/a)","("&amp;TEXT('Estimates-split'!P12,"0.00")&amp;")")</f>
        <v>(-1.16)</v>
      </c>
      <c r="C74" s="8" t="str">
        <f aca="false">IF('Estimates-split'!T12="","(n/a)","("&amp;TEXT('Estimates-split'!T12,"0.00")&amp;")")</f>
        <v>(0.05)</v>
      </c>
      <c r="D74" s="8" t="str">
        <f aca="false">IF('Estimates-split'!X12="","(n/a)","("&amp;TEXT('Estimates-split'!X12,"0.00")&amp;")")</f>
        <v>(0.17)</v>
      </c>
    </row>
    <row r="75" customFormat="false" ht="15" hidden="false" customHeight="false" outlineLevel="0" collapsed="false">
      <c r="A75" s="7" t="s">
        <v>16</v>
      </c>
      <c r="B75" s="8" t="str">
        <f aca="false">TEXT('Estimates-split'!N13,"0.000")&amp;IF('Estimates-split'!Q13="","",IF('Estimates-split'!Q13&lt;0.01,"***",IF('Estimates-split'!Q13&lt;0.05,"**",IF('Estimates-split'!Q13&lt;0.1,"*",""))))</f>
        <v>-0.150</v>
      </c>
      <c r="C75" s="8" t="str">
        <f aca="false">TEXT('Estimates-split'!R13,"0.000")&amp;IF('Estimates-split'!U13="","",IF('Estimates-split'!U13&lt;0.01,"***",IF('Estimates-split'!U13&lt;0.05,"**",IF('Estimates-split'!U13&lt;0.1,"*",""))))</f>
        <v>-0.001</v>
      </c>
      <c r="D75" s="8" t="str">
        <f aca="false">TEXT('Estimates-split'!V13,"0.000")&amp;IF('Estimates-split'!Y13="","",IF('Estimates-split'!Y13&lt;0.01,"***",IF('Estimates-split'!Y13&lt;0.05,"**",IF('Estimates-split'!Y13&lt;0.1,"*",""))))</f>
        <v>0.013</v>
      </c>
    </row>
    <row r="76" customFormat="false" ht="15" hidden="false" customHeight="false" outlineLevel="0" collapsed="false">
      <c r="B76" s="8" t="str">
        <f aca="false">IF('Estimates-split'!P13="","(n/a)","("&amp;TEXT('Estimates-split'!P13,"0.00")&amp;")")</f>
        <v>(-1.19)</v>
      </c>
      <c r="C76" s="8" t="str">
        <f aca="false">IF('Estimates-split'!T13="","(n/a)","("&amp;TEXT('Estimates-split'!T13,"0.00")&amp;")")</f>
        <v>(-0.01)</v>
      </c>
      <c r="D76" s="8" t="str">
        <f aca="false">IF('Estimates-split'!X13="","(n/a)","("&amp;TEXT('Estimates-split'!X13,"0.00")&amp;")")</f>
        <v>(0.08)</v>
      </c>
    </row>
    <row r="77" customFormat="false" ht="15" hidden="false" customHeight="false" outlineLevel="0" collapsed="false">
      <c r="A77" s="7" t="s">
        <v>17</v>
      </c>
      <c r="B77" s="8" t="str">
        <f aca="false">TEXT('Estimates-split'!N14,"0.000")&amp;IF('Estimates-split'!Q14="","",IF('Estimates-split'!Q14&lt;0.01,"***",IF('Estimates-split'!Q14&lt;0.05,"**",IF('Estimates-split'!Q14&lt;0.1,"*",""))))</f>
        <v>-0.178</v>
      </c>
      <c r="C77" s="8" t="str">
        <f aca="false">TEXT('Estimates-split'!R14,"0.000")&amp;IF('Estimates-split'!U14="","",IF('Estimates-split'!U14&lt;0.01,"***",IF('Estimates-split'!U14&lt;0.05,"**",IF('Estimates-split'!U14&lt;0.1,"*",""))))</f>
        <v>-0.017</v>
      </c>
      <c r="D77" s="8" t="str">
        <f aca="false">TEXT('Estimates-split'!V14,"0.000")&amp;IF('Estimates-split'!Y14="","",IF('Estimates-split'!Y14&lt;0.01,"***",IF('Estimates-split'!Y14&lt;0.05,"**",IF('Estimates-split'!Y14&lt;0.1,"*",""))))</f>
        <v>0.025</v>
      </c>
    </row>
    <row r="78" customFormat="false" ht="15" hidden="false" customHeight="false" outlineLevel="0" collapsed="false">
      <c r="B78" s="8" t="str">
        <f aca="false">IF('Estimates-split'!P14="","(n/a)","("&amp;TEXT('Estimates-split'!P14,"0.00")&amp;")")</f>
        <v>(-1.46)</v>
      </c>
      <c r="C78" s="8" t="str">
        <f aca="false">IF('Estimates-split'!T14="","(n/a)","("&amp;TEXT('Estimates-split'!T14,"0.00")&amp;")")</f>
        <v>(-0.15)</v>
      </c>
      <c r="D78" s="8" t="str">
        <f aca="false">IF('Estimates-split'!X14="","(n/a)","("&amp;TEXT('Estimates-split'!X14,"0.00")&amp;")")</f>
        <v>(0.14)</v>
      </c>
    </row>
    <row r="79" customFormat="false" ht="15" hidden="false" customHeight="false" outlineLevel="0" collapsed="false">
      <c r="A79" s="7" t="s">
        <v>18</v>
      </c>
      <c r="B79" s="8" t="str">
        <f aca="false">TEXT('Estimates-split'!N15,"0.000")&amp;IF('Estimates-split'!Q15="","",IF('Estimates-split'!Q15&lt;0.01,"***",IF('Estimates-split'!Q15&lt;0.05,"**",IF('Estimates-split'!Q15&lt;0.1,"*",""))))</f>
        <v>-0.194</v>
      </c>
      <c r="C79" s="8" t="str">
        <f aca="false">TEXT('Estimates-split'!R15,"0.000")&amp;IF('Estimates-split'!U15="","",IF('Estimates-split'!U15&lt;0.01,"***",IF('Estimates-split'!U15&lt;0.05,"**",IF('Estimates-split'!U15&lt;0.1,"*",""))))</f>
        <v>-0.029</v>
      </c>
      <c r="D79" s="8" t="str">
        <f aca="false">TEXT('Estimates-split'!V15,"0.000")&amp;IF('Estimates-split'!Y15="","",IF('Estimates-split'!Y15&lt;0.01,"***",IF('Estimates-split'!Y15&lt;0.05,"**",IF('Estimates-split'!Y15&lt;0.1,"*",""))))</f>
        <v>-0.010</v>
      </c>
    </row>
    <row r="80" customFormat="false" ht="15" hidden="false" customHeight="false" outlineLevel="0" collapsed="false">
      <c r="B80" s="8" t="str">
        <f aca="false">IF('Estimates-split'!P15="","(n/a)","("&amp;TEXT('Estimates-split'!P15,"0.00")&amp;")")</f>
        <v>(-1.46)</v>
      </c>
      <c r="C80" s="8" t="str">
        <f aca="false">IF('Estimates-split'!T15="","(n/a)","("&amp;TEXT('Estimates-split'!T15,"0.00")&amp;")")</f>
        <v>(-0.25)</v>
      </c>
      <c r="D80" s="8" t="str">
        <f aca="false">IF('Estimates-split'!X15="","(n/a)","("&amp;TEXT('Estimates-split'!X15,"0.00")&amp;")")</f>
        <v>(-0.06)</v>
      </c>
    </row>
    <row r="81" customFormat="false" ht="15" hidden="false" customHeight="false" outlineLevel="0" collapsed="false">
      <c r="A81" s="7" t="s">
        <v>19</v>
      </c>
      <c r="B81" s="8" t="str">
        <f aca="false">TEXT('Estimates-split'!N16,"0.000")&amp;IF('Estimates-split'!Q16="","",IF('Estimates-split'!Q16&lt;0.01,"***",IF('Estimates-split'!Q16&lt;0.05,"**",IF('Estimates-split'!Q16&lt;0.1,"*",""))))</f>
        <v>-0.125</v>
      </c>
      <c r="C81" s="8" t="str">
        <f aca="false">TEXT('Estimates-split'!R16,"0.000")&amp;IF('Estimates-split'!U16="","",IF('Estimates-split'!U16&lt;0.01,"***",IF('Estimates-split'!U16&lt;0.05,"**",IF('Estimates-split'!U16&lt;0.1,"*",""))))</f>
        <v>0.010</v>
      </c>
      <c r="D81" s="8" t="str">
        <f aca="false">TEXT('Estimates-split'!V16,"0.000")&amp;IF('Estimates-split'!Y16="","",IF('Estimates-split'!Y16&lt;0.01,"***",IF('Estimates-split'!Y16&lt;0.05,"**",IF('Estimates-split'!Y16&lt;0.1,"*",""))))</f>
        <v>0.040</v>
      </c>
    </row>
    <row r="82" customFormat="false" ht="15" hidden="false" customHeight="false" outlineLevel="0" collapsed="false">
      <c r="B82" s="8" t="str">
        <f aca="false">IF('Estimates-split'!P16="","(n/a)","("&amp;TEXT('Estimates-split'!P16,"0.00")&amp;")")</f>
        <v>(-0.89)</v>
      </c>
      <c r="C82" s="8" t="str">
        <f aca="false">IF('Estimates-split'!T16="","(n/a)","("&amp;TEXT('Estimates-split'!T16,"0.00")&amp;")")</f>
        <v>(0.08)</v>
      </c>
      <c r="D82" s="8" t="str">
        <f aca="false">IF('Estimates-split'!X16="","(n/a)","("&amp;TEXT('Estimates-split'!X16,"0.00")&amp;")")</f>
        <v>(0.22)</v>
      </c>
    </row>
    <row r="83" customFormat="false" ht="15" hidden="false" customHeight="false" outlineLevel="0" collapsed="false">
      <c r="A83" s="7" t="s">
        <v>20</v>
      </c>
      <c r="B83" s="8" t="str">
        <f aca="false">TEXT('Estimates-split'!N17,"0.000")&amp;IF('Estimates-split'!Q17="","",IF('Estimates-split'!Q17&lt;0.01,"***",IF('Estimates-split'!Q17&lt;0.05,"**",IF('Estimates-split'!Q17&lt;0.1,"*",""))))</f>
        <v>-0.171</v>
      </c>
      <c r="C83" s="8" t="str">
        <f aca="false">TEXT('Estimates-split'!R17,"0.000")&amp;IF('Estimates-split'!U17="","",IF('Estimates-split'!U17&lt;0.01,"***",IF('Estimates-split'!U17&lt;0.05,"**",IF('Estimates-split'!U17&lt;0.1,"*",""))))</f>
        <v>-0.179*</v>
      </c>
    </row>
    <row r="84" customFormat="false" ht="15" hidden="false" customHeight="false" outlineLevel="0" collapsed="false">
      <c r="B84" s="8" t="str">
        <f aca="false">IF('Estimates-split'!P17="","(n/a)","("&amp;TEXT('Estimates-split'!P17,"0.00")&amp;")")</f>
        <v>(-1.63)</v>
      </c>
      <c r="C84" s="8" t="str">
        <f aca="false">IF('Estimates-split'!T17="","(n/a)","("&amp;TEXT('Estimates-split'!T17,"0.00")&amp;")")</f>
        <v>(-1.96)</v>
      </c>
    </row>
    <row r="85" customFormat="false" ht="15" hidden="false" customHeight="false" outlineLevel="0" collapsed="false">
      <c r="A85" s="7" t="s">
        <v>21</v>
      </c>
      <c r="C85" s="8" t="str">
        <f aca="false">TEXT('Estimates-split'!R18,"0.000")&amp;IF('Estimates-split'!U18="","",IF('Estimates-split'!U18&lt;0.01,"***",IF('Estimates-split'!U18&lt;0.05,"**",IF('Estimates-split'!U18&lt;0.1,"*",""))))</f>
        <v>-1.160**</v>
      </c>
      <c r="D85" s="8" t="str">
        <f aca="false">TEXT('Estimates-split'!V18,"0.000")&amp;IF('Estimates-split'!Y18="","",IF('Estimates-split'!Y18&lt;0.01,"***",IF('Estimates-split'!Y18&lt;0.05,"**",IF('Estimates-split'!Y18&lt;0.1,"*",""))))</f>
        <v>0.036</v>
      </c>
    </row>
    <row r="86" customFormat="false" ht="15" hidden="false" customHeight="false" outlineLevel="0" collapsed="false">
      <c r="C86" s="8" t="str">
        <f aca="false">IF('Estimates-split'!T18="","(n/a)","("&amp;TEXT('Estimates-split'!T18,"0.00")&amp;")")</f>
        <v>(-2.31)</v>
      </c>
      <c r="D86" s="8" t="str">
        <f aca="false">IF('Estimates-split'!X18="","(n/a)","("&amp;TEXT('Estimates-split'!X18,"0.00")&amp;")")</f>
        <v>(0.04)</v>
      </c>
    </row>
    <row r="87" customFormat="false" ht="15" hidden="false" customHeight="false" outlineLevel="0" collapsed="false">
      <c r="A87" s="7" t="s">
        <v>22</v>
      </c>
      <c r="C87" s="8" t="str">
        <f aca="false">TEXT('Estimates-split'!R19,"0.000")&amp;IF('Estimates-split'!U19="","",IF('Estimates-split'!U19&lt;0.01,"***",IF('Estimates-split'!U19&lt;0.05,"**",IF('Estimates-split'!U19&lt;0.1,"*",""))))</f>
        <v>-0.010</v>
      </c>
      <c r="D87" s="8" t="str">
        <f aca="false">TEXT('Estimates-split'!V19,"0.000")&amp;IF('Estimates-split'!Y19="","",IF('Estimates-split'!Y19&lt;0.01,"***",IF('Estimates-split'!Y19&lt;0.05,"**",IF('Estimates-split'!Y19&lt;0.1,"*",""))))</f>
        <v>-0.203</v>
      </c>
    </row>
    <row r="88" customFormat="false" ht="15" hidden="false" customHeight="false" outlineLevel="0" collapsed="false">
      <c r="C88" s="8" t="str">
        <f aca="false">IF('Estimates-split'!T19="","(n/a)","("&amp;TEXT('Estimates-split'!T19,"0.00")&amp;")")</f>
        <v>(-0.09)</v>
      </c>
      <c r="D88" s="8" t="str">
        <f aca="false">IF('Estimates-split'!X19="","(n/a)","("&amp;TEXT('Estimates-split'!X19,"0.00")&amp;")")</f>
        <v>(-1.47)</v>
      </c>
    </row>
    <row r="89" customFormat="false" ht="15" hidden="false" customHeight="false" outlineLevel="0" collapsed="false">
      <c r="A89" s="7" t="s">
        <v>23</v>
      </c>
      <c r="C89" s="8" t="str">
        <f aca="false">TEXT('Estimates-split'!R20,"0.000")&amp;IF('Estimates-split'!U20="","",IF('Estimates-split'!U20&lt;0.01,"***",IF('Estimates-split'!U20&lt;0.05,"**",IF('Estimates-split'!U20&lt;0.1,"*",""))))</f>
        <v>0.079</v>
      </c>
      <c r="D89" s="8" t="str">
        <f aca="false">TEXT('Estimates-split'!V20,"0.000")&amp;IF('Estimates-split'!Y20="","",IF('Estimates-split'!Y20&lt;0.01,"***",IF('Estimates-split'!Y20&lt;0.05,"**",IF('Estimates-split'!Y20&lt;0.1,"*",""))))</f>
        <v>0.061</v>
      </c>
    </row>
    <row r="90" customFormat="false" ht="15" hidden="false" customHeight="false" outlineLevel="0" collapsed="false">
      <c r="C90" s="8" t="str">
        <f aca="false">IF('Estimates-split'!T20="","(n/a)","("&amp;TEXT('Estimates-split'!T20,"0.00")&amp;")")</f>
        <v>(0.54)</v>
      </c>
      <c r="D90" s="8" t="str">
        <f aca="false">IF('Estimates-split'!X20="","(n/a)","("&amp;TEXT('Estimates-split'!X20,"0.00")&amp;")")</f>
        <v>(0.29)</v>
      </c>
    </row>
    <row r="91" customFormat="false" ht="15" hidden="false" customHeight="false" outlineLevel="0" collapsed="false">
      <c r="A91" s="7" t="s">
        <v>24</v>
      </c>
      <c r="C91" s="8" t="str">
        <f aca="false">TEXT('Estimates-split'!R21,"0.000")&amp;IF('Estimates-split'!U21="","",IF('Estimates-split'!U21&lt;0.01,"***",IF('Estimates-split'!U21&lt;0.05,"**",IF('Estimates-split'!U21&lt;0.1,"*",""))))</f>
        <v>-0.176</v>
      </c>
      <c r="D91" s="8" t="str">
        <f aca="false">TEXT('Estimates-split'!V21,"0.000")&amp;IF('Estimates-split'!Y21="","",IF('Estimates-split'!Y21&lt;0.01,"***",IF('Estimates-split'!Y21&lt;0.05,"**",IF('Estimates-split'!Y21&lt;0.1,"*",""))))</f>
        <v>0.022</v>
      </c>
    </row>
    <row r="92" customFormat="false" ht="15" hidden="false" customHeight="false" outlineLevel="0" collapsed="false">
      <c r="C92" s="8" t="str">
        <f aca="false">IF('Estimates-split'!T21="","(n/a)","("&amp;TEXT('Estimates-split'!T21,"0.00")&amp;")")</f>
        <v>(-1.01)</v>
      </c>
      <c r="D92" s="8" t="str">
        <f aca="false">IF('Estimates-split'!X21="","(n/a)","("&amp;TEXT('Estimates-split'!X21,"0.00")&amp;")")</f>
        <v>(0.11)</v>
      </c>
    </row>
    <row r="93" customFormat="false" ht="15" hidden="false" customHeight="false" outlineLevel="0" collapsed="false">
      <c r="A93" s="7" t="s">
        <v>25</v>
      </c>
      <c r="C93" s="8" t="str">
        <f aca="false">TEXT('Estimates-split'!R22,"0.000")&amp;IF('Estimates-split'!U22="","",IF('Estimates-split'!U22&lt;0.01,"***",IF('Estimates-split'!U22&lt;0.05,"**",IF('Estimates-split'!U22&lt;0.1,"*",""))))</f>
        <v>0.284</v>
      </c>
      <c r="D93" s="8" t="str">
        <f aca="false">TEXT('Estimates-split'!V22,"0.000")&amp;IF('Estimates-split'!Y22="","",IF('Estimates-split'!Y22&lt;0.01,"***",IF('Estimates-split'!Y22&lt;0.05,"**",IF('Estimates-split'!Y22&lt;0.1,"*",""))))</f>
        <v>0.768</v>
      </c>
    </row>
    <row r="94" customFormat="false" ht="15" hidden="false" customHeight="false" outlineLevel="0" collapsed="false">
      <c r="C94" s="8" t="str">
        <f aca="false">IF('Estimates-split'!T22="","(n/a)","("&amp;TEXT('Estimates-split'!T22,"0.00")&amp;")")</f>
        <v>(1.64)</v>
      </c>
      <c r="D94" s="8" t="str">
        <f aca="false">IF('Estimates-split'!X22="","(n/a)","("&amp;TEXT('Estimates-split'!X22,"0.00")&amp;")")</f>
        <v>(1.31)</v>
      </c>
    </row>
    <row r="95" customFormat="false" ht="15" hidden="false" customHeight="false" outlineLevel="0" collapsed="false">
      <c r="A95" s="7" t="s">
        <v>26</v>
      </c>
      <c r="C95" s="8" t="str">
        <f aca="false">TEXT('Estimates-split'!R23,"0.000")&amp;IF('Estimates-split'!U23="","",IF('Estimates-split'!U23&lt;0.01,"***",IF('Estimates-split'!U23&lt;0.05,"**",IF('Estimates-split'!U23&lt;0.1,"*",""))))</f>
        <v>-0.064</v>
      </c>
      <c r="D95" s="8" t="str">
        <f aca="false">TEXT('Estimates-split'!V23,"0.000")&amp;IF('Estimates-split'!Y23="","",IF('Estimates-split'!Y23&lt;0.01,"***",IF('Estimates-split'!Y23&lt;0.05,"**",IF('Estimates-split'!Y23&lt;0.1,"*",""))))</f>
        <v>-0.228</v>
      </c>
    </row>
    <row r="96" customFormat="false" ht="15" hidden="false" customHeight="false" outlineLevel="0" collapsed="false">
      <c r="C96" s="8" t="str">
        <f aca="false">IF('Estimates-split'!T23="","(n/a)","("&amp;TEXT('Estimates-split'!T23,"0.00")&amp;")")</f>
        <v>(-0.29)</v>
      </c>
      <c r="D96" s="8" t="str">
        <f aca="false">IF('Estimates-split'!X23="","(n/a)","("&amp;TEXT('Estimates-split'!X23,"0.00")&amp;")")</f>
        <v>(-0.16)</v>
      </c>
    </row>
    <row r="98" customFormat="false" ht="15" hidden="false" customHeight="false" outlineLevel="0" collapsed="false">
      <c r="A98" s="7" t="s">
        <v>27</v>
      </c>
      <c r="B98" s="9" t="n">
        <f aca="false">'Estimates-split'!N26</f>
        <v>1532</v>
      </c>
      <c r="C98" s="9" t="n">
        <f aca="false">'Estimates-split'!R26</f>
        <v>1313</v>
      </c>
      <c r="D98" s="9" t="n">
        <f aca="false">'Estimates-split'!V26</f>
        <v>1312</v>
      </c>
    </row>
    <row r="99" customFormat="false" ht="15" hidden="false" customHeight="false" outlineLevel="0" collapsed="false">
      <c r="A99" s="7" t="s">
        <v>28</v>
      </c>
      <c r="B99" s="10" t="n">
        <f aca="false">'Estimates-split'!N29</f>
        <v>0.151539532879013</v>
      </c>
      <c r="C99" s="10" t="n">
        <f aca="false">'Estimates-split'!R29</f>
        <v>0.167793351571681</v>
      </c>
      <c r="D99" s="10" t="n">
        <f aca="false">'Estimates-split'!V29</f>
        <v>0.163011116809502</v>
      </c>
    </row>
    <row r="100" customFormat="false" ht="15" hidden="false" customHeight="false" outlineLevel="0" collapsed="false">
      <c r="A100" s="7" t="s">
        <v>29</v>
      </c>
      <c r="B100" s="11" t="s">
        <v>30</v>
      </c>
      <c r="C100" s="11" t="s">
        <v>30</v>
      </c>
      <c r="D100" s="11" t="s">
        <v>31</v>
      </c>
    </row>
    <row r="101" customFormat="false" ht="15" hidden="false" customHeight="false" outlineLevel="0" collapsed="false">
      <c r="A101" s="7" t="s">
        <v>32</v>
      </c>
      <c r="B101" s="11" t="s">
        <v>31</v>
      </c>
      <c r="C101" s="11" t="s">
        <v>31</v>
      </c>
      <c r="D101" s="11" t="s">
        <v>31</v>
      </c>
    </row>
    <row r="102" customFormat="false" ht="15" hidden="false" customHeight="false" outlineLevel="0" collapsed="false">
      <c r="A102" s="12" t="s">
        <v>33</v>
      </c>
      <c r="B102" s="13" t="n">
        <f aca="false">'Estimates-split'!Q24</f>
        <v>0.460608875545186</v>
      </c>
      <c r="C102" s="13" t="n">
        <f aca="false">'Estimates-split'!U24</f>
        <v>0.38577750994583</v>
      </c>
      <c r="D102" s="13" t="n">
        <f aca="false">'Estimates-split'!Y24</f>
        <v>0.101825026641493</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5" min="2" style="0" width="16"/>
  </cols>
  <sheetData>
    <row r="1" customFormat="false" ht="15" hidden="false" customHeight="false" outlineLevel="0" collapsed="false">
      <c r="A1" s="1" t="s">
        <v>36</v>
      </c>
    </row>
    <row r="2" customFormat="false" ht="150" hidden="false" customHeight="true" outlineLevel="0" collapsed="false">
      <c r="A2" s="2" t="s">
        <v>37</v>
      </c>
      <c r="B2" s="2"/>
      <c r="C2" s="2"/>
      <c r="D2" s="2"/>
      <c r="E2" s="2"/>
    </row>
    <row r="4" customFormat="false" ht="15" hidden="false" customHeight="false" outlineLevel="0" collapsed="false">
      <c r="A4" s="3"/>
      <c r="B4" s="4" t="s">
        <v>3</v>
      </c>
      <c r="C4" s="4" t="s">
        <v>4</v>
      </c>
      <c r="D4" s="4" t="s">
        <v>5</v>
      </c>
    </row>
    <row r="5" customFormat="false" ht="15" hidden="false" customHeight="false" outlineLevel="0" collapsed="false">
      <c r="A5" s="5"/>
      <c r="B5" s="6" t="s">
        <v>38</v>
      </c>
      <c r="C5" s="6" t="s">
        <v>38</v>
      </c>
      <c r="D5" s="6" t="s">
        <v>38</v>
      </c>
    </row>
    <row r="6" customFormat="false" ht="15" hidden="false" customHeight="false" outlineLevel="0" collapsed="false">
      <c r="A6" s="7" t="s">
        <v>7</v>
      </c>
      <c r="B6" s="8" t="str">
        <f aca="false">TEXT('Estimates-split'!Z4,"0.000")&amp;IF('Estimates-split'!AC4="","",IF('Estimates-split'!AC4&lt;0.01,"***",IF('Estimates-split'!AC4&lt;0.05,"**",IF('Estimates-split'!AC4&lt;0.1,"*",""))))</f>
        <v>-0.065</v>
      </c>
      <c r="C6" s="8" t="str">
        <f aca="false">TEXT('Estimates-split'!AD4,"0.000")&amp;IF('Estimates-split'!AG4="","",IF('Estimates-split'!AG4&lt;0.01,"***",IF('Estimates-split'!AG4&lt;0.05,"**",IF('Estimates-split'!AG4&lt;0.1,"*",""))))</f>
        <v>-0.027</v>
      </c>
      <c r="D6" s="8" t="str">
        <f aca="false">TEXT('Estimates-split'!AH4,"0.000")&amp;IF('Estimates-split'!AK4="","",IF('Estimates-split'!AK4&lt;0.01,"***",IF('Estimates-split'!AK4&lt;0.05,"**",IF('Estimates-split'!AK4&lt;0.1,"*",""))))</f>
        <v>0.041</v>
      </c>
    </row>
    <row r="7" customFormat="false" ht="15" hidden="false" customHeight="false" outlineLevel="0" collapsed="false">
      <c r="B7" s="8" t="str">
        <f aca="false">IF('Estimates-split'!AB4="","(n/a)","("&amp;TEXT('Estimates-split'!AB4,"0.00")&amp;")")</f>
        <v>(-1.68)</v>
      </c>
      <c r="C7" s="8" t="str">
        <f aca="false">IF('Estimates-split'!AF4="","(n/a)","("&amp;TEXT('Estimates-split'!AF4,"0.00")&amp;")")</f>
        <v>(-0.52)</v>
      </c>
      <c r="D7" s="8" t="str">
        <f aca="false">IF('Estimates-split'!AJ4="","(n/a)","("&amp;TEXT('Estimates-split'!AJ4,"0.00")&amp;")")</f>
        <v>(0.69)</v>
      </c>
    </row>
    <row r="8" customFormat="false" ht="15" hidden="false" customHeight="false" outlineLevel="0" collapsed="false">
      <c r="A8" s="7" t="s">
        <v>8</v>
      </c>
      <c r="B8" s="8" t="str">
        <f aca="false">TEXT('Estimates-split'!Z5,"0.000")&amp;IF('Estimates-split'!AC5="","",IF('Estimates-split'!AC5&lt;0.01,"***",IF('Estimates-split'!AC5&lt;0.05,"**",IF('Estimates-split'!AC5&lt;0.1,"*",""))))</f>
        <v>-0.069</v>
      </c>
      <c r="C8" s="8" t="str">
        <f aca="false">TEXT('Estimates-split'!AD5,"0.000")&amp;IF('Estimates-split'!AG5="","",IF('Estimates-split'!AG5&lt;0.01,"***",IF('Estimates-split'!AG5&lt;0.05,"**",IF('Estimates-split'!AG5&lt;0.1,"*",""))))</f>
        <v>-0.042</v>
      </c>
      <c r="D8" s="8" t="str">
        <f aca="false">TEXT('Estimates-split'!AH5,"0.000")&amp;IF('Estimates-split'!AK5="","",IF('Estimates-split'!AK5&lt;0.01,"***",IF('Estimates-split'!AK5&lt;0.05,"**",IF('Estimates-split'!AK5&lt;0.1,"*",""))))</f>
        <v>0.031</v>
      </c>
    </row>
    <row r="9" customFormat="false" ht="15" hidden="false" customHeight="false" outlineLevel="0" collapsed="false">
      <c r="B9" s="8" t="str">
        <f aca="false">IF('Estimates-split'!AB5="","(n/a)","("&amp;TEXT('Estimates-split'!AB5,"0.00")&amp;")")</f>
        <v>(-1.61)</v>
      </c>
      <c r="C9" s="8" t="str">
        <f aca="false">IF('Estimates-split'!AF5="","(n/a)","("&amp;TEXT('Estimates-split'!AF5,"0.00")&amp;")")</f>
        <v>(-0.91)</v>
      </c>
      <c r="D9" s="8" t="str">
        <f aca="false">IF('Estimates-split'!AJ5="","(n/a)","("&amp;TEXT('Estimates-split'!AJ5,"0.00")&amp;")")</f>
        <v>(0.51)</v>
      </c>
    </row>
    <row r="10" customFormat="false" ht="15" hidden="false" customHeight="false" outlineLevel="0" collapsed="false">
      <c r="A10" s="7" t="s">
        <v>9</v>
      </c>
      <c r="B10" s="8" t="str">
        <f aca="false">TEXT('Estimates-split'!Z6,"0.000")&amp;IF('Estimates-split'!AC6="","",IF('Estimates-split'!AC6&lt;0.01,"***",IF('Estimates-split'!AC6&lt;0.05,"**",IF('Estimates-split'!AC6&lt;0.1,"*",""))))</f>
        <v>0.002</v>
      </c>
      <c r="C10" s="8" t="str">
        <f aca="false">TEXT('Estimates-split'!AD6,"0.000")&amp;IF('Estimates-split'!AG6="","",IF('Estimates-split'!AG6&lt;0.01,"***",IF('Estimates-split'!AG6&lt;0.05,"**",IF('Estimates-split'!AG6&lt;0.1,"*",""))))</f>
        <v>0.001</v>
      </c>
      <c r="D10" s="8" t="str">
        <f aca="false">TEXT('Estimates-split'!AH6,"0.000")&amp;IF('Estimates-split'!AK6="","",IF('Estimates-split'!AK6&lt;0.01,"***",IF('Estimates-split'!AK6&lt;0.05,"**",IF('Estimates-split'!AK6&lt;0.1,"*",""))))</f>
        <v>-0.003</v>
      </c>
    </row>
    <row r="11" customFormat="false" ht="15" hidden="false" customHeight="false" outlineLevel="0" collapsed="false">
      <c r="B11" s="8" t="str">
        <f aca="false">IF('Estimates-split'!AB6="","(n/a)","("&amp;TEXT('Estimates-split'!AB6,"0.00")&amp;")")</f>
        <v>(0.46)</v>
      </c>
      <c r="C11" s="8" t="str">
        <f aca="false">IF('Estimates-split'!AF6="","(n/a)","("&amp;TEXT('Estimates-split'!AF6,"0.00")&amp;")")</f>
        <v>(0.22)</v>
      </c>
      <c r="D11" s="8" t="str">
        <f aca="false">IF('Estimates-split'!AJ6="","(n/a)","("&amp;TEXT('Estimates-split'!AJ6,"0.00")&amp;")")</f>
        <v>(-0.82)</v>
      </c>
    </row>
    <row r="12" customFormat="false" ht="15" hidden="false" customHeight="false" outlineLevel="0" collapsed="false">
      <c r="A12" s="7" t="s">
        <v>10</v>
      </c>
      <c r="B12" s="8" t="str">
        <f aca="false">TEXT('Estimates-split'!Z7,"0.000")&amp;IF('Estimates-split'!AC7="","",IF('Estimates-split'!AC7&lt;0.01,"***",IF('Estimates-split'!AC7&lt;0.05,"**",IF('Estimates-split'!AC7&lt;0.1,"*",""))))</f>
        <v>-0.026*</v>
      </c>
      <c r="C12" s="8" t="str">
        <f aca="false">TEXT('Estimates-split'!AD7,"0.000")&amp;IF('Estimates-split'!AG7="","",IF('Estimates-split'!AG7&lt;0.01,"***",IF('Estimates-split'!AG7&lt;0.05,"**",IF('Estimates-split'!AG7&lt;0.1,"*",""))))</f>
        <v>-0.030*</v>
      </c>
      <c r="D12" s="8" t="str">
        <f aca="false">TEXT('Estimates-split'!AH7,"0.000")&amp;IF('Estimates-split'!AK7="","",IF('Estimates-split'!AK7&lt;0.01,"***",IF('Estimates-split'!AK7&lt;0.05,"**",IF('Estimates-split'!AK7&lt;0.1,"*",""))))</f>
        <v>0.025</v>
      </c>
    </row>
    <row r="13" customFormat="false" ht="15" hidden="false" customHeight="false" outlineLevel="0" collapsed="false">
      <c r="B13" s="8" t="str">
        <f aca="false">IF('Estimates-split'!AB7="","(n/a)","("&amp;TEXT('Estimates-split'!AB7,"0.00")&amp;")")</f>
        <v>(-1.78)</v>
      </c>
      <c r="C13" s="8" t="str">
        <f aca="false">IF('Estimates-split'!AF7="","(n/a)","("&amp;TEXT('Estimates-split'!AF7,"0.00")&amp;")")</f>
        <v>(-2.01)</v>
      </c>
      <c r="D13" s="8" t="str">
        <f aca="false">IF('Estimates-split'!AJ7="","(n/a)","("&amp;TEXT('Estimates-split'!AJ7,"0.00")&amp;")")</f>
        <v>(0.20)</v>
      </c>
    </row>
    <row r="14" customFormat="false" ht="15" hidden="false" customHeight="false" outlineLevel="0" collapsed="false">
      <c r="A14" s="7" t="s">
        <v>11</v>
      </c>
      <c r="B14" s="8" t="str">
        <f aca="false">TEXT('Estimates-split'!Z8,"0.000")&amp;IF('Estimates-split'!AC8="","",IF('Estimates-split'!AC8&lt;0.01,"***",IF('Estimates-split'!AC8&lt;0.05,"**",IF('Estimates-split'!AC8&lt;0.1,"*",""))))</f>
        <v>-0.001</v>
      </c>
      <c r="C14" s="8" t="str">
        <f aca="false">TEXT('Estimates-split'!AD8,"0.000")&amp;IF('Estimates-split'!AG8="","",IF('Estimates-split'!AG8&lt;0.01,"***",IF('Estimates-split'!AG8&lt;0.05,"**",IF('Estimates-split'!AG8&lt;0.1,"*",""))))</f>
        <v>-0.001</v>
      </c>
      <c r="D14" s="8" t="str">
        <f aca="false">TEXT('Estimates-split'!AH8,"0.000")&amp;IF('Estimates-split'!AK8="","",IF('Estimates-split'!AK8&lt;0.01,"***",IF('Estimates-split'!AK8&lt;0.05,"**",IF('Estimates-split'!AK8&lt;0.1,"*",""))))</f>
        <v>-0.002**</v>
      </c>
    </row>
    <row r="15" customFormat="false" ht="15" hidden="false" customHeight="false" outlineLevel="0" collapsed="false">
      <c r="B15" s="8" t="str">
        <f aca="false">IF('Estimates-split'!AB8="","(n/a)","("&amp;TEXT('Estimates-split'!AB8,"0.00")&amp;")")</f>
        <v>(-0.69)</v>
      </c>
      <c r="C15" s="8" t="str">
        <f aca="false">IF('Estimates-split'!AF8="","(n/a)","("&amp;TEXT('Estimates-split'!AF8,"0.00")&amp;")")</f>
        <v>(-1.36)</v>
      </c>
      <c r="D15" s="8" t="str">
        <f aca="false">IF('Estimates-split'!AJ8="","(n/a)","("&amp;TEXT('Estimates-split'!AJ8,"0.00")&amp;")")</f>
        <v>(-2.71)</v>
      </c>
    </row>
    <row r="16" customFormat="false" ht="15" hidden="false" customHeight="false" outlineLevel="0" collapsed="false">
      <c r="A16" s="7" t="s">
        <v>12</v>
      </c>
      <c r="B16" s="8" t="str">
        <f aca="false">TEXT('Estimates-split'!Z9,"0.000")&amp;IF('Estimates-split'!AC9="","",IF('Estimates-split'!AC9&lt;0.01,"***",IF('Estimates-split'!AC9&lt;0.05,"**",IF('Estimates-split'!AC9&lt;0.1,"*",""))))</f>
        <v>-0.036</v>
      </c>
      <c r="C16" s="8" t="str">
        <f aca="false">TEXT('Estimates-split'!AD9,"0.000")&amp;IF('Estimates-split'!AG9="","",IF('Estimates-split'!AG9&lt;0.01,"***",IF('Estimates-split'!AG9&lt;0.05,"**",IF('Estimates-split'!AG9&lt;0.1,"*",""))))</f>
        <v>-0.084</v>
      </c>
      <c r="D16" s="8" t="str">
        <f aca="false">TEXT('Estimates-split'!AH9,"0.000")&amp;IF('Estimates-split'!AK9="","",IF('Estimates-split'!AK9&lt;0.01,"***",IF('Estimates-split'!AK9&lt;0.05,"**",IF('Estimates-split'!AK9&lt;0.1,"*",""))))</f>
        <v>-0.080</v>
      </c>
    </row>
    <row r="17" customFormat="false" ht="15" hidden="false" customHeight="false" outlineLevel="0" collapsed="false">
      <c r="B17" s="8" t="str">
        <f aca="false">IF('Estimates-split'!AB9="","(n/a)","("&amp;TEXT('Estimates-split'!AB9,"0.00")&amp;")")</f>
        <v>(-1.06)</v>
      </c>
      <c r="C17" s="8" t="str">
        <f aca="false">IF('Estimates-split'!AF9="","(n/a)","("&amp;TEXT('Estimates-split'!AF9,"0.00")&amp;")")</f>
        <v>(-1.25)</v>
      </c>
      <c r="D17" s="8" t="str">
        <f aca="false">IF('Estimates-split'!AJ9="","(n/a)","("&amp;TEXT('Estimates-split'!AJ9,"0.00")&amp;")")</f>
        <v>(-1.55)</v>
      </c>
    </row>
    <row r="18" customFormat="false" ht="15" hidden="false" customHeight="false" outlineLevel="0" collapsed="false">
      <c r="A18" s="7" t="s">
        <v>13</v>
      </c>
      <c r="B18" s="8" t="str">
        <f aca="false">TEXT('Estimates-split'!Z10,"0.000")&amp;IF('Estimates-split'!AC10="","",IF('Estimates-split'!AC10&lt;0.01,"***",IF('Estimates-split'!AC10&lt;0.05,"**",IF('Estimates-split'!AC10&lt;0.1,"*",""))))</f>
        <v>-0.040</v>
      </c>
      <c r="C18" s="8" t="str">
        <f aca="false">TEXT('Estimates-split'!AD10,"0.000")&amp;IF('Estimates-split'!AG10="","",IF('Estimates-split'!AG10&lt;0.01,"***",IF('Estimates-split'!AG10&lt;0.05,"**",IF('Estimates-split'!AG10&lt;0.1,"*",""))))</f>
        <v>-0.088</v>
      </c>
      <c r="D18" s="8" t="str">
        <f aca="false">TEXT('Estimates-split'!AH10,"0.000")&amp;IF('Estimates-split'!AK10="","",IF('Estimates-split'!AK10&lt;0.01,"***",IF('Estimates-split'!AK10&lt;0.05,"**",IF('Estimates-split'!AK10&lt;0.1,"*",""))))</f>
        <v>-0.086</v>
      </c>
    </row>
    <row r="19" customFormat="false" ht="15" hidden="false" customHeight="false" outlineLevel="0" collapsed="false">
      <c r="B19" s="8" t="str">
        <f aca="false">IF('Estimates-split'!AB10="","(n/a)","("&amp;TEXT('Estimates-split'!AB10,"0.00")&amp;")")</f>
        <v>(-1.19)</v>
      </c>
      <c r="C19" s="8" t="str">
        <f aca="false">IF('Estimates-split'!AF10="","(n/a)","("&amp;TEXT('Estimates-split'!AF10,"0.00")&amp;")")</f>
        <v>(-1.31)</v>
      </c>
      <c r="D19" s="8" t="str">
        <f aca="false">IF('Estimates-split'!AJ10="","(n/a)","("&amp;TEXT('Estimates-split'!AJ10,"0.00")&amp;")")</f>
        <v>(-1.65)</v>
      </c>
    </row>
    <row r="20" customFormat="false" ht="15" hidden="false" customHeight="false" outlineLevel="0" collapsed="false">
      <c r="A20" s="7" t="s">
        <v>14</v>
      </c>
      <c r="B20" s="8" t="str">
        <f aca="false">TEXT('Estimates-split'!Z11,"0.000")&amp;IF('Estimates-split'!AC11="","",IF('Estimates-split'!AC11&lt;0.01,"***",IF('Estimates-split'!AC11&lt;0.05,"**",IF('Estimates-split'!AC11&lt;0.1,"*",""))))</f>
        <v>-0.034</v>
      </c>
      <c r="C20" s="8" t="str">
        <f aca="false">TEXT('Estimates-split'!AD11,"0.000")&amp;IF('Estimates-split'!AG11="","",IF('Estimates-split'!AG11&lt;0.01,"***",IF('Estimates-split'!AG11&lt;0.05,"**",IF('Estimates-split'!AG11&lt;0.1,"*",""))))</f>
        <v>-0.080</v>
      </c>
      <c r="D20" s="8" t="str">
        <f aca="false">TEXT('Estimates-split'!AH11,"0.000")&amp;IF('Estimates-split'!AK11="","",IF('Estimates-split'!AK11&lt;0.01,"***",IF('Estimates-split'!AK11&lt;0.05,"**",IF('Estimates-split'!AK11&lt;0.1,"*",""))))</f>
        <v>-0.084</v>
      </c>
    </row>
    <row r="21" customFormat="false" ht="15" hidden="false" customHeight="false" outlineLevel="0" collapsed="false">
      <c r="B21" s="8" t="str">
        <f aca="false">IF('Estimates-split'!AB11="","(n/a)","("&amp;TEXT('Estimates-split'!AB11,"0.00")&amp;")")</f>
        <v>(-0.96)</v>
      </c>
      <c r="C21" s="8" t="str">
        <f aca="false">IF('Estimates-split'!AF11="","(n/a)","("&amp;TEXT('Estimates-split'!AF11,"0.00")&amp;")")</f>
        <v>(-1.19)</v>
      </c>
      <c r="D21" s="8" t="str">
        <f aca="false">IF('Estimates-split'!AJ11="","(n/a)","("&amp;TEXT('Estimates-split'!AJ11,"0.00")&amp;")")</f>
        <v>(-1.63)</v>
      </c>
    </row>
    <row r="22" customFormat="false" ht="15" hidden="false" customHeight="false" outlineLevel="0" collapsed="false">
      <c r="A22" s="7" t="s">
        <v>15</v>
      </c>
      <c r="B22" s="8" t="str">
        <f aca="false">TEXT('Estimates-split'!Z12,"0.000")&amp;IF('Estimates-split'!AC12="","",IF('Estimates-split'!AC12&lt;0.01,"***",IF('Estimates-split'!AC12&lt;0.05,"**",IF('Estimates-split'!AC12&lt;0.1,"*",""))))</f>
        <v>-0.030</v>
      </c>
      <c r="C22" s="8" t="str">
        <f aca="false">TEXT('Estimates-split'!AD12,"0.000")&amp;IF('Estimates-split'!AG12="","",IF('Estimates-split'!AG12&lt;0.01,"***",IF('Estimates-split'!AG12&lt;0.05,"**",IF('Estimates-split'!AG12&lt;0.1,"*",""))))</f>
        <v>-0.077</v>
      </c>
      <c r="D22" s="8" t="str">
        <f aca="false">TEXT('Estimates-split'!AH12,"0.000")&amp;IF('Estimates-split'!AK12="","",IF('Estimates-split'!AK12&lt;0.01,"***",IF('Estimates-split'!AK12&lt;0.05,"**",IF('Estimates-split'!AK12&lt;0.1,"*",""))))</f>
        <v>-0.059</v>
      </c>
    </row>
    <row r="23" customFormat="false" ht="15" hidden="false" customHeight="false" outlineLevel="0" collapsed="false">
      <c r="B23" s="8" t="str">
        <f aca="false">IF('Estimates-split'!AB12="","(n/a)","("&amp;TEXT('Estimates-split'!AB12,"0.00")&amp;")")</f>
        <v>(-0.91)</v>
      </c>
      <c r="C23" s="8" t="str">
        <f aca="false">IF('Estimates-split'!AF12="","(n/a)","("&amp;TEXT('Estimates-split'!AF12,"0.00")&amp;")")</f>
        <v>(-1.15)</v>
      </c>
      <c r="D23" s="8" t="str">
        <f aca="false">IF('Estimates-split'!AJ12="","(n/a)","("&amp;TEXT('Estimates-split'!AJ12,"0.00")&amp;")")</f>
        <v>(-1.13)</v>
      </c>
    </row>
    <row r="24" customFormat="false" ht="15" hidden="false" customHeight="false" outlineLevel="0" collapsed="false">
      <c r="A24" s="7" t="s">
        <v>16</v>
      </c>
      <c r="B24" s="8" t="str">
        <f aca="false">TEXT('Estimates-split'!Z13,"0.000")&amp;IF('Estimates-split'!AC13="","",IF('Estimates-split'!AC13&lt;0.01,"***",IF('Estimates-split'!AC13&lt;0.05,"**",IF('Estimates-split'!AC13&lt;0.1,"*",""))))</f>
        <v>-0.019</v>
      </c>
      <c r="C24" s="8" t="str">
        <f aca="false">TEXT('Estimates-split'!AD13,"0.000")&amp;IF('Estimates-split'!AG13="","",IF('Estimates-split'!AG13&lt;0.01,"***",IF('Estimates-split'!AG13&lt;0.05,"**",IF('Estimates-split'!AG13&lt;0.1,"*",""))))</f>
        <v>-0.066</v>
      </c>
      <c r="D24" s="8" t="str">
        <f aca="false">TEXT('Estimates-split'!AH13,"0.000")&amp;IF('Estimates-split'!AK13="","",IF('Estimates-split'!AK13&lt;0.01,"***",IF('Estimates-split'!AK13&lt;0.05,"**",IF('Estimates-split'!AK13&lt;0.1,"*",""))))</f>
        <v>-0.063</v>
      </c>
    </row>
    <row r="25" customFormat="false" ht="15" hidden="false" customHeight="false" outlineLevel="0" collapsed="false">
      <c r="B25" s="8" t="str">
        <f aca="false">IF('Estimates-split'!AB13="","(n/a)","("&amp;TEXT('Estimates-split'!AB13,"0.00")&amp;")")</f>
        <v>(-0.55)</v>
      </c>
      <c r="C25" s="8" t="str">
        <f aca="false">IF('Estimates-split'!AF13="","(n/a)","("&amp;TEXT('Estimates-split'!AF13,"0.00")&amp;")")</f>
        <v>(-0.97)</v>
      </c>
      <c r="D25" s="8" t="str">
        <f aca="false">IF('Estimates-split'!AJ13="","(n/a)","("&amp;TEXT('Estimates-split'!AJ13,"0.00")&amp;")")</f>
        <v>(-1.23)</v>
      </c>
    </row>
    <row r="26" customFormat="false" ht="15" hidden="false" customHeight="false" outlineLevel="0" collapsed="false">
      <c r="A26" s="7" t="s">
        <v>17</v>
      </c>
      <c r="B26" s="8" t="str">
        <f aca="false">TEXT('Estimates-split'!Z14,"0.000")&amp;IF('Estimates-split'!AC14="","",IF('Estimates-split'!AC14&lt;0.01,"***",IF('Estimates-split'!AC14&lt;0.05,"**",IF('Estimates-split'!AC14&lt;0.1,"*",""))))</f>
        <v>-0.033</v>
      </c>
      <c r="C26" s="8" t="str">
        <f aca="false">TEXT('Estimates-split'!AD14,"0.000")&amp;IF('Estimates-split'!AG14="","",IF('Estimates-split'!AG14&lt;0.01,"***",IF('Estimates-split'!AG14&lt;0.05,"**",IF('Estimates-split'!AG14&lt;0.1,"*",""))))</f>
        <v>-0.079</v>
      </c>
      <c r="D26" s="8" t="str">
        <f aca="false">TEXT('Estimates-split'!AH14,"0.000")&amp;IF('Estimates-split'!AK14="","",IF('Estimates-split'!AK14&lt;0.01,"***",IF('Estimates-split'!AK14&lt;0.05,"**",IF('Estimates-split'!AK14&lt;0.1,"*",""))))</f>
        <v>-0.068</v>
      </c>
    </row>
    <row r="27" customFormat="false" ht="15" hidden="false" customHeight="false" outlineLevel="0" collapsed="false">
      <c r="B27" s="8" t="str">
        <f aca="false">IF('Estimates-split'!AB14="","(n/a)","("&amp;TEXT('Estimates-split'!AB14,"0.00")&amp;")")</f>
        <v>(-1.01)</v>
      </c>
      <c r="C27" s="8" t="str">
        <f aca="false">IF('Estimates-split'!AF14="","(n/a)","("&amp;TEXT('Estimates-split'!AF14,"0.00")&amp;")")</f>
        <v>(-1.19)</v>
      </c>
      <c r="D27" s="8" t="str">
        <f aca="false">IF('Estimates-split'!AJ14="","(n/a)","("&amp;TEXT('Estimates-split'!AJ14,"0.00")&amp;")")</f>
        <v>(-1.32)</v>
      </c>
    </row>
    <row r="28" customFormat="false" ht="15" hidden="false" customHeight="false" outlineLevel="0" collapsed="false">
      <c r="A28" s="7" t="s">
        <v>18</v>
      </c>
      <c r="B28" s="8" t="str">
        <f aca="false">TEXT('Estimates-split'!Z15,"0.000")&amp;IF('Estimates-split'!AC15="","",IF('Estimates-split'!AC15&lt;0.01,"***",IF('Estimates-split'!AC15&lt;0.05,"**",IF('Estimates-split'!AC15&lt;0.1,"*",""))))</f>
        <v>-0.031</v>
      </c>
      <c r="C28" s="8" t="str">
        <f aca="false">TEXT('Estimates-split'!AD15,"0.000")&amp;IF('Estimates-split'!AG15="","",IF('Estimates-split'!AG15&lt;0.01,"***",IF('Estimates-split'!AG15&lt;0.05,"**",IF('Estimates-split'!AG15&lt;0.1,"*",""))))</f>
        <v>-0.076</v>
      </c>
      <c r="D28" s="8" t="str">
        <f aca="false">TEXT('Estimates-split'!AH15,"0.000")&amp;IF('Estimates-split'!AK15="","",IF('Estimates-split'!AK15&lt;0.01,"***",IF('Estimates-split'!AK15&lt;0.05,"**",IF('Estimates-split'!AK15&lt;0.1,"*",""))))</f>
        <v>-0.078</v>
      </c>
    </row>
    <row r="29" customFormat="false" ht="15" hidden="false" customHeight="false" outlineLevel="0" collapsed="false">
      <c r="B29" s="8" t="str">
        <f aca="false">IF('Estimates-split'!AB15="","(n/a)","("&amp;TEXT('Estimates-split'!AB15,"0.00")&amp;")")</f>
        <v>(-0.89)</v>
      </c>
      <c r="C29" s="8" t="str">
        <f aca="false">IF('Estimates-split'!AF15="","(n/a)","("&amp;TEXT('Estimates-split'!AF15,"0.00")&amp;")")</f>
        <v>(-1.16)</v>
      </c>
      <c r="D29" s="8" t="str">
        <f aca="false">IF('Estimates-split'!AJ15="","(n/a)","("&amp;TEXT('Estimates-split'!AJ15,"0.00")&amp;")")</f>
        <v>(-1.54)</v>
      </c>
    </row>
    <row r="30" customFormat="false" ht="15" hidden="false" customHeight="false" outlineLevel="0" collapsed="false">
      <c r="A30" s="7" t="s">
        <v>19</v>
      </c>
      <c r="B30" s="8" t="str">
        <f aca="false">TEXT('Estimates-split'!Z16,"0.000")&amp;IF('Estimates-split'!AC16="","",IF('Estimates-split'!AC16&lt;0.01,"***",IF('Estimates-split'!AC16&lt;0.05,"**",IF('Estimates-split'!AC16&lt;0.1,"*",""))))</f>
        <v>-0.034</v>
      </c>
      <c r="C30" s="8" t="str">
        <f aca="false">TEXT('Estimates-split'!AD16,"0.000")&amp;IF('Estimates-split'!AG16="","",IF('Estimates-split'!AG16&lt;0.01,"***",IF('Estimates-split'!AG16&lt;0.05,"**",IF('Estimates-split'!AG16&lt;0.1,"*",""))))</f>
        <v>-0.082</v>
      </c>
      <c r="D30" s="8" t="str">
        <f aca="false">TEXT('Estimates-split'!AH16,"0.000")&amp;IF('Estimates-split'!AK16="","",IF('Estimates-split'!AK16&lt;0.01,"***",IF('Estimates-split'!AK16&lt;0.05,"**",IF('Estimates-split'!AK16&lt;0.1,"*",""))))</f>
        <v>-0.074</v>
      </c>
    </row>
    <row r="31" customFormat="false" ht="15" hidden="false" customHeight="false" outlineLevel="0" collapsed="false">
      <c r="B31" s="8" t="str">
        <f aca="false">IF('Estimates-split'!AB16="","(n/a)","("&amp;TEXT('Estimates-split'!AB16,"0.00")&amp;")")</f>
        <v>(-1.01)</v>
      </c>
      <c r="C31" s="8" t="str">
        <f aca="false">IF('Estimates-split'!AF16="","(n/a)","("&amp;TEXT('Estimates-split'!AF16,"0.00")&amp;")")</f>
        <v>(-1.22)</v>
      </c>
      <c r="D31" s="8" t="str">
        <f aca="false">IF('Estimates-split'!AJ16="","(n/a)","("&amp;TEXT('Estimates-split'!AJ16,"0.00")&amp;")")</f>
        <v>(-1.43)</v>
      </c>
    </row>
    <row r="32" customFormat="false" ht="15" hidden="false" customHeight="false" outlineLevel="0" collapsed="false">
      <c r="A32" s="7" t="s">
        <v>20</v>
      </c>
      <c r="B32" s="8" t="str">
        <f aca="false">TEXT('Estimates-split'!Z17,"0.000")&amp;IF('Estimates-split'!AC17="","",IF('Estimates-split'!AC17&lt;0.01,"***",IF('Estimates-split'!AC17&lt;0.05,"**",IF('Estimates-split'!AC17&lt;0.1,"*",""))))</f>
        <v>-0.027</v>
      </c>
      <c r="C32" s="8" t="str">
        <f aca="false">TEXT('Estimates-split'!AD17,"0.000")&amp;IF('Estimates-split'!AG17="","",IF('Estimates-split'!AG17&lt;0.01,"***",IF('Estimates-split'!AG17&lt;0.05,"**",IF('Estimates-split'!AG17&lt;0.1,"*",""))))</f>
        <v>0.027</v>
      </c>
    </row>
    <row r="33" customFormat="false" ht="15" hidden="false" customHeight="false" outlineLevel="0" collapsed="false">
      <c r="B33" s="8" t="str">
        <f aca="false">IF('Estimates-split'!AB17="","(n/a)","("&amp;TEXT('Estimates-split'!AB17,"0.00")&amp;")")</f>
        <v>(-0.66)</v>
      </c>
      <c r="C33" s="8" t="str">
        <f aca="false">IF('Estimates-split'!AF17="","(n/a)","("&amp;TEXT('Estimates-split'!AF17,"0.00")&amp;")")</f>
        <v>(0.74)</v>
      </c>
    </row>
    <row r="34" customFormat="false" ht="15" hidden="false" customHeight="false" outlineLevel="0" collapsed="false">
      <c r="A34" s="7" t="s">
        <v>21</v>
      </c>
      <c r="C34" s="8" t="str">
        <f aca="false">TEXT('Estimates-split'!AD18,"0.000")&amp;IF('Estimates-split'!AG18="","",IF('Estimates-split'!AG18&lt;0.01,"***",IF('Estimates-split'!AG18&lt;0.05,"**",IF('Estimates-split'!AG18&lt;0.1,"*",""))))</f>
        <v>0.064</v>
      </c>
      <c r="D34" s="8" t="str">
        <f aca="false">TEXT('Estimates-split'!AH18,"0.000")&amp;IF('Estimates-split'!AK18="","",IF('Estimates-split'!AK18&lt;0.01,"***",IF('Estimates-split'!AK18&lt;0.05,"**",IF('Estimates-split'!AK18&lt;0.1,"*",""))))</f>
        <v>-0.188*</v>
      </c>
    </row>
    <row r="35" customFormat="false" ht="15" hidden="false" customHeight="false" outlineLevel="0" collapsed="false">
      <c r="C35" s="8" t="str">
        <f aca="false">IF('Estimates-split'!AF18="","(n/a)","("&amp;TEXT('Estimates-split'!AF18,"0.00")&amp;")")</f>
        <v>(0.64)</v>
      </c>
      <c r="D35" s="8" t="str">
        <f aca="false">IF('Estimates-split'!AJ18="","(n/a)","("&amp;TEXT('Estimates-split'!AJ18,"0.00")&amp;")")</f>
        <v>(-1.78)</v>
      </c>
    </row>
    <row r="36" customFormat="false" ht="15" hidden="false" customHeight="false" outlineLevel="0" collapsed="false">
      <c r="A36" s="7" t="s">
        <v>22</v>
      </c>
      <c r="C36" s="8" t="str">
        <f aca="false">TEXT('Estimates-split'!AD19,"0.000")&amp;IF('Estimates-split'!AG19="","",IF('Estimates-split'!AG19&lt;0.01,"***",IF('Estimates-split'!AG19&lt;0.05,"**",IF('Estimates-split'!AG19&lt;0.1,"*",""))))</f>
        <v>-0.004</v>
      </c>
      <c r="D36" s="8" t="str">
        <f aca="false">TEXT('Estimates-split'!AH19,"0.000")&amp;IF('Estimates-split'!AK19="","",IF('Estimates-split'!AK19&lt;0.01,"***",IF('Estimates-split'!AK19&lt;0.05,"**",IF('Estimates-split'!AK19&lt;0.1,"*",""))))</f>
        <v>0.019</v>
      </c>
    </row>
    <row r="37" customFormat="false" ht="15" hidden="false" customHeight="false" outlineLevel="0" collapsed="false">
      <c r="C37" s="8" t="str">
        <f aca="false">IF('Estimates-split'!AF19="","(n/a)","("&amp;TEXT('Estimates-split'!AF19,"0.00")&amp;")")</f>
        <v>(-0.32)</v>
      </c>
      <c r="D37" s="8" t="str">
        <f aca="false">IF('Estimates-split'!AJ19="","(n/a)","("&amp;TEXT('Estimates-split'!AJ19,"0.00")&amp;")")</f>
        <v>(1.66)</v>
      </c>
    </row>
    <row r="38" customFormat="false" ht="15" hidden="false" customHeight="false" outlineLevel="0" collapsed="false">
      <c r="A38" s="7" t="s">
        <v>23</v>
      </c>
      <c r="C38" s="8" t="str">
        <f aca="false">TEXT('Estimates-split'!AD20,"0.000")&amp;IF('Estimates-split'!AG20="","",IF('Estimates-split'!AG20&lt;0.01,"***",IF('Estimates-split'!AG20&lt;0.05,"**",IF('Estimates-split'!AG20&lt;0.1,"*",""))))</f>
        <v>-0.070</v>
      </c>
      <c r="D38" s="8" t="str">
        <f aca="false">TEXT('Estimates-split'!AH20,"0.000")&amp;IF('Estimates-split'!AK20="","",IF('Estimates-split'!AK20&lt;0.01,"***",IF('Estimates-split'!AK20&lt;0.05,"**",IF('Estimates-split'!AK20&lt;0.1,"*",""))))</f>
        <v>-0.069</v>
      </c>
    </row>
    <row r="39" customFormat="false" ht="15" hidden="false" customHeight="false" outlineLevel="0" collapsed="false">
      <c r="C39" s="8" t="str">
        <f aca="false">IF('Estimates-split'!AF20="","(n/a)","("&amp;TEXT('Estimates-split'!AF20,"0.00")&amp;")")</f>
        <v>(-1.63)</v>
      </c>
      <c r="D39" s="8" t="str">
        <f aca="false">IF('Estimates-split'!AJ20="","(n/a)","("&amp;TEXT('Estimates-split'!AJ20,"0.00")&amp;")")</f>
        <v>(-1.22)</v>
      </c>
    </row>
    <row r="40" customFormat="false" ht="15" hidden="false" customHeight="false" outlineLevel="0" collapsed="false">
      <c r="A40" s="7" t="s">
        <v>24</v>
      </c>
      <c r="C40" s="8" t="str">
        <f aca="false">TEXT('Estimates-split'!AD21,"0.000")&amp;IF('Estimates-split'!AG21="","",IF('Estimates-split'!AG21&lt;0.01,"***",IF('Estimates-split'!AG21&lt;0.05,"**",IF('Estimates-split'!AG21&lt;0.1,"*",""))))</f>
        <v>0.026</v>
      </c>
      <c r="D40" s="8" t="str">
        <f aca="false">TEXT('Estimates-split'!AH21,"0.000")&amp;IF('Estimates-split'!AK21="","",IF('Estimates-split'!AK21&lt;0.01,"***",IF('Estimates-split'!AK21&lt;0.05,"**",IF('Estimates-split'!AK21&lt;0.1,"*",""))))</f>
        <v>-0.068*</v>
      </c>
    </row>
    <row r="41" customFormat="false" ht="15" hidden="false" customHeight="false" outlineLevel="0" collapsed="false">
      <c r="C41" s="8" t="str">
        <f aca="false">IF('Estimates-split'!AF21="","(n/a)","("&amp;TEXT('Estimates-split'!AF21,"0.00")&amp;")")</f>
        <v>(0.66)</v>
      </c>
      <c r="D41" s="8" t="str">
        <f aca="false">IF('Estimates-split'!AJ21="","(n/a)","("&amp;TEXT('Estimates-split'!AJ21,"0.00")&amp;")")</f>
        <v>(-1.90)</v>
      </c>
    </row>
    <row r="42" customFormat="false" ht="15" hidden="false" customHeight="false" outlineLevel="0" collapsed="false">
      <c r="A42" s="7" t="s">
        <v>25</v>
      </c>
      <c r="C42" s="8" t="str">
        <f aca="false">TEXT('Estimates-split'!AD22,"0.000")&amp;IF('Estimates-split'!AG22="","",IF('Estimates-split'!AG22&lt;0.01,"***",IF('Estimates-split'!AG22&lt;0.05,"**",IF('Estimates-split'!AG22&lt;0.1,"*",""))))</f>
        <v>-0.020</v>
      </c>
      <c r="D42" s="8" t="str">
        <f aca="false">TEXT('Estimates-split'!AH22,"0.000")&amp;IF('Estimates-split'!AK22="","",IF('Estimates-split'!AK22&lt;0.01,"***",IF('Estimates-split'!AK22&lt;0.05,"**",IF('Estimates-split'!AK22&lt;0.1,"*",""))))</f>
        <v>-0.275***</v>
      </c>
    </row>
    <row r="43" customFormat="false" ht="15" hidden="false" customHeight="false" outlineLevel="0" collapsed="false">
      <c r="C43" s="8" t="str">
        <f aca="false">IF('Estimates-split'!AF22="","(n/a)","("&amp;TEXT('Estimates-split'!AF22,"0.00")&amp;")")</f>
        <v>(-0.46)</v>
      </c>
      <c r="D43" s="8" t="str">
        <f aca="false">IF('Estimates-split'!AJ22="","(n/a)","("&amp;TEXT('Estimates-split'!AJ22,"0.00")&amp;")")</f>
        <v>(-3.41)</v>
      </c>
    </row>
    <row r="44" customFormat="false" ht="15" hidden="false" customHeight="false" outlineLevel="0" collapsed="false">
      <c r="A44" s="7" t="s">
        <v>26</v>
      </c>
      <c r="C44" s="8" t="str">
        <f aca="false">TEXT('Estimates-split'!AD23,"0.000")&amp;IF('Estimates-split'!AG23="","",IF('Estimates-split'!AG23&lt;0.01,"***",IF('Estimates-split'!AG23&lt;0.05,"**",IF('Estimates-split'!AG23&lt;0.1,"*",""))))</f>
        <v>-0.094*</v>
      </c>
      <c r="D44" s="8" t="str">
        <f aca="false">TEXT('Estimates-split'!AH23,"0.000")&amp;IF('Estimates-split'!AK23="","",IF('Estimates-split'!AK23&lt;0.01,"***",IF('Estimates-split'!AK23&lt;0.05,"**",IF('Estimates-split'!AK23&lt;0.1,"*",""))))</f>
        <v>-0.185</v>
      </c>
    </row>
    <row r="45" customFormat="false" ht="15" hidden="false" customHeight="false" outlineLevel="0" collapsed="false">
      <c r="C45" s="8" t="str">
        <f aca="false">IF('Estimates-split'!AF23="","(n/a)","("&amp;TEXT('Estimates-split'!AF23,"0.00")&amp;")")</f>
        <v>(-1.79)</v>
      </c>
      <c r="D45" s="8" t="str">
        <f aca="false">IF('Estimates-split'!AJ23="","(n/a)","("&amp;TEXT('Estimates-split'!AJ23,"0.00")&amp;")")</f>
        <v>(-1.03)</v>
      </c>
    </row>
    <row r="47" customFormat="false" ht="15" hidden="false" customHeight="false" outlineLevel="0" collapsed="false">
      <c r="A47" s="7" t="s">
        <v>27</v>
      </c>
      <c r="B47" s="9" t="n">
        <f aca="false">'Estimates-split'!Z26</f>
        <v>1480</v>
      </c>
      <c r="C47" s="9" t="n">
        <f aca="false">'Estimates-split'!AD26</f>
        <v>1293</v>
      </c>
      <c r="D47" s="9" t="n">
        <f aca="false">'Estimates-split'!AH26</f>
        <v>1291</v>
      </c>
    </row>
    <row r="48" customFormat="false" ht="15" hidden="false" customHeight="false" outlineLevel="0" collapsed="false">
      <c r="A48" s="7" t="s">
        <v>28</v>
      </c>
      <c r="B48" s="10" t="n">
        <f aca="false">'Estimates-split'!Z29</f>
        <v>0.352137370057059</v>
      </c>
      <c r="C48" s="10" t="n">
        <f aca="false">'Estimates-split'!AD29</f>
        <v>0.363485663777401</v>
      </c>
      <c r="D48" s="10" t="n">
        <f aca="false">'Estimates-split'!AH29</f>
        <v>0.65835333952877</v>
      </c>
    </row>
    <row r="49" customFormat="false" ht="15" hidden="false" customHeight="false" outlineLevel="0" collapsed="false">
      <c r="A49" s="7" t="s">
        <v>29</v>
      </c>
      <c r="B49" s="11" t="s">
        <v>30</v>
      </c>
      <c r="C49" s="11" t="s">
        <v>30</v>
      </c>
      <c r="D49" s="11" t="s">
        <v>31</v>
      </c>
    </row>
    <row r="50" customFormat="false" ht="15" hidden="false" customHeight="false" outlineLevel="0" collapsed="false">
      <c r="A50" s="7" t="s">
        <v>32</v>
      </c>
      <c r="B50" s="11" t="s">
        <v>31</v>
      </c>
      <c r="C50" s="11" t="s">
        <v>31</v>
      </c>
      <c r="D50" s="11" t="s">
        <v>31</v>
      </c>
    </row>
    <row r="51" customFormat="false" ht="15" hidden="false" customHeight="false" outlineLevel="0" collapsed="false">
      <c r="A51" s="12" t="s">
        <v>33</v>
      </c>
      <c r="B51" s="13" t="n">
        <f aca="false">'Estimates-split'!AC24</f>
        <v>0.93030428818711</v>
      </c>
      <c r="C51" s="13" t="n">
        <f aca="false">'Estimates-split'!AG24</f>
        <v>0.720244810397075</v>
      </c>
      <c r="D51" s="13" t="n">
        <f aca="false">'Estimates-split'!AK24</f>
        <v>0.794808859452155</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7" min="2" style="0" width="14"/>
  </cols>
  <sheetData>
    <row r="1" customFormat="false" ht="15" hidden="false" customHeight="false" outlineLevel="0" collapsed="false">
      <c r="A1" s="1" t="s">
        <v>39</v>
      </c>
    </row>
    <row r="2" customFormat="false" ht="255" hidden="false" customHeight="true" outlineLevel="0" collapsed="false">
      <c r="A2" s="2" t="s">
        <v>40</v>
      </c>
      <c r="B2" s="2"/>
      <c r="C2" s="2"/>
      <c r="D2" s="2"/>
      <c r="E2" s="2"/>
      <c r="F2" s="2"/>
      <c r="G2" s="2"/>
    </row>
    <row r="4" customFormat="false" ht="15" hidden="false" customHeight="false" outlineLevel="0" collapsed="false">
      <c r="A4" s="1" t="s">
        <v>2</v>
      </c>
    </row>
    <row r="5" customFormat="false" ht="15" hidden="false" customHeight="false" outlineLevel="0" collapsed="false">
      <c r="A5" s="3"/>
      <c r="B5" s="4" t="s">
        <v>3</v>
      </c>
      <c r="C5" s="4" t="s">
        <v>4</v>
      </c>
      <c r="D5" s="4" t="s">
        <v>5</v>
      </c>
      <c r="E5" s="4" t="s">
        <v>41</v>
      </c>
      <c r="F5" s="4" t="s">
        <v>42</v>
      </c>
    </row>
    <row r="6" customFormat="false" ht="15" hidden="false" customHeight="false" outlineLevel="0" collapsed="false">
      <c r="A6" s="5"/>
      <c r="B6" s="6" t="s">
        <v>6</v>
      </c>
      <c r="C6" s="6" t="s">
        <v>6</v>
      </c>
      <c r="D6" s="6" t="s">
        <v>6</v>
      </c>
      <c r="E6" s="6" t="s">
        <v>6</v>
      </c>
      <c r="F6" s="6" t="s">
        <v>6</v>
      </c>
    </row>
    <row r="7" customFormat="false" ht="15" hidden="false" customHeight="false" outlineLevel="0" collapsed="false">
      <c r="A7" s="7" t="s">
        <v>43</v>
      </c>
      <c r="B7" s="8" t="str">
        <f aca="false">TEXT(Estimates!B4,"0.000")&amp;IF(Estimates!E4="","",IF(Estimates!E4&lt;0.01,"***",IF(Estimates!E4&lt;0.05,"**",IF(Estimates!E4&lt;0.1,"*",""))))</f>
        <v>-0.214</v>
      </c>
      <c r="C7" s="8" t="str">
        <f aca="false">TEXT(Estimates!F4,"0.000")&amp;IF(Estimates!I4="","",IF(Estimates!I4&lt;0.01,"***",IF(Estimates!I4&lt;0.05,"**",IF(Estimates!I4&lt;0.1,"*",""))))</f>
        <v>-0.081</v>
      </c>
      <c r="D7" s="8" t="str">
        <f aca="false">TEXT(Estimates!J4,"0.000")&amp;IF(Estimates!M4="","",IF(Estimates!M4&lt;0.01,"***",IF(Estimates!M4&lt;0.05,"**",IF(Estimates!M4&lt;0.1,"*",""))))</f>
        <v>-0.088</v>
      </c>
      <c r="E7" s="8" t="str">
        <f aca="false">TEXT(Estimates!N4,"0.000")&amp;IF(Estimates!Q4="","",IF(Estimates!Q4&lt;0.01,"***",IF(Estimates!Q4&lt;0.05,"**",IF(Estimates!Q4&lt;0.1,"*",""))))</f>
        <v>-0.965*</v>
      </c>
      <c r="F7" s="8" t="str">
        <f aca="false">TEXT(Estimates!R4,"0.000")&amp;IF(Estimates!U4="","",IF(Estimates!U4&lt;0.01,"***",IF(Estimates!U4&lt;0.05,"**",IF(Estimates!U4&lt;0.1,"*",""))))</f>
        <v>-0.267</v>
      </c>
    </row>
    <row r="8" customFormat="false" ht="15" hidden="false" customHeight="false" outlineLevel="0" collapsed="false">
      <c r="B8" s="8" t="str">
        <f aca="false">IF(Estimates!D4="","(n/a)","("&amp;TEXT(Estimates!D4,"0.00")&amp;")")</f>
        <v>(-1.15)</v>
      </c>
      <c r="C8" s="8" t="str">
        <f aca="false">IF(Estimates!H4="","(n/a)","("&amp;TEXT(Estimates!H4,"0.00")&amp;")")</f>
        <v>(-0.34)</v>
      </c>
      <c r="D8" s="8" t="str">
        <f aca="false">IF(Estimates!L4="","(n/a)","("&amp;TEXT(Estimates!L4,"0.00")&amp;")")</f>
        <v>(-0.30)</v>
      </c>
      <c r="E8" s="8" t="str">
        <f aca="false">IF(Estimates!P4="","(n/a)","("&amp;TEXT(Estimates!P4,"0.00")&amp;")")</f>
        <v>(-1.88)</v>
      </c>
      <c r="F8" s="8" t="str">
        <f aca="false">IF(Estimates!T4="","(n/a)","("&amp;TEXT(Estimates!T4,"0.00")&amp;")")</f>
        <v>(-0.27)</v>
      </c>
    </row>
    <row r="9" customFormat="false" ht="15" hidden="false" customHeight="false" outlineLevel="0" collapsed="false">
      <c r="A9" s="7" t="s">
        <v>9</v>
      </c>
      <c r="B9" s="8" t="str">
        <f aca="false">TEXT(Estimates!B5,"0.000")&amp;IF(Estimates!E5="","",IF(Estimates!E5&lt;0.01,"***",IF(Estimates!E5&lt;0.05,"**",IF(Estimates!E5&lt;0.1,"*",""))))</f>
        <v>0.168</v>
      </c>
      <c r="C9" s="8" t="str">
        <f aca="false">TEXT(Estimates!F5,"0.000")&amp;IF(Estimates!I5="","",IF(Estimates!I5&lt;0.01,"***",IF(Estimates!I5&lt;0.05,"**",IF(Estimates!I5&lt;0.1,"*",""))))</f>
        <v>0.118</v>
      </c>
      <c r="D9" s="8" t="str">
        <f aca="false">TEXT(Estimates!J5,"0.000")&amp;IF(Estimates!M5="","",IF(Estimates!M5&lt;0.01,"***",IF(Estimates!M5&lt;0.05,"**",IF(Estimates!M5&lt;0.1,"*",""))))</f>
        <v>0.084</v>
      </c>
      <c r="E9" s="8" t="str">
        <f aca="false">TEXT(Estimates!N5,"0.000")&amp;IF(Estimates!Q5="","",IF(Estimates!Q5&lt;0.01,"***",IF(Estimates!Q5&lt;0.05,"**",IF(Estimates!Q5&lt;0.1,"*",""))))</f>
        <v>0.099</v>
      </c>
      <c r="F9" s="8" t="str">
        <f aca="false">TEXT(Estimates!R5,"0.000")&amp;IF(Estimates!U5="","",IF(Estimates!U5&lt;0.01,"***",IF(Estimates!U5&lt;0.05,"**",IF(Estimates!U5&lt;0.1,"*",""))))</f>
        <v>0.223</v>
      </c>
    </row>
    <row r="10" customFormat="false" ht="15" hidden="false" customHeight="false" outlineLevel="0" collapsed="false">
      <c r="B10" s="8" t="str">
        <f aca="false">IF(Estimates!D5="","(n/a)","("&amp;TEXT(Estimates!D5,"0.00")&amp;")")</f>
        <v>(1.10)</v>
      </c>
      <c r="C10" s="8" t="str">
        <f aca="false">IF(Estimates!H5="","(n/a)","("&amp;TEXT(Estimates!H5,"0.00")&amp;")")</f>
        <v>(0.72)</v>
      </c>
      <c r="D10" s="8" t="str">
        <f aca="false">IF(Estimates!L5="","(n/a)","("&amp;TEXT(Estimates!L5,"0.00")&amp;")")</f>
        <v>(0.56)</v>
      </c>
      <c r="E10" s="8" t="str">
        <f aca="false">IF(Estimates!P5="","(n/a)","("&amp;TEXT(Estimates!P5,"0.00")&amp;")")</f>
        <v>(0.75)</v>
      </c>
      <c r="F10" s="8" t="str">
        <f aca="false">IF(Estimates!T5="","(n/a)","("&amp;TEXT(Estimates!T5,"0.00")&amp;")")</f>
        <v>(1.66)</v>
      </c>
    </row>
    <row r="11" customFormat="false" ht="15" hidden="false" customHeight="false" outlineLevel="0" collapsed="false">
      <c r="A11" s="7" t="s">
        <v>10</v>
      </c>
      <c r="B11" s="8" t="str">
        <f aca="false">TEXT(Estimates!B6,"0.000")&amp;IF(Estimates!E6="","",IF(Estimates!E6&lt;0.01,"***",IF(Estimates!E6&lt;0.05,"**",IF(Estimates!E6&lt;0.1,"*",""))))</f>
        <v>-0.075</v>
      </c>
      <c r="C11" s="8" t="str">
        <f aca="false">TEXT(Estimates!F6,"0.000")&amp;IF(Estimates!I6="","",IF(Estimates!I6&lt;0.01,"***",IF(Estimates!I6&lt;0.05,"**",IF(Estimates!I6&lt;0.1,"*",""))))</f>
        <v>-0.082</v>
      </c>
      <c r="D11" s="8" t="str">
        <f aca="false">TEXT(Estimates!J6,"0.000")&amp;IF(Estimates!M6="","",IF(Estimates!M6&lt;0.01,"***",IF(Estimates!M6&lt;0.05,"**",IF(Estimates!M6&lt;0.1,"*",""))))</f>
        <v>-0.080</v>
      </c>
      <c r="E11" s="8" t="str">
        <f aca="false">TEXT(Estimates!N6,"0.000")&amp;IF(Estimates!Q6="","",IF(Estimates!Q6&lt;0.01,"***",IF(Estimates!Q6&lt;0.05,"**",IF(Estimates!Q6&lt;0.1,"*",""))))</f>
        <v>1.085</v>
      </c>
      <c r="F11" s="8" t="str">
        <f aca="false">TEXT(Estimates!R6,"0.000")&amp;IF(Estimates!U6="","",IF(Estimates!U6&lt;0.01,"***",IF(Estimates!U6&lt;0.05,"**",IF(Estimates!U6&lt;0.1,"*",""))))</f>
        <v>0.656</v>
      </c>
    </row>
    <row r="12" customFormat="false" ht="15" hidden="false" customHeight="false" outlineLevel="0" collapsed="false">
      <c r="B12" s="8" t="str">
        <f aca="false">IF(Estimates!D6="","(n/a)","("&amp;TEXT(Estimates!D6,"0.00")&amp;")")</f>
        <v>(-0.69)</v>
      </c>
      <c r="C12" s="8" t="str">
        <f aca="false">IF(Estimates!H6="","(n/a)","("&amp;TEXT(Estimates!H6,"0.00")&amp;")")</f>
        <v>(-0.70)</v>
      </c>
      <c r="D12" s="8" t="str">
        <f aca="false">IF(Estimates!L6="","(n/a)","("&amp;TEXT(Estimates!L6,"0.00")&amp;")")</f>
        <v>(-0.09)</v>
      </c>
      <c r="E12" s="8" t="str">
        <f aca="false">IF(Estimates!P6="","(n/a)","("&amp;TEXT(Estimates!P6,"0.00")&amp;")")</f>
        <v>(0.59)</v>
      </c>
      <c r="F12" s="8" t="str">
        <f aca="false">IF(Estimates!T6="","(n/a)","("&amp;TEXT(Estimates!T6,"0.00")&amp;")")</f>
        <v>(0.32)</v>
      </c>
    </row>
    <row r="13" customFormat="false" ht="15" hidden="false" customHeight="false" outlineLevel="0" collapsed="false">
      <c r="A13" s="7" t="s">
        <v>11</v>
      </c>
      <c r="B13" s="8" t="str">
        <f aca="false">TEXT(Estimates!B7,"0.000")&amp;IF(Estimates!E7="","",IF(Estimates!E7&lt;0.01,"***",IF(Estimates!E7&lt;0.05,"**",IF(Estimates!E7&lt;0.1,"*",""))))</f>
        <v>-0.016</v>
      </c>
      <c r="C13" s="8" t="str">
        <f aca="false">TEXT(Estimates!F7,"0.000")&amp;IF(Estimates!I7="","",IF(Estimates!I7&lt;0.01,"***",IF(Estimates!I7&lt;0.05,"**",IF(Estimates!I7&lt;0.1,"*",""))))</f>
        <v>-0.014*</v>
      </c>
      <c r="D13" s="8" t="str">
        <f aca="false">TEXT(Estimates!J7,"0.000")&amp;IF(Estimates!M7="","",IF(Estimates!M7&lt;0.01,"***",IF(Estimates!M7&lt;0.05,"**",IF(Estimates!M7&lt;0.1,"*",""))))</f>
        <v>-0.027</v>
      </c>
      <c r="E13" s="8" t="str">
        <f aca="false">TEXT(Estimates!N7,"0.000")&amp;IF(Estimates!Q7="","",IF(Estimates!Q7&lt;0.01,"***",IF(Estimates!Q7&lt;0.05,"**",IF(Estimates!Q7&lt;0.1,"*",""))))</f>
        <v>-0.071**</v>
      </c>
      <c r="F13" s="8" t="str">
        <f aca="false">TEXT(Estimates!R7,"0.000")&amp;IF(Estimates!U7="","",IF(Estimates!U7&lt;0.01,"***",IF(Estimates!U7&lt;0.05,"**",IF(Estimates!U7&lt;0.1,"*",""))))</f>
        <v>-0.077**</v>
      </c>
    </row>
    <row r="14" customFormat="false" ht="15" hidden="false" customHeight="false" outlineLevel="0" collapsed="false">
      <c r="B14" s="8" t="str">
        <f aca="false">IF(Estimates!D7="","(n/a)","("&amp;TEXT(Estimates!D7,"0.00")&amp;")")</f>
        <v>(-1.63)</v>
      </c>
      <c r="C14" s="8" t="str">
        <f aca="false">IF(Estimates!H7="","(n/a)","("&amp;TEXT(Estimates!H7,"0.00")&amp;")")</f>
        <v>(-2.06)</v>
      </c>
      <c r="D14" s="8" t="str">
        <f aca="false">IF(Estimates!L7="","(n/a)","("&amp;TEXT(Estimates!L7,"0.00")&amp;")")</f>
        <v>(-0.97)</v>
      </c>
      <c r="E14" s="8" t="str">
        <f aca="false">IF(Estimates!P7="","(n/a)","("&amp;TEXT(Estimates!P7,"0.00")&amp;")")</f>
        <v>(-2.61)</v>
      </c>
      <c r="F14" s="8" t="str">
        <f aca="false">IF(Estimates!T7="","(n/a)","("&amp;TEXT(Estimates!T7,"0.00")&amp;")")</f>
        <v>(-2.25)</v>
      </c>
    </row>
    <row r="15" customFormat="false" ht="15" hidden="false" customHeight="false" outlineLevel="0" collapsed="false">
      <c r="A15" s="7" t="s">
        <v>12</v>
      </c>
      <c r="B15" s="8" t="str">
        <f aca="false">TEXT(Estimates!B8,"0.000")&amp;IF(Estimates!E8="","",IF(Estimates!E8&lt;0.01,"***",IF(Estimates!E8&lt;0.05,"**",IF(Estimates!E8&lt;0.1,"*",""))))</f>
        <v>0.024</v>
      </c>
      <c r="C15" s="8" t="str">
        <f aca="false">TEXT(Estimates!F8,"0.000")&amp;IF(Estimates!I8="","",IF(Estimates!I8&lt;0.01,"***",IF(Estimates!I8&lt;0.05,"**",IF(Estimates!I8&lt;0.1,"*",""))))</f>
        <v>0.051</v>
      </c>
      <c r="D15" s="8" t="str">
        <f aca="false">TEXT(Estimates!J8,"0.000")&amp;IF(Estimates!M8="","",IF(Estimates!M8&lt;0.01,"***",IF(Estimates!M8&lt;0.05,"**",IF(Estimates!M8&lt;0.1,"*",""))))</f>
        <v>-0.605</v>
      </c>
      <c r="E15" s="8" t="str">
        <f aca="false">TEXT(Estimates!N8,"0.000")&amp;IF(Estimates!Q8="","",IF(Estimates!Q8&lt;0.01,"***",IF(Estimates!Q8&lt;0.05,"**",IF(Estimates!Q8&lt;0.1,"*",""))))</f>
        <v>-1.644***</v>
      </c>
      <c r="F15" s="8" t="str">
        <f aca="false">TEXT(Estimates!R8,"0.000")&amp;IF(Estimates!U8="","",IF(Estimates!U8&lt;0.01,"***",IF(Estimates!U8&lt;0.05,"**",IF(Estimates!U8&lt;0.1,"*",""))))</f>
        <v>-2.006***</v>
      </c>
    </row>
    <row r="16" customFormat="false" ht="15" hidden="false" customHeight="false" outlineLevel="0" collapsed="false">
      <c r="B16" s="8" t="str">
        <f aca="false">IF(Estimates!D8="","(n/a)","("&amp;TEXT(Estimates!D8,"0.00")&amp;")")</f>
        <v>(0.21)</v>
      </c>
      <c r="C16" s="8" t="str">
        <f aca="false">IF(Estimates!H8="","(n/a)","("&amp;TEXT(Estimates!H8,"0.00")&amp;")")</f>
        <v>(0.43)</v>
      </c>
      <c r="D16" s="8" t="str">
        <f aca="false">IF(Estimates!L8="","(n/a)","("&amp;TEXT(Estimates!L8,"0.00")&amp;")")</f>
        <v>(-1.59)</v>
      </c>
      <c r="E16" s="8" t="str">
        <f aca="false">IF(Estimates!P8="","(n/a)","("&amp;TEXT(Estimates!P8,"0.00")&amp;")")</f>
        <v>(-3.94)</v>
      </c>
      <c r="F16" s="8" t="str">
        <f aca="false">IF(Estimates!T8="","(n/a)","("&amp;TEXT(Estimates!T8,"0.00")&amp;")")</f>
        <v>(-4.22)</v>
      </c>
    </row>
    <row r="17" customFormat="false" ht="15" hidden="false" customHeight="false" outlineLevel="0" collapsed="false">
      <c r="A17" s="7" t="s">
        <v>13</v>
      </c>
      <c r="B17" s="8" t="str">
        <f aca="false">TEXT(Estimates!B9,"0.000")&amp;IF(Estimates!E9="","",IF(Estimates!E9&lt;0.01,"***",IF(Estimates!E9&lt;0.05,"**",IF(Estimates!E9&lt;0.1,"*",""))))</f>
        <v>-0.006</v>
      </c>
      <c r="C17" s="8" t="str">
        <f aca="false">TEXT(Estimates!F9,"0.000")&amp;IF(Estimates!I9="","",IF(Estimates!I9&lt;0.01,"***",IF(Estimates!I9&lt;0.05,"**",IF(Estimates!I9&lt;0.1,"*",""))))</f>
        <v>0.007</v>
      </c>
      <c r="D17" s="8" t="str">
        <f aca="false">TEXT(Estimates!J9,"0.000")&amp;IF(Estimates!M9="","",IF(Estimates!M9&lt;0.01,"***",IF(Estimates!M9&lt;0.05,"**",IF(Estimates!M9&lt;0.1,"*",""))))</f>
        <v>-0.640</v>
      </c>
      <c r="E17" s="8" t="str">
        <f aca="false">TEXT(Estimates!N9,"0.000")&amp;IF(Estimates!Q9="","",IF(Estimates!Q9&lt;0.01,"***",IF(Estimates!Q9&lt;0.05,"**",IF(Estimates!Q9&lt;0.1,"*",""))))</f>
        <v>-1.709***</v>
      </c>
      <c r="F17" s="8" t="str">
        <f aca="false">TEXT(Estimates!R9,"0.000")&amp;IF(Estimates!U9="","",IF(Estimates!U9&lt;0.01,"***",IF(Estimates!U9&lt;0.05,"**",IF(Estimates!U9&lt;0.1,"*",""))))</f>
        <v>-2.090***</v>
      </c>
    </row>
    <row r="18" customFormat="false" ht="15" hidden="false" customHeight="false" outlineLevel="0" collapsed="false">
      <c r="B18" s="8" t="str">
        <f aca="false">IF(Estimates!D9="","(n/a)","("&amp;TEXT(Estimates!D9,"0.00")&amp;")")</f>
        <v>(-0.05)</v>
      </c>
      <c r="C18" s="8" t="str">
        <f aca="false">IF(Estimates!H9="","(n/a)","("&amp;TEXT(Estimates!H9,"0.00")&amp;")")</f>
        <v>(0.07)</v>
      </c>
      <c r="D18" s="8" t="str">
        <f aca="false">IF(Estimates!L9="","(n/a)","("&amp;TEXT(Estimates!L9,"0.00")&amp;")")</f>
        <v>(-1.70)</v>
      </c>
      <c r="E18" s="8" t="str">
        <f aca="false">IF(Estimates!P9="","(n/a)","("&amp;TEXT(Estimates!P9,"0.00")&amp;")")</f>
        <v>(-3.94)</v>
      </c>
      <c r="F18" s="8" t="str">
        <f aca="false">IF(Estimates!T9="","(n/a)","("&amp;TEXT(Estimates!T9,"0.00")&amp;")")</f>
        <v>(-4.33)</v>
      </c>
    </row>
    <row r="19" customFormat="false" ht="15" hidden="false" customHeight="false" outlineLevel="0" collapsed="false">
      <c r="A19" s="7" t="s">
        <v>14</v>
      </c>
      <c r="B19" s="8" t="str">
        <f aca="false">TEXT(Estimates!B10,"0.000")&amp;IF(Estimates!E10="","",IF(Estimates!E10&lt;0.01,"***",IF(Estimates!E10&lt;0.05,"**",IF(Estimates!E10&lt;0.1,"*",""))))</f>
        <v>0.074</v>
      </c>
      <c r="C19" s="8" t="str">
        <f aca="false">TEXT(Estimates!F10,"0.000")&amp;IF(Estimates!I10="","",IF(Estimates!I10&lt;0.01,"***",IF(Estimates!I10&lt;0.05,"**",IF(Estimates!I10&lt;0.1,"*",""))))</f>
        <v>0.100</v>
      </c>
      <c r="D19" s="8" t="str">
        <f aca="false">TEXT(Estimates!J10,"0.000")&amp;IF(Estimates!M10="","",IF(Estimates!M10&lt;0.01,"***",IF(Estimates!M10&lt;0.05,"**",IF(Estimates!M10&lt;0.1,"*",""))))</f>
        <v>-0.660</v>
      </c>
      <c r="E19" s="8" t="str">
        <f aca="false">TEXT(Estimates!N10,"0.000")&amp;IF(Estimates!Q10="","",IF(Estimates!Q10&lt;0.01,"***",IF(Estimates!Q10&lt;0.05,"**",IF(Estimates!Q10&lt;0.1,"*",""))))</f>
        <v>-2.007***</v>
      </c>
      <c r="F19" s="8" t="str">
        <f aca="false">TEXT(Estimates!R10,"0.000")&amp;IF(Estimates!U10="","",IF(Estimates!U10&lt;0.01,"***",IF(Estimates!U10&lt;0.05,"**",IF(Estimates!U10&lt;0.1,"*",""))))</f>
        <v>-2.539***</v>
      </c>
    </row>
    <row r="20" customFormat="false" ht="15" hidden="false" customHeight="false" outlineLevel="0" collapsed="false">
      <c r="B20" s="8" t="str">
        <f aca="false">IF(Estimates!D10="","(n/a)","("&amp;TEXT(Estimates!D10,"0.00")&amp;")")</f>
        <v>(0.56)</v>
      </c>
      <c r="C20" s="8" t="str">
        <f aca="false">IF(Estimates!H10="","(n/a)","("&amp;TEXT(Estimates!H10,"0.00")&amp;")")</f>
        <v>(0.89)</v>
      </c>
      <c r="D20" s="8" t="str">
        <f aca="false">IF(Estimates!L10="","(n/a)","("&amp;TEXT(Estimates!L10,"0.00")&amp;")")</f>
        <v>(-1.66)</v>
      </c>
      <c r="E20" s="8" t="str">
        <f aca="false">IF(Estimates!P10="","(n/a)","("&amp;TEXT(Estimates!P10,"0.00")&amp;")")</f>
        <v>(-3.21)</v>
      </c>
      <c r="F20" s="8" t="str">
        <f aca="false">IF(Estimates!T10="","(n/a)","("&amp;TEXT(Estimates!T10,"0.00")&amp;")")</f>
        <v>(-3.81)</v>
      </c>
    </row>
    <row r="21" customFormat="false" ht="15" hidden="false" customHeight="false" outlineLevel="0" collapsed="false">
      <c r="A21" s="7" t="s">
        <v>15</v>
      </c>
      <c r="B21" s="8" t="str">
        <f aca="false">TEXT(Estimates!B11,"0.000")&amp;IF(Estimates!E11="","",IF(Estimates!E11&lt;0.01,"***",IF(Estimates!E11&lt;0.05,"**",IF(Estimates!E11&lt;0.1,"*",""))))</f>
        <v>0.019</v>
      </c>
      <c r="C21" s="8" t="str">
        <f aca="false">TEXT(Estimates!F11,"0.000")&amp;IF(Estimates!I11="","",IF(Estimates!I11&lt;0.01,"***",IF(Estimates!I11&lt;0.05,"**",IF(Estimates!I11&lt;0.1,"*",""))))</f>
        <v>0.043</v>
      </c>
      <c r="D21" s="8" t="str">
        <f aca="false">TEXT(Estimates!J11,"0.000")&amp;IF(Estimates!M11="","",IF(Estimates!M11&lt;0.01,"***",IF(Estimates!M11&lt;0.05,"**",IF(Estimates!M11&lt;0.1,"*",""))))</f>
        <v>-0.545</v>
      </c>
      <c r="E21" s="8" t="str">
        <f aca="false">TEXT(Estimates!N11,"0.000")&amp;IF(Estimates!Q11="","",IF(Estimates!Q11&lt;0.01,"***",IF(Estimates!Q11&lt;0.05,"**",IF(Estimates!Q11&lt;0.1,"*",""))))</f>
        <v>-1.504***</v>
      </c>
      <c r="F21" s="8" t="str">
        <f aca="false">TEXT(Estimates!R11,"0.000")&amp;IF(Estimates!U11="","",IF(Estimates!U11&lt;0.01,"***",IF(Estimates!U11&lt;0.05,"**",IF(Estimates!U11&lt;0.1,"*",""))))</f>
        <v>-1.739***</v>
      </c>
    </row>
    <row r="22" customFormat="false" ht="15" hidden="false" customHeight="false" outlineLevel="0" collapsed="false">
      <c r="B22" s="8" t="str">
        <f aca="false">IF(Estimates!D11="","(n/a)","("&amp;TEXT(Estimates!D11,"0.00")&amp;")")</f>
        <v>(0.14)</v>
      </c>
      <c r="C22" s="8" t="str">
        <f aca="false">IF(Estimates!H11="","(n/a)","("&amp;TEXT(Estimates!H11,"0.00")&amp;")")</f>
        <v>(0.36)</v>
      </c>
      <c r="D22" s="8" t="str">
        <f aca="false">IF(Estimates!L11="","(n/a)","("&amp;TEXT(Estimates!L11,"0.00")&amp;")")</f>
        <v>(-1.33)</v>
      </c>
      <c r="E22" s="8" t="str">
        <f aca="false">IF(Estimates!P11="","(n/a)","("&amp;TEXT(Estimates!P11,"0.00")&amp;")")</f>
        <v>(-3.80)</v>
      </c>
      <c r="F22" s="8" t="str">
        <f aca="false">IF(Estimates!T11="","(n/a)","("&amp;TEXT(Estimates!T11,"0.00")&amp;")")</f>
        <v>(-3.83)</v>
      </c>
    </row>
    <row r="23" customFormat="false" ht="15" hidden="false" customHeight="false" outlineLevel="0" collapsed="false">
      <c r="A23" s="7" t="s">
        <v>16</v>
      </c>
      <c r="B23" s="8" t="str">
        <f aca="false">TEXT(Estimates!B12,"0.000")&amp;IF(Estimates!E12="","",IF(Estimates!E12&lt;0.01,"***",IF(Estimates!E12&lt;0.05,"**",IF(Estimates!E12&lt;0.1,"*",""))))</f>
        <v>-0.010</v>
      </c>
      <c r="C23" s="8" t="str">
        <f aca="false">TEXT(Estimates!F12,"0.000")&amp;IF(Estimates!I12="","",IF(Estimates!I12&lt;0.01,"***",IF(Estimates!I12&lt;0.05,"**",IF(Estimates!I12&lt;0.1,"*",""))))</f>
        <v>0.003</v>
      </c>
      <c r="D23" s="8" t="str">
        <f aca="false">TEXT(Estimates!J12,"0.000")&amp;IF(Estimates!M12="","",IF(Estimates!M12&lt;0.01,"***",IF(Estimates!M12&lt;0.05,"**",IF(Estimates!M12&lt;0.1,"*",""))))</f>
        <v>-0.647*</v>
      </c>
      <c r="E23" s="8" t="str">
        <f aca="false">TEXT(Estimates!N12,"0.000")&amp;IF(Estimates!Q12="","",IF(Estimates!Q12&lt;0.01,"***",IF(Estimates!Q12&lt;0.05,"**",IF(Estimates!Q12&lt;0.1,"*",""))))</f>
        <v>-1.699***</v>
      </c>
      <c r="F23" s="8" t="str">
        <f aca="false">TEXT(Estimates!R12,"0.000")&amp;IF(Estimates!U12="","",IF(Estimates!U12&lt;0.01,"***",IF(Estimates!U12&lt;0.05,"**",IF(Estimates!U12&lt;0.1,"*",""))))</f>
        <v>-2.055***</v>
      </c>
    </row>
    <row r="24" customFormat="false" ht="15" hidden="false" customHeight="false" outlineLevel="0" collapsed="false">
      <c r="B24" s="8" t="str">
        <f aca="false">IF(Estimates!D12="","(n/a)","("&amp;TEXT(Estimates!D12,"0.00")&amp;")")</f>
        <v>(-0.09)</v>
      </c>
      <c r="C24" s="8" t="str">
        <f aca="false">IF(Estimates!H12="","(n/a)","("&amp;TEXT(Estimates!H12,"0.00")&amp;")")</f>
        <v>(0.03)</v>
      </c>
      <c r="D24" s="8" t="str">
        <f aca="false">IF(Estimates!L12="","(n/a)","("&amp;TEXT(Estimates!L12,"0.00")&amp;")")</f>
        <v>(-2.02)</v>
      </c>
      <c r="E24" s="8" t="str">
        <f aca="false">IF(Estimates!P12="","(n/a)","("&amp;TEXT(Estimates!P12,"0.00")&amp;")")</f>
        <v>(-3.74)</v>
      </c>
      <c r="F24" s="8" t="str">
        <f aca="false">IF(Estimates!T12="","(n/a)","("&amp;TEXT(Estimates!T12,"0.00")&amp;")")</f>
        <v>(-4.04)</v>
      </c>
    </row>
    <row r="25" customFormat="false" ht="15" hidden="false" customHeight="false" outlineLevel="0" collapsed="false">
      <c r="A25" s="7" t="s">
        <v>17</v>
      </c>
      <c r="B25" s="8" t="str">
        <f aca="false">TEXT(Estimates!B13,"0.000")&amp;IF(Estimates!E13="","",IF(Estimates!E13&lt;0.01,"***",IF(Estimates!E13&lt;0.05,"**",IF(Estimates!E13&lt;0.1,"*",""))))</f>
        <v>0.077</v>
      </c>
      <c r="C25" s="8" t="str">
        <f aca="false">TEXT(Estimates!F13,"0.000")&amp;IF(Estimates!I13="","",IF(Estimates!I13&lt;0.01,"***",IF(Estimates!I13&lt;0.05,"**",IF(Estimates!I13&lt;0.1,"*",""))))</f>
        <v>0.105</v>
      </c>
      <c r="D25" s="8" t="str">
        <f aca="false">TEXT(Estimates!J13,"0.000")&amp;IF(Estimates!M13="","",IF(Estimates!M13&lt;0.01,"***",IF(Estimates!M13&lt;0.05,"**",IF(Estimates!M13&lt;0.1,"*",""))))</f>
        <v>-0.253</v>
      </c>
      <c r="E25" s="8" t="str">
        <f aca="false">TEXT(Estimates!N13,"0.000")&amp;IF(Estimates!Q13="","",IF(Estimates!Q13&lt;0.01,"***",IF(Estimates!Q13&lt;0.05,"**",IF(Estimates!Q13&lt;0.1,"*",""))))</f>
        <v>-1.527</v>
      </c>
      <c r="F25" s="8" t="str">
        <f aca="false">TEXT(Estimates!R13,"0.000")&amp;IF(Estimates!U13="","",IF(Estimates!U13&lt;0.01,"***",IF(Estimates!U13&lt;0.05,"**",IF(Estimates!U13&lt;0.1,"*",""))))</f>
        <v>-2.017*</v>
      </c>
    </row>
    <row r="26" customFormat="false" ht="15" hidden="false" customHeight="false" outlineLevel="0" collapsed="false">
      <c r="B26" s="8" t="str">
        <f aca="false">IF(Estimates!D13="","(n/a)","("&amp;TEXT(Estimates!D13,"0.00")&amp;")")</f>
        <v>(0.59)</v>
      </c>
      <c r="C26" s="8" t="str">
        <f aca="false">IF(Estimates!H13="","(n/a)","("&amp;TEXT(Estimates!H13,"0.00")&amp;")")</f>
        <v>(1.14)</v>
      </c>
      <c r="D26" s="8" t="str">
        <f aca="false">IF(Estimates!L13="","(n/a)","("&amp;TEXT(Estimates!L13,"0.00")&amp;")")</f>
        <v>(-0.22)</v>
      </c>
      <c r="E26" s="8" t="str">
        <f aca="false">IF(Estimates!P13="","(n/a)","("&amp;TEXT(Estimates!P13,"0.00")&amp;")")</f>
        <v>(-1.39)</v>
      </c>
      <c r="F26" s="8" t="str">
        <f aca="false">IF(Estimates!T13="","(n/a)","("&amp;TEXT(Estimates!T13,"0.00")&amp;")")</f>
        <v>(-1.86)</v>
      </c>
    </row>
    <row r="27" customFormat="false" ht="15" hidden="false" customHeight="false" outlineLevel="0" collapsed="false">
      <c r="A27" s="7" t="s">
        <v>18</v>
      </c>
      <c r="B27" s="8" t="str">
        <f aca="false">TEXT(Estimates!B14,"0.000")&amp;IF(Estimates!E14="","",IF(Estimates!E14&lt;0.01,"***",IF(Estimates!E14&lt;0.05,"**",IF(Estimates!E14&lt;0.1,"*",""))))</f>
        <v>-0.027</v>
      </c>
      <c r="C27" s="8" t="str">
        <f aca="false">TEXT(Estimates!F14,"0.000")&amp;IF(Estimates!I14="","",IF(Estimates!I14&lt;0.01,"***",IF(Estimates!I14&lt;0.05,"**",IF(Estimates!I14&lt;0.1,"*",""))))</f>
        <v>-0.015</v>
      </c>
      <c r="D27" s="8" t="str">
        <f aca="false">TEXT(Estimates!J14,"0.000")&amp;IF(Estimates!M14="","",IF(Estimates!M14&lt;0.01,"***",IF(Estimates!M14&lt;0.05,"**",IF(Estimates!M14&lt;0.1,"*",""))))</f>
        <v>-0.702*</v>
      </c>
      <c r="E27" s="8" t="str">
        <f aca="false">TEXT(Estimates!N14,"0.000")&amp;IF(Estimates!Q14="","",IF(Estimates!Q14&lt;0.01,"***",IF(Estimates!Q14&lt;0.05,"**",IF(Estimates!Q14&lt;0.1,"*",""))))</f>
        <v>-1.535***</v>
      </c>
      <c r="F27" s="8" t="str">
        <f aca="false">TEXT(Estimates!R14,"0.000")&amp;IF(Estimates!U14="","",IF(Estimates!U14&lt;0.01,"***",IF(Estimates!U14&lt;0.05,"**",IF(Estimates!U14&lt;0.1,"*",""))))</f>
        <v>-1.670***</v>
      </c>
    </row>
    <row r="28" customFormat="false" ht="15" hidden="false" customHeight="false" outlineLevel="0" collapsed="false">
      <c r="B28" s="8" t="str">
        <f aca="false">IF(Estimates!D14="","(n/a)","("&amp;TEXT(Estimates!D14,"0.00")&amp;")")</f>
        <v>(-0.26)</v>
      </c>
      <c r="C28" s="8" t="str">
        <f aca="false">IF(Estimates!H14="","(n/a)","("&amp;TEXT(Estimates!H14,"0.00")&amp;")")</f>
        <v>(-0.14)</v>
      </c>
      <c r="D28" s="8" t="str">
        <f aca="false">IF(Estimates!L14="","(n/a)","("&amp;TEXT(Estimates!L14,"0.00")&amp;")")</f>
        <v>(-1.81)</v>
      </c>
      <c r="E28" s="8" t="str">
        <f aca="false">IF(Estimates!P14="","(n/a)","("&amp;TEXT(Estimates!P14,"0.00")&amp;")")</f>
        <v>(-3.88)</v>
      </c>
      <c r="F28" s="8" t="str">
        <f aca="false">IF(Estimates!T14="","(n/a)","("&amp;TEXT(Estimates!T14,"0.00")&amp;")")</f>
        <v>(-4.61)</v>
      </c>
    </row>
    <row r="29" customFormat="false" ht="15" hidden="false" customHeight="false" outlineLevel="0" collapsed="false">
      <c r="A29" s="7" t="s">
        <v>19</v>
      </c>
      <c r="B29" s="8" t="str">
        <f aca="false">TEXT(Estimates!B15,"0.000")&amp;IF(Estimates!E15="","",IF(Estimates!E15&lt;0.01,"***",IF(Estimates!E15&lt;0.05,"**",IF(Estimates!E15&lt;0.1,"*",""))))</f>
        <v>0.033</v>
      </c>
      <c r="C29" s="8" t="str">
        <f aca="false">TEXT(Estimates!F15,"0.000")&amp;IF(Estimates!I15="","",IF(Estimates!I15&lt;0.01,"***",IF(Estimates!I15&lt;0.05,"**",IF(Estimates!I15&lt;0.1,"*",""))))</f>
        <v>0.076</v>
      </c>
      <c r="D29" s="8" t="str">
        <f aca="false">TEXT(Estimates!J15,"0.000")&amp;IF(Estimates!M15="","",IF(Estimates!M15&lt;0.01,"***",IF(Estimates!M15&lt;0.05,"**",IF(Estimates!M15&lt;0.1,"*",""))))</f>
        <v>-0.499</v>
      </c>
      <c r="E29" s="8" t="str">
        <f aca="false">TEXT(Estimates!N15,"0.000")&amp;IF(Estimates!Q15="","",IF(Estimates!Q15&lt;0.01,"***",IF(Estimates!Q15&lt;0.05,"**",IF(Estimates!Q15&lt;0.1,"*",""))))</f>
        <v>-1.514***</v>
      </c>
      <c r="F29" s="8" t="str">
        <f aca="false">TEXT(Estimates!R15,"0.000")&amp;IF(Estimates!U15="","",IF(Estimates!U15&lt;0.01,"***",IF(Estimates!U15&lt;0.05,"**",IF(Estimates!U15&lt;0.1,"*",""))))</f>
        <v>-2.031***</v>
      </c>
    </row>
    <row r="30" customFormat="false" ht="15" hidden="false" customHeight="false" outlineLevel="0" collapsed="false">
      <c r="B30" s="8" t="str">
        <f aca="false">IF(Estimates!D15="","(n/a)","("&amp;TEXT(Estimates!D15,"0.00")&amp;")")</f>
        <v>(0.28)</v>
      </c>
      <c r="C30" s="8" t="str">
        <f aca="false">IF(Estimates!H15="","(n/a)","("&amp;TEXT(Estimates!H15,"0.00")&amp;")")</f>
        <v>(0.52)</v>
      </c>
      <c r="D30" s="8" t="str">
        <f aca="false">IF(Estimates!L15="","(n/a)","("&amp;TEXT(Estimates!L15,"0.00")&amp;")")</f>
        <v>(-1.25)</v>
      </c>
      <c r="E30" s="8" t="str">
        <f aca="false">IF(Estimates!P15="","(n/a)","("&amp;TEXT(Estimates!P15,"0.00")&amp;")")</f>
        <v>(-3.46)</v>
      </c>
      <c r="F30" s="8" t="str">
        <f aca="false">IF(Estimates!T15="","(n/a)","("&amp;TEXT(Estimates!T15,"0.00")&amp;")")</f>
        <v>(-3.87)</v>
      </c>
    </row>
    <row r="31" customFormat="false" ht="15" hidden="false" customHeight="false" outlineLevel="0" collapsed="false">
      <c r="A31" s="7" t="s">
        <v>20</v>
      </c>
      <c r="B31" s="8" t="str">
        <f aca="false">TEXT(Estimates!B16,"0.000")&amp;IF(Estimates!E16="","",IF(Estimates!E16&lt;0.01,"***",IF(Estimates!E16&lt;0.05,"**",IF(Estimates!E16&lt;0.1,"*",""))))</f>
        <v>0.435</v>
      </c>
      <c r="C31" s="8" t="str">
        <f aca="false">TEXT(Estimates!F16,"0.000")&amp;IF(Estimates!I16="","",IF(Estimates!I16&lt;0.01,"***",IF(Estimates!I16&lt;0.05,"**",IF(Estimates!I16&lt;0.1,"*",""))))</f>
        <v>0.412</v>
      </c>
      <c r="E31" s="8" t="str">
        <f aca="false">TEXT(Estimates!N16,"0.000")&amp;IF(Estimates!Q16="","",IF(Estimates!Q16&lt;0.01,"***",IF(Estimates!Q16&lt;0.05,"**",IF(Estimates!Q16&lt;0.1,"*",""))))</f>
        <v>0.550</v>
      </c>
    </row>
    <row r="32" customFormat="false" ht="15" hidden="false" customHeight="false" outlineLevel="0" collapsed="false">
      <c r="B32" s="8" t="str">
        <f aca="false">IF(Estimates!D16="","(n/a)","("&amp;TEXT(Estimates!D16,"0.00")&amp;")")</f>
        <v>(1.06)</v>
      </c>
      <c r="C32" s="8" t="str">
        <f aca="false">IF(Estimates!H16="","(n/a)","("&amp;TEXT(Estimates!H16,"0.00")&amp;")")</f>
        <v>(1.28)</v>
      </c>
      <c r="E32" s="8" t="str">
        <f aca="false">IF(Estimates!P16="","(n/a)","("&amp;TEXT(Estimates!P16,"0.00")&amp;")")</f>
        <v>(0.00)</v>
      </c>
    </row>
    <row r="33" customFormat="false" ht="15" hidden="false" customHeight="false" outlineLevel="0" collapsed="false">
      <c r="A33" s="7" t="s">
        <v>21</v>
      </c>
      <c r="C33" s="8" t="str">
        <f aca="false">TEXT(Estimates!F17,"0.000")&amp;IF(Estimates!I17="","",IF(Estimates!I17&lt;0.01,"***",IF(Estimates!I17&lt;0.05,"**",IF(Estimates!I17&lt;0.1,"*",""))))</f>
        <v>-0.122</v>
      </c>
      <c r="D33" s="8" t="str">
        <f aca="false">TEXT(Estimates!J17,"0.000")&amp;IF(Estimates!M17="","",IF(Estimates!M17&lt;0.01,"***",IF(Estimates!M17&lt;0.05,"**",IF(Estimates!M17&lt;0.1,"*",""))))</f>
        <v>0.733</v>
      </c>
    </row>
    <row r="34" customFormat="false" ht="15" hidden="false" customHeight="false" outlineLevel="0" collapsed="false">
      <c r="C34" s="8" t="str">
        <f aca="false">IF(Estimates!H17="","(n/a)","("&amp;TEXT(Estimates!H17,"0.00")&amp;")")</f>
        <v>(-0.12)</v>
      </c>
      <c r="D34" s="8" t="str">
        <f aca="false">IF(Estimates!L17="","(n/a)","("&amp;TEXT(Estimates!L17,"0.00")&amp;")")</f>
        <v>(0.40)</v>
      </c>
    </row>
    <row r="35" customFormat="false" ht="15" hidden="false" customHeight="false" outlineLevel="0" collapsed="false">
      <c r="A35" s="7" t="s">
        <v>22</v>
      </c>
      <c r="C35" s="8" t="str">
        <f aca="false">TEXT(Estimates!F18,"0.000")&amp;IF(Estimates!I18="","",IF(Estimates!I18&lt;0.01,"***",IF(Estimates!I18&lt;0.05,"**",IF(Estimates!I18&lt;0.1,"*",""))))</f>
        <v>0.031</v>
      </c>
      <c r="D35" s="8" t="str">
        <f aca="false">TEXT(Estimates!J18,"0.000")&amp;IF(Estimates!M18="","",IF(Estimates!M18&lt;0.01,"***",IF(Estimates!M18&lt;0.05,"**",IF(Estimates!M18&lt;0.1,"*",""))))</f>
        <v>0.025</v>
      </c>
    </row>
    <row r="36" customFormat="false" ht="15" hidden="false" customHeight="false" outlineLevel="0" collapsed="false">
      <c r="C36" s="8" t="str">
        <f aca="false">IF(Estimates!H18="","(n/a)","("&amp;TEXT(Estimates!H18,"0.00")&amp;")")</f>
        <v>(0.17)</v>
      </c>
      <c r="D36" s="8" t="str">
        <f aca="false">IF(Estimates!L18="","(n/a)","("&amp;TEXT(Estimates!L18,"0.00")&amp;")")</f>
        <v>(0.07)</v>
      </c>
    </row>
    <row r="37" customFormat="false" ht="15" hidden="false" customHeight="false" outlineLevel="0" collapsed="false">
      <c r="A37" s="7" t="s">
        <v>23</v>
      </c>
      <c r="C37" s="8" t="str">
        <f aca="false">TEXT(Estimates!F19,"0.000")&amp;IF(Estimates!I19="","",IF(Estimates!I19&lt;0.01,"***",IF(Estimates!I19&lt;0.05,"**",IF(Estimates!I19&lt;0.1,"*",""))))</f>
        <v>-0.034</v>
      </c>
      <c r="D37" s="8" t="str">
        <f aca="false">TEXT(Estimates!J19,"0.000")&amp;IF(Estimates!M19="","",IF(Estimates!M19&lt;0.01,"***",IF(Estimates!M19&lt;0.05,"**",IF(Estimates!M19&lt;0.1,"*",""))))</f>
        <v>-0.136</v>
      </c>
    </row>
    <row r="38" customFormat="false" ht="15" hidden="false" customHeight="false" outlineLevel="0" collapsed="false">
      <c r="C38" s="8" t="str">
        <f aca="false">IF(Estimates!H19="","(n/a)","("&amp;TEXT(Estimates!H19,"0.00")&amp;")")</f>
        <v>(-0.18)</v>
      </c>
      <c r="D38" s="8" t="str">
        <f aca="false">IF(Estimates!L19="","(n/a)","("&amp;TEXT(Estimates!L19,"0.00")&amp;")")</f>
        <v>(-0.16)</v>
      </c>
    </row>
    <row r="39" customFormat="false" ht="15" hidden="false" customHeight="false" outlineLevel="0" collapsed="false">
      <c r="A39" s="7" t="s">
        <v>24</v>
      </c>
      <c r="C39" s="8" t="str">
        <f aca="false">TEXT(Estimates!F20,"0.000")&amp;IF(Estimates!I20="","",IF(Estimates!I20&lt;0.01,"***",IF(Estimates!I20&lt;0.05,"**",IF(Estimates!I20&lt;0.1,"*",""))))</f>
        <v>-0.134</v>
      </c>
      <c r="D39" s="8" t="str">
        <f aca="false">TEXT(Estimates!J20,"0.000")&amp;IF(Estimates!M20="","",IF(Estimates!M20&lt;0.01,"***",IF(Estimates!M20&lt;0.05,"**",IF(Estimates!M20&lt;0.1,"*",""))))</f>
        <v>0.158</v>
      </c>
    </row>
    <row r="40" customFormat="false" ht="15" hidden="false" customHeight="false" outlineLevel="0" collapsed="false">
      <c r="C40" s="8" t="str">
        <f aca="false">IF(Estimates!H20="","(n/a)","("&amp;TEXT(Estimates!H20,"0.00")&amp;")")</f>
        <v>(-0.71)</v>
      </c>
      <c r="D40" s="8" t="str">
        <f aca="false">IF(Estimates!L20="","(n/a)","("&amp;TEXT(Estimates!L20,"0.00")&amp;")")</f>
        <v>(0.31)</v>
      </c>
    </row>
    <row r="41" customFormat="false" ht="15" hidden="false" customHeight="false" outlineLevel="0" collapsed="false">
      <c r="A41" s="7" t="s">
        <v>25</v>
      </c>
      <c r="C41" s="8" t="str">
        <f aca="false">TEXT(Estimates!F21,"0.000")&amp;IF(Estimates!I21="","",IF(Estimates!I21&lt;0.01,"***",IF(Estimates!I21&lt;0.05,"**",IF(Estimates!I21&lt;0.1,"*",""))))</f>
        <v>0.240</v>
      </c>
    </row>
    <row r="42" customFormat="false" ht="15" hidden="false" customHeight="false" outlineLevel="0" collapsed="false">
      <c r="C42" s="8" t="str">
        <f aca="false">IF(Estimates!H21="","(n/a)","("&amp;TEXT(Estimates!H21,"0.00")&amp;")")</f>
        <v>(0.76)</v>
      </c>
    </row>
    <row r="43" customFormat="false" ht="15" hidden="false" customHeight="false" outlineLevel="0" collapsed="false">
      <c r="A43" s="7" t="s">
        <v>26</v>
      </c>
      <c r="C43" s="8" t="str">
        <f aca="false">TEXT(Estimates!F22,"0.000")&amp;IF(Estimates!I22="","",IF(Estimates!I22&lt;0.01,"***",IF(Estimates!I22&lt;0.05,"**",IF(Estimates!I22&lt;0.1,"*",""))))</f>
        <v>0.034</v>
      </c>
      <c r="D43" s="8" t="str">
        <f aca="false">TEXT(Estimates!J22,"0.000")&amp;IF(Estimates!M22="","",IF(Estimates!M22&lt;0.01,"***",IF(Estimates!M22&lt;0.05,"**",IF(Estimates!M22&lt;0.1,"*",""))))</f>
        <v>2.560</v>
      </c>
    </row>
    <row r="44" customFormat="false" ht="15" hidden="false" customHeight="false" outlineLevel="0" collapsed="false">
      <c r="C44" s="8" t="str">
        <f aca="false">IF(Estimates!H22="","(n/a)","("&amp;TEXT(Estimates!H22,"0.00")&amp;")")</f>
        <v>(0.05)</v>
      </c>
      <c r="D44" s="8" t="str">
        <f aca="false">IF(Estimates!L22="","(n/a)","("&amp;TEXT(Estimates!L22,"0.00")&amp;")")</f>
        <v>(0.56)</v>
      </c>
    </row>
    <row r="46" customFormat="false" ht="15" hidden="false" customHeight="false" outlineLevel="0" collapsed="false">
      <c r="A46" s="7" t="s">
        <v>27</v>
      </c>
      <c r="B46" s="9" t="n">
        <f aca="false">Estimates!B24</f>
        <v>299</v>
      </c>
      <c r="C46" s="9" t="n">
        <f aca="false">Estimates!F24</f>
        <v>274</v>
      </c>
      <c r="D46" s="9" t="n">
        <f aca="false">Estimates!J24</f>
        <v>273</v>
      </c>
      <c r="E46" s="9" t="n">
        <f aca="false">Estimates!N24</f>
        <v>282</v>
      </c>
      <c r="F46" s="9" t="n">
        <f aca="false">Estimates!R24</f>
        <v>190</v>
      </c>
    </row>
    <row r="47" customFormat="false" ht="15" hidden="false" customHeight="false" outlineLevel="0" collapsed="false">
      <c r="A47" s="7" t="s">
        <v>28</v>
      </c>
      <c r="B47" s="10" t="n">
        <f aca="false">Estimates!B27</f>
        <v>0.0809563166695329</v>
      </c>
      <c r="C47" s="10" t="n">
        <f aca="false">Estimates!F27</f>
        <v>0.0448842191769954</v>
      </c>
      <c r="D47" s="10" t="n">
        <f aca="false">Estimates!J27</f>
        <v>-0.00314750111602247</v>
      </c>
      <c r="E47" s="10" t="n">
        <f aca="false">Estimates!N27</f>
        <v>0.0429121100778203</v>
      </c>
      <c r="F47" s="10" t="n">
        <f aca="false">Estimates!R27</f>
        <v>0.115082556475385</v>
      </c>
    </row>
    <row r="48" customFormat="false" ht="15" hidden="false" customHeight="false" outlineLevel="0" collapsed="false">
      <c r="A48" s="7" t="s">
        <v>44</v>
      </c>
      <c r="B48" s="14" t="n">
        <f aca="false">Estimates!B28</f>
        <v>43</v>
      </c>
      <c r="C48" s="14" t="n">
        <f aca="false">Estimates!F28</f>
        <v>41</v>
      </c>
      <c r="D48" s="14" t="n">
        <f aca="false">Estimates!J28</f>
        <v>41</v>
      </c>
      <c r="E48" s="14" t="n">
        <f aca="false">Estimates!N28</f>
        <v>43</v>
      </c>
      <c r="F48" s="14" t="n">
        <f aca="false">Estimates!R28</f>
        <v>24</v>
      </c>
    </row>
    <row r="49" customFormat="false" ht="15" hidden="false" customHeight="false" outlineLevel="0" collapsed="false">
      <c r="A49" s="7" t="s">
        <v>29</v>
      </c>
      <c r="B49" s="11" t="s">
        <v>30</v>
      </c>
      <c r="C49" s="11" t="s">
        <v>30</v>
      </c>
      <c r="D49" s="11" t="s">
        <v>31</v>
      </c>
      <c r="E49" s="11" t="s">
        <v>30</v>
      </c>
      <c r="F49" s="11" t="s">
        <v>30</v>
      </c>
    </row>
    <row r="50" customFormat="false" ht="15" hidden="false" customHeight="false" outlineLevel="0" collapsed="false">
      <c r="A50" s="7" t="s">
        <v>32</v>
      </c>
      <c r="B50" s="11" t="s">
        <v>31</v>
      </c>
      <c r="C50" s="11" t="s">
        <v>31</v>
      </c>
      <c r="D50" s="11" t="s">
        <v>31</v>
      </c>
      <c r="E50" s="11" t="s">
        <v>31</v>
      </c>
      <c r="F50" s="11" t="s">
        <v>31</v>
      </c>
    </row>
    <row r="51" customFormat="false" ht="15" hidden="false" customHeight="false" outlineLevel="0" collapsed="false">
      <c r="A51" s="7" t="s">
        <v>45</v>
      </c>
      <c r="B51" s="11" t="s">
        <v>30</v>
      </c>
      <c r="C51" s="11" t="s">
        <v>30</v>
      </c>
      <c r="D51" s="11" t="s">
        <v>30</v>
      </c>
      <c r="E51" s="11" t="s">
        <v>31</v>
      </c>
      <c r="F51" s="11" t="s">
        <v>31</v>
      </c>
    </row>
    <row r="52" customFormat="false" ht="15" hidden="false" customHeight="false" outlineLevel="0" collapsed="false">
      <c r="A52" s="12" t="s">
        <v>46</v>
      </c>
      <c r="B52" s="6"/>
      <c r="C52" s="6"/>
      <c r="D52" s="6"/>
      <c r="E52" s="6"/>
      <c r="F52" s="6" t="s">
        <v>47</v>
      </c>
    </row>
    <row r="55" customFormat="false" ht="15" hidden="false" customHeight="false" outlineLevel="0" collapsed="false">
      <c r="A55" s="1" t="s">
        <v>34</v>
      </c>
    </row>
    <row r="56" customFormat="false" ht="15" hidden="false" customHeight="false" outlineLevel="0" collapsed="false">
      <c r="A56" s="3"/>
      <c r="B56" s="4" t="s">
        <v>3</v>
      </c>
      <c r="C56" s="4" t="s">
        <v>4</v>
      </c>
      <c r="D56" s="4" t="s">
        <v>5</v>
      </c>
      <c r="E56" s="4" t="s">
        <v>41</v>
      </c>
      <c r="F56" s="4" t="s">
        <v>42</v>
      </c>
    </row>
    <row r="57" customFormat="false" ht="23.85" hidden="false" customHeight="false" outlineLevel="0" collapsed="false">
      <c r="A57" s="5"/>
      <c r="B57" s="6" t="s">
        <v>35</v>
      </c>
      <c r="C57" s="6" t="s">
        <v>35</v>
      </c>
      <c r="D57" s="6" t="s">
        <v>35</v>
      </c>
      <c r="E57" s="6" t="s">
        <v>35</v>
      </c>
      <c r="F57" s="6" t="s">
        <v>35</v>
      </c>
    </row>
    <row r="58" customFormat="false" ht="15" hidden="false" customHeight="false" outlineLevel="0" collapsed="false">
      <c r="A58" s="7" t="s">
        <v>43</v>
      </c>
      <c r="B58" s="8" t="str">
        <f aca="false">TEXT(Estimates!V4,"0.000")&amp;IF(Estimates!Y4="","",IF(Estimates!Y4&lt;0.01,"***",IF(Estimates!Y4&lt;0.05,"**",IF(Estimates!Y4&lt;0.1,"*",""))))</f>
        <v>0.097</v>
      </c>
      <c r="C58" s="8" t="str">
        <f aca="false">TEXT(Estimates!Z4,"0.000")&amp;IF(Estimates!AC4="","",IF(Estimates!AC4&lt;0.01,"***",IF(Estimates!AC4&lt;0.05,"**",IF(Estimates!AC4&lt;0.1,"*",""))))</f>
        <v>0.359</v>
      </c>
      <c r="D58" s="8" t="str">
        <f aca="false">TEXT(Estimates!AD4,"0.000")&amp;IF(Estimates!AG4="","",IF(Estimates!AG4&lt;0.01,"***",IF(Estimates!AG4&lt;0.05,"**",IF(Estimates!AG4&lt;0.1,"*",""))))</f>
        <v>0.565*</v>
      </c>
      <c r="E58" s="8" t="str">
        <f aca="false">TEXT(Estimates!AH4,"0.000")&amp;IF(Estimates!AK4="","",IF(Estimates!AK4&lt;0.01,"***",IF(Estimates!AK4&lt;0.05,"**",IF(Estimates!AK4&lt;0.1,"*",""))))</f>
        <v>-0.164</v>
      </c>
      <c r="F58" s="8" t="str">
        <f aca="false">TEXT(Estimates!AL4,"0.000")&amp;IF(Estimates!AO4="","",IF(Estimates!AO4&lt;0.01,"***",IF(Estimates!AO4&lt;0.05,"**",IF(Estimates!AO4&lt;0.1,"*",""))))</f>
        <v>0.002</v>
      </c>
    </row>
    <row r="59" customFormat="false" ht="15" hidden="false" customHeight="false" outlineLevel="0" collapsed="false">
      <c r="B59" s="8" t="str">
        <f aca="false">IF(Estimates!X4="","(n/a)","("&amp;TEXT(Estimates!X4,"0.00")&amp;")")</f>
        <v>(0.39)</v>
      </c>
      <c r="C59" s="8" t="str">
        <f aca="false">IF(Estimates!AB4="","(n/a)","("&amp;TEXT(Estimates!AB4,"0.00")&amp;")")</f>
        <v>(1.22)</v>
      </c>
      <c r="D59" s="8" t="str">
        <f aca="false">IF(Estimates!AF4="","(n/a)","("&amp;TEXT(Estimates!AF4,"0.00")&amp;")")</f>
        <v>(2.01)</v>
      </c>
      <c r="E59" s="8" t="str">
        <f aca="false">IF(Estimates!AJ4="","(n/a)","("&amp;TEXT(Estimates!AJ4,"0.00")&amp;")")</f>
        <v>(-0.46)</v>
      </c>
      <c r="F59" s="8" t="str">
        <f aca="false">IF(Estimates!AN4="","(n/a)","("&amp;TEXT(Estimates!AN4,"0.00")&amp;")")</f>
        <v>(0.00)</v>
      </c>
    </row>
    <row r="60" customFormat="false" ht="15" hidden="false" customHeight="false" outlineLevel="0" collapsed="false">
      <c r="A60" s="7" t="s">
        <v>9</v>
      </c>
      <c r="B60" s="8" t="str">
        <f aca="false">TEXT(Estimates!V5,"0.000")&amp;IF(Estimates!Y5="","",IF(Estimates!Y5&lt;0.01,"***",IF(Estimates!Y5&lt;0.05,"**",IF(Estimates!Y5&lt;0.1,"*",""))))</f>
        <v>0.136</v>
      </c>
      <c r="C60" s="8" t="str">
        <f aca="false">TEXT(Estimates!Z5,"0.000")&amp;IF(Estimates!AC5="","",IF(Estimates!AC5&lt;0.01,"***",IF(Estimates!AC5&lt;0.05,"**",IF(Estimates!AC5&lt;0.1,"*",""))))</f>
        <v>0.050</v>
      </c>
      <c r="D60" s="8" t="str">
        <f aca="false">TEXT(Estimates!AD5,"0.000")&amp;IF(Estimates!AG5="","",IF(Estimates!AG5&lt;0.01,"***",IF(Estimates!AG5&lt;0.05,"**",IF(Estimates!AG5&lt;0.1,"*",""))))</f>
        <v>0.015</v>
      </c>
      <c r="E60" s="8" t="str">
        <f aca="false">TEXT(Estimates!AH5,"0.000")&amp;IF(Estimates!AK5="","",IF(Estimates!AK5&lt;0.01,"***",IF(Estimates!AK5&lt;0.05,"**",IF(Estimates!AK5&lt;0.1,"*",""))))</f>
        <v>-0.132</v>
      </c>
      <c r="F60" s="8" t="str">
        <f aca="false">TEXT(Estimates!AL5,"0.000")&amp;IF(Estimates!AO5="","",IF(Estimates!AO5&lt;0.01,"***",IF(Estimates!AO5&lt;0.05,"**",IF(Estimates!AO5&lt;0.1,"*",""))))</f>
        <v>0.060</v>
      </c>
    </row>
    <row r="61" customFormat="false" ht="15" hidden="false" customHeight="false" outlineLevel="0" collapsed="false">
      <c r="B61" s="8" t="str">
        <f aca="false">IF(Estimates!X5="","(n/a)","("&amp;TEXT(Estimates!X5,"0.00")&amp;")")</f>
        <v>(0.63)</v>
      </c>
      <c r="C61" s="8" t="str">
        <f aca="false">IF(Estimates!AB5="","(n/a)","("&amp;TEXT(Estimates!AB5,"0.00")&amp;")")</f>
        <v>(0.24)</v>
      </c>
      <c r="D61" s="8" t="str">
        <f aca="false">IF(Estimates!AF5="","(n/a)","("&amp;TEXT(Estimates!AF5,"0.00")&amp;")")</f>
        <v>(0.08)</v>
      </c>
      <c r="E61" s="8" t="str">
        <f aca="false">IF(Estimates!AJ5="","(n/a)","("&amp;TEXT(Estimates!AJ5,"0.00")&amp;")")</f>
        <v>(-1.24)</v>
      </c>
      <c r="F61" s="8" t="str">
        <f aca="false">IF(Estimates!AN5="","(n/a)","("&amp;TEXT(Estimates!AN5,"0.00")&amp;")")</f>
        <v>(0.46)</v>
      </c>
    </row>
    <row r="62" customFormat="false" ht="15" hidden="false" customHeight="false" outlineLevel="0" collapsed="false">
      <c r="A62" s="7" t="s">
        <v>10</v>
      </c>
      <c r="B62" s="8" t="str">
        <f aca="false">TEXT(Estimates!V6,"0.000")&amp;IF(Estimates!Y6="","",IF(Estimates!Y6&lt;0.01,"***",IF(Estimates!Y6&lt;0.05,"**",IF(Estimates!Y6&lt;0.1,"*",""))))</f>
        <v>0.035</v>
      </c>
      <c r="C62" s="8" t="str">
        <f aca="false">TEXT(Estimates!Z6,"0.000")&amp;IF(Estimates!AC6="","",IF(Estimates!AC6&lt;0.01,"***",IF(Estimates!AC6&lt;0.05,"**",IF(Estimates!AC6&lt;0.1,"*",""))))</f>
        <v>-0.010</v>
      </c>
      <c r="D62" s="8" t="str">
        <f aca="false">TEXT(Estimates!AD6,"0.000")&amp;IF(Estimates!AG6="","",IF(Estimates!AG6&lt;0.01,"***",IF(Estimates!AG6&lt;0.05,"**",IF(Estimates!AG6&lt;0.1,"*",""))))</f>
        <v>0.336</v>
      </c>
      <c r="E62" s="8" t="str">
        <f aca="false">TEXT(Estimates!AH6,"0.000")&amp;IF(Estimates!AK6="","",IF(Estimates!AK6&lt;0.01,"***",IF(Estimates!AK6&lt;0.05,"**",IF(Estimates!AK6&lt;0.1,"*",""))))</f>
        <v>0.356</v>
      </c>
      <c r="F62" s="8" t="str">
        <f aca="false">TEXT(Estimates!AL6,"0.000")&amp;IF(Estimates!AO6="","",IF(Estimates!AO6&lt;0.01,"***",IF(Estimates!AO6&lt;0.05,"**",IF(Estimates!AO6&lt;0.1,"*",""))))</f>
        <v>1.443</v>
      </c>
    </row>
    <row r="63" customFormat="false" ht="15" hidden="false" customHeight="false" outlineLevel="0" collapsed="false">
      <c r="B63" s="8" t="str">
        <f aca="false">IF(Estimates!X6="","(n/a)","("&amp;TEXT(Estimates!X6,"0.00")&amp;")")</f>
        <v>(0.45)</v>
      </c>
      <c r="C63" s="8" t="str">
        <f aca="false">IF(Estimates!AB6="","(n/a)","("&amp;TEXT(Estimates!AB6,"0.00")&amp;")")</f>
        <v>(-0.10)</v>
      </c>
      <c r="D63" s="8" t="str">
        <f aca="false">IF(Estimates!AF6="","(n/a)","("&amp;TEXT(Estimates!AF6,"0.00")&amp;")")</f>
        <v>(0.42)</v>
      </c>
      <c r="E63" s="8" t="str">
        <f aca="false">IF(Estimates!AJ6="","(n/a)","("&amp;TEXT(Estimates!AJ6,"0.00")&amp;")")</f>
        <v>(0.40)</v>
      </c>
      <c r="F63" s="8" t="str">
        <f aca="false">IF(Estimates!AN6="","(n/a)","("&amp;TEXT(Estimates!AN6,"0.00")&amp;")")</f>
        <v>(1.66)</v>
      </c>
    </row>
    <row r="64" customFormat="false" ht="15" hidden="false" customHeight="false" outlineLevel="0" collapsed="false">
      <c r="A64" s="7" t="s">
        <v>11</v>
      </c>
      <c r="B64" s="8" t="str">
        <f aca="false">TEXT(Estimates!V7,"0.000")&amp;IF(Estimates!Y7="","",IF(Estimates!Y7&lt;0.01,"***",IF(Estimates!Y7&lt;0.05,"**",IF(Estimates!Y7&lt;0.1,"*",""))))</f>
        <v>-0.008</v>
      </c>
      <c r="C64" s="8" t="str">
        <f aca="false">TEXT(Estimates!Z7,"0.000")&amp;IF(Estimates!AC7="","",IF(Estimates!AC7&lt;0.01,"***",IF(Estimates!AC7&lt;0.05,"**",IF(Estimates!AC7&lt;0.1,"*",""))))</f>
        <v>-0.007</v>
      </c>
      <c r="D64" s="8" t="str">
        <f aca="false">TEXT(Estimates!AD7,"0.000")&amp;IF(Estimates!AG7="","",IF(Estimates!AG7&lt;0.01,"***",IF(Estimates!AG7&lt;0.05,"**",IF(Estimates!AG7&lt;0.1,"*",""))))</f>
        <v>-0.010</v>
      </c>
      <c r="E64" s="8" t="str">
        <f aca="false">TEXT(Estimates!AH7,"0.000")&amp;IF(Estimates!AK7="","",IF(Estimates!AK7&lt;0.01,"***",IF(Estimates!AK7&lt;0.05,"**",IF(Estimates!AK7&lt;0.1,"*",""))))</f>
        <v>-0.010</v>
      </c>
      <c r="F64" s="8" t="str">
        <f aca="false">TEXT(Estimates!AL7,"0.000")&amp;IF(Estimates!AO7="","",IF(Estimates!AO7&lt;0.01,"***",IF(Estimates!AO7&lt;0.05,"**",IF(Estimates!AO7&lt;0.1,"*",""))))</f>
        <v>-0.041</v>
      </c>
    </row>
    <row r="65" customFormat="false" ht="15" hidden="false" customHeight="false" outlineLevel="0" collapsed="false">
      <c r="B65" s="8" t="str">
        <f aca="false">IF(Estimates!X7="","(n/a)","("&amp;TEXT(Estimates!X7,"0.00")&amp;")")</f>
        <v>(-0.85)</v>
      </c>
      <c r="C65" s="8" t="str">
        <f aca="false">IF(Estimates!AB7="","(n/a)","("&amp;TEXT(Estimates!AB7,"0.00")&amp;")")</f>
        <v>(-1.07)</v>
      </c>
      <c r="D65" s="8" t="str">
        <f aca="false">IF(Estimates!AF7="","(n/a)","("&amp;TEXT(Estimates!AF7,"0.00")&amp;")")</f>
        <v>(-0.44)</v>
      </c>
      <c r="E65" s="8" t="str">
        <f aca="false">IF(Estimates!AJ7="","(n/a)","("&amp;TEXT(Estimates!AJ7,"0.00")&amp;")")</f>
        <v>(-0.37)</v>
      </c>
      <c r="F65" s="8" t="str">
        <f aca="false">IF(Estimates!AN7="","(n/a)","("&amp;TEXT(Estimates!AN7,"0.00")&amp;")")</f>
        <v>(-1.28)</v>
      </c>
    </row>
    <row r="66" customFormat="false" ht="15" hidden="false" customHeight="false" outlineLevel="0" collapsed="false">
      <c r="A66" s="7" t="s">
        <v>12</v>
      </c>
      <c r="B66" s="8" t="str">
        <f aca="false">TEXT(Estimates!V8,"0.000")&amp;IF(Estimates!Y8="","",IF(Estimates!Y8&lt;0.01,"***",IF(Estimates!Y8&lt;0.05,"**",IF(Estimates!Y8&lt;0.1,"*",""))))</f>
        <v>-0.344</v>
      </c>
      <c r="C66" s="8" t="str">
        <f aca="false">TEXT(Estimates!Z8,"0.000")&amp;IF(Estimates!AC8="","",IF(Estimates!AC8&lt;0.01,"***",IF(Estimates!AC8&lt;0.05,"**",IF(Estimates!AC8&lt;0.1,"*",""))))</f>
        <v>-0.198</v>
      </c>
      <c r="D66" s="8" t="str">
        <f aca="false">TEXT(Estimates!AD8,"0.000")&amp;IF(Estimates!AG8="","",IF(Estimates!AG8&lt;0.01,"***",IF(Estimates!AG8&lt;0.05,"**",IF(Estimates!AG8&lt;0.1,"*",""))))</f>
        <v>-0.560</v>
      </c>
      <c r="E66" s="8" t="str">
        <f aca="false">TEXT(Estimates!AH8,"0.000")&amp;IF(Estimates!AK8="","",IF(Estimates!AK8&lt;0.01,"***",IF(Estimates!AK8&lt;0.05,"**",IF(Estimates!AK8&lt;0.1,"*",""))))</f>
        <v>-0.887*</v>
      </c>
      <c r="F66" s="8" t="str">
        <f aca="false">TEXT(Estimates!AL8,"0.000")&amp;IF(Estimates!AO8="","",IF(Estimates!AO8&lt;0.01,"***",IF(Estimates!AO8&lt;0.05,"**",IF(Estimates!AO8&lt;0.1,"*",""))))</f>
        <v>-1.111*</v>
      </c>
    </row>
    <row r="67" customFormat="false" ht="15" hidden="false" customHeight="false" outlineLevel="0" collapsed="false">
      <c r="B67" s="8" t="str">
        <f aca="false">IF(Estimates!X8="","(n/a)","("&amp;TEXT(Estimates!X8,"0.00")&amp;")")</f>
        <v>(-1.48)</v>
      </c>
      <c r="C67" s="8" t="str">
        <f aca="false">IF(Estimates!AB8="","(n/a)","("&amp;TEXT(Estimates!AB8,"0.00")&amp;")")</f>
        <v>(-0.80)</v>
      </c>
      <c r="D67" s="8" t="str">
        <f aca="false">IF(Estimates!AF8="","(n/a)","("&amp;TEXT(Estimates!AF8,"0.00")&amp;")")</f>
        <v>(-1.09)</v>
      </c>
      <c r="E67" s="8" t="str">
        <f aca="false">IF(Estimates!AJ8="","(n/a)","("&amp;TEXT(Estimates!AJ8,"0.00")&amp;")")</f>
        <v>(-1.97)</v>
      </c>
      <c r="F67" s="8" t="str">
        <f aca="false">IF(Estimates!AN8="","(n/a)","("&amp;TEXT(Estimates!AN8,"0.00")&amp;")")</f>
        <v>(-1.80)</v>
      </c>
    </row>
    <row r="68" customFormat="false" ht="15" hidden="false" customHeight="false" outlineLevel="0" collapsed="false">
      <c r="A68" s="7" t="s">
        <v>13</v>
      </c>
      <c r="B68" s="8" t="str">
        <f aca="false">TEXT(Estimates!V9,"0.000")&amp;IF(Estimates!Y9="","",IF(Estimates!Y9&lt;0.01,"***",IF(Estimates!Y9&lt;0.05,"**",IF(Estimates!Y9&lt;0.1,"*",""))))</f>
        <v>-0.325</v>
      </c>
      <c r="C68" s="8" t="str">
        <f aca="false">TEXT(Estimates!Z9,"0.000")&amp;IF(Estimates!AC9="","",IF(Estimates!AC9&lt;0.01,"***",IF(Estimates!AC9&lt;0.05,"**",IF(Estimates!AC9&lt;0.1,"*",""))))</f>
        <v>-0.183</v>
      </c>
      <c r="D68" s="8" t="str">
        <f aca="false">TEXT(Estimates!AD9,"0.000")&amp;IF(Estimates!AG9="","",IF(Estimates!AG9&lt;0.01,"***",IF(Estimates!AG9&lt;0.05,"**",IF(Estimates!AG9&lt;0.1,"*",""))))</f>
        <v>-0.510</v>
      </c>
      <c r="E68" s="8" t="str">
        <f aca="false">TEXT(Estimates!AH9,"0.000")&amp;IF(Estimates!AK9="","",IF(Estimates!AK9&lt;0.01,"***",IF(Estimates!AK9&lt;0.05,"**",IF(Estimates!AK9&lt;0.1,"*",""))))</f>
        <v>-0.856*</v>
      </c>
      <c r="F68" s="8" t="str">
        <f aca="false">TEXT(Estimates!AL9,"0.000")&amp;IF(Estimates!AO9="","",IF(Estimates!AO9&lt;0.01,"***",IF(Estimates!AO9&lt;0.05,"**",IF(Estimates!AO9&lt;0.1,"*",""))))</f>
        <v>-1.082*</v>
      </c>
    </row>
    <row r="69" customFormat="false" ht="15" hidden="false" customHeight="false" outlineLevel="0" collapsed="false">
      <c r="B69" s="8" t="str">
        <f aca="false">IF(Estimates!X9="","(n/a)","("&amp;TEXT(Estimates!X9,"0.00")&amp;")")</f>
        <v>(-1.45)</v>
      </c>
      <c r="C69" s="8" t="str">
        <f aca="false">IF(Estimates!AB9="","(n/a)","("&amp;TEXT(Estimates!AB9,"0.00")&amp;")")</f>
        <v>(-0.84)</v>
      </c>
      <c r="D69" s="8" t="str">
        <f aca="false">IF(Estimates!AF9="","(n/a)","("&amp;TEXT(Estimates!AF9,"0.00")&amp;")")</f>
        <v>(-1.06)</v>
      </c>
      <c r="E69" s="8" t="str">
        <f aca="false">IF(Estimates!AJ9="","(n/a)","("&amp;TEXT(Estimates!AJ9,"0.00")&amp;")")</f>
        <v>(-1.97)</v>
      </c>
      <c r="F69" s="8" t="str">
        <f aca="false">IF(Estimates!AN9="","(n/a)","("&amp;TEXT(Estimates!AN9,"0.00")&amp;")")</f>
        <v>(-1.76)</v>
      </c>
    </row>
    <row r="70" customFormat="false" ht="15" hidden="false" customHeight="false" outlineLevel="0" collapsed="false">
      <c r="A70" s="7" t="s">
        <v>14</v>
      </c>
      <c r="B70" s="8" t="str">
        <f aca="false">TEXT(Estimates!V10,"0.000")&amp;IF(Estimates!Y10="","",IF(Estimates!Y10&lt;0.01,"***",IF(Estimates!Y10&lt;0.05,"**",IF(Estimates!Y10&lt;0.1,"*",""))))</f>
        <v>-0.334</v>
      </c>
      <c r="C70" s="8" t="str">
        <f aca="false">TEXT(Estimates!Z10,"0.000")&amp;IF(Estimates!AC10="","",IF(Estimates!AC10&lt;0.01,"***",IF(Estimates!AC10&lt;0.05,"**",IF(Estimates!AC10&lt;0.1,"*",""))))</f>
        <v>-0.175</v>
      </c>
      <c r="D70" s="8" t="str">
        <f aca="false">TEXT(Estimates!AD10,"0.000")&amp;IF(Estimates!AG10="","",IF(Estimates!AG10&lt;0.01,"***",IF(Estimates!AG10&lt;0.05,"**",IF(Estimates!AG10&lt;0.1,"*",""))))</f>
        <v>-0.471</v>
      </c>
      <c r="E70" s="8" t="str">
        <f aca="false">TEXT(Estimates!AH10,"0.000")&amp;IF(Estimates!AK10="","",IF(Estimates!AK10&lt;0.01,"***",IF(Estimates!AK10&lt;0.05,"**",IF(Estimates!AK10&lt;0.1,"*",""))))</f>
        <v>-1.017*</v>
      </c>
      <c r="F70" s="8" t="str">
        <f aca="false">TEXT(Estimates!AL10,"0.000")&amp;IF(Estimates!AO10="","",IF(Estimates!AO10&lt;0.01,"***",IF(Estimates!AO10&lt;0.05,"**",IF(Estimates!AO10&lt;0.1,"*",""))))</f>
        <v>-1.352*</v>
      </c>
    </row>
    <row r="71" customFormat="false" ht="15" hidden="false" customHeight="false" outlineLevel="0" collapsed="false">
      <c r="B71" s="8" t="str">
        <f aca="false">IF(Estimates!X10="","(n/a)","("&amp;TEXT(Estimates!X10,"0.00")&amp;")")</f>
        <v>(-1.40)</v>
      </c>
      <c r="C71" s="8" t="str">
        <f aca="false">IF(Estimates!AB10="","(n/a)","("&amp;TEXT(Estimates!AB10,"0.00")&amp;")")</f>
        <v>(-0.75)</v>
      </c>
      <c r="D71" s="8" t="str">
        <f aca="false">IF(Estimates!AF10="","(n/a)","("&amp;TEXT(Estimates!AF10,"0.00")&amp;")")</f>
        <v>(-1.01)</v>
      </c>
      <c r="E71" s="8" t="str">
        <f aca="false">IF(Estimates!AJ10="","(n/a)","("&amp;TEXT(Estimates!AJ10,"0.00")&amp;")")</f>
        <v>(-2.04)</v>
      </c>
      <c r="F71" s="8" t="str">
        <f aca="false">IF(Estimates!AN10="","(n/a)","("&amp;TEXT(Estimates!AN10,"0.00")&amp;")")</f>
        <v>(-1.89)</v>
      </c>
    </row>
    <row r="72" customFormat="false" ht="15" hidden="false" customHeight="false" outlineLevel="0" collapsed="false">
      <c r="A72" s="7" t="s">
        <v>15</v>
      </c>
      <c r="B72" s="8" t="str">
        <f aca="false">TEXT(Estimates!V11,"0.000")&amp;IF(Estimates!Y11="","",IF(Estimates!Y11&lt;0.01,"***",IF(Estimates!Y11&lt;0.05,"**",IF(Estimates!Y11&lt;0.1,"*",""))))</f>
        <v>-0.343</v>
      </c>
      <c r="C72" s="8" t="str">
        <f aca="false">TEXT(Estimates!Z11,"0.000")&amp;IF(Estimates!AC11="","",IF(Estimates!AC11&lt;0.01,"***",IF(Estimates!AC11&lt;0.05,"**",IF(Estimates!AC11&lt;0.1,"*",""))))</f>
        <v>-0.191</v>
      </c>
      <c r="D72" s="8" t="str">
        <f aca="false">TEXT(Estimates!AD11,"0.000")&amp;IF(Estimates!AG11="","",IF(Estimates!AG11&lt;0.01,"***",IF(Estimates!AG11&lt;0.05,"**",IF(Estimates!AG11&lt;0.1,"*",""))))</f>
        <v>-0.485</v>
      </c>
      <c r="E72" s="8" t="str">
        <f aca="false">TEXT(Estimates!AH11,"0.000")&amp;IF(Estimates!AK11="","",IF(Estimates!AK11&lt;0.01,"***",IF(Estimates!AK11&lt;0.05,"**",IF(Estimates!AK11&lt;0.1,"*",""))))</f>
        <v>-0.852**</v>
      </c>
      <c r="F72" s="8" t="str">
        <f aca="false">TEXT(Estimates!AL11,"0.000")&amp;IF(Estimates!AO11="","",IF(Estimates!AO11&lt;0.01,"***",IF(Estimates!AO11&lt;0.05,"**",IF(Estimates!AO11&lt;0.1,"*",""))))</f>
        <v>-0.931*</v>
      </c>
    </row>
    <row r="73" customFormat="false" ht="15" hidden="false" customHeight="false" outlineLevel="0" collapsed="false">
      <c r="B73" s="8" t="str">
        <f aca="false">IF(Estimates!X11="","(n/a)","("&amp;TEXT(Estimates!X11,"0.00")&amp;")")</f>
        <v>(-1.44)</v>
      </c>
      <c r="C73" s="8" t="str">
        <f aca="false">IF(Estimates!AB11="","(n/a)","("&amp;TEXT(Estimates!AB11,"0.00")&amp;")")</f>
        <v>(-0.80)</v>
      </c>
      <c r="D73" s="8" t="str">
        <f aca="false">IF(Estimates!AF11="","(n/a)","("&amp;TEXT(Estimates!AF11,"0.00")&amp;")")</f>
        <v>(-1.03)</v>
      </c>
      <c r="E73" s="8" t="str">
        <f aca="false">IF(Estimates!AJ11="","(n/a)","("&amp;TEXT(Estimates!AJ11,"0.00")&amp;")")</f>
        <v>(-2.15)</v>
      </c>
      <c r="F73" s="8" t="str">
        <f aca="false">IF(Estimates!AN11="","(n/a)","("&amp;TEXT(Estimates!AN11,"0.00")&amp;")")</f>
        <v>(-1.76)</v>
      </c>
    </row>
    <row r="74" customFormat="false" ht="15" hidden="false" customHeight="false" outlineLevel="0" collapsed="false">
      <c r="A74" s="7" t="s">
        <v>16</v>
      </c>
      <c r="B74" s="8" t="str">
        <f aca="false">TEXT(Estimates!V12,"0.000")&amp;IF(Estimates!Y12="","",IF(Estimates!Y12&lt;0.01,"***",IF(Estimates!Y12&lt;0.05,"**",IF(Estimates!Y12&lt;0.1,"*",""))))</f>
        <v>-0.309</v>
      </c>
      <c r="C74" s="8" t="str">
        <f aca="false">TEXT(Estimates!Z12,"0.000")&amp;IF(Estimates!AC12="","",IF(Estimates!AC12&lt;0.01,"***",IF(Estimates!AC12&lt;0.05,"**",IF(Estimates!AC12&lt;0.1,"*",""))))</f>
        <v>-0.171</v>
      </c>
      <c r="D74" s="8" t="str">
        <f aca="false">TEXT(Estimates!AD12,"0.000")&amp;IF(Estimates!AG12="","",IF(Estimates!AG12&lt;0.01,"***",IF(Estimates!AG12&lt;0.05,"**",IF(Estimates!AG12&lt;0.1,"*",""))))</f>
        <v>-0.560</v>
      </c>
      <c r="E74" s="8" t="str">
        <f aca="false">TEXT(Estimates!AH12,"0.000")&amp;IF(Estimates!AK12="","",IF(Estimates!AK12&lt;0.01,"***",IF(Estimates!AK12&lt;0.05,"**",IF(Estimates!AK12&lt;0.1,"*",""))))</f>
        <v>-0.852*</v>
      </c>
      <c r="F74" s="8" t="str">
        <f aca="false">TEXT(Estimates!AL12,"0.000")&amp;IF(Estimates!AO12="","",IF(Estimates!AO12&lt;0.01,"***",IF(Estimates!AO12&lt;0.05,"**",IF(Estimates!AO12&lt;0.1,"*",""))))</f>
        <v>-1.198*</v>
      </c>
    </row>
    <row r="75" customFormat="false" ht="15" hidden="false" customHeight="false" outlineLevel="0" collapsed="false">
      <c r="B75" s="8" t="str">
        <f aca="false">IF(Estimates!X12="","(n/a)","("&amp;TEXT(Estimates!X12,"0.00")&amp;")")</f>
        <v>(-1.32)</v>
      </c>
      <c r="C75" s="8" t="str">
        <f aca="false">IF(Estimates!AB12="","(n/a)","("&amp;TEXT(Estimates!AB12,"0.00")&amp;")")</f>
        <v>(-0.74)</v>
      </c>
      <c r="D75" s="8" t="str">
        <f aca="false">IF(Estimates!AF12="","(n/a)","("&amp;TEXT(Estimates!AF12,"0.00")&amp;")")</f>
        <v>(-1.15)</v>
      </c>
      <c r="E75" s="8" t="str">
        <f aca="false">IF(Estimates!AJ12="","(n/a)","("&amp;TEXT(Estimates!AJ12,"0.00")&amp;")")</f>
        <v>(-1.90)</v>
      </c>
      <c r="F75" s="8" t="str">
        <f aca="false">IF(Estimates!AN12="","(n/a)","("&amp;TEXT(Estimates!AN12,"0.00")&amp;")")</f>
        <v>(-1.94)</v>
      </c>
    </row>
    <row r="76" customFormat="false" ht="15" hidden="false" customHeight="false" outlineLevel="0" collapsed="false">
      <c r="A76" s="7" t="s">
        <v>17</v>
      </c>
      <c r="B76" s="8" t="str">
        <f aca="false">TEXT(Estimates!V13,"0.000")&amp;IF(Estimates!Y13="","",IF(Estimates!Y13&lt;0.01,"***",IF(Estimates!Y13&lt;0.05,"**",IF(Estimates!Y13&lt;0.1,"*",""))))</f>
        <v>-0.312</v>
      </c>
      <c r="C76" s="8" t="str">
        <f aca="false">TEXT(Estimates!Z13,"0.000")&amp;IF(Estimates!AC13="","",IF(Estimates!AC13&lt;0.01,"***",IF(Estimates!AC13&lt;0.05,"**",IF(Estimates!AC13&lt;0.1,"*",""))))</f>
        <v>-0.182</v>
      </c>
      <c r="D76" s="8" t="str">
        <f aca="false">TEXT(Estimates!AD13,"0.000")&amp;IF(Estimates!AG13="","",IF(Estimates!AG13&lt;0.01,"***",IF(Estimates!AG13&lt;0.05,"**",IF(Estimates!AG13&lt;0.1,"*",""))))</f>
        <v>-0.011</v>
      </c>
      <c r="E76" s="8" t="str">
        <f aca="false">TEXT(Estimates!AH13,"0.000")&amp;IF(Estimates!AK13="","",IF(Estimates!AK13&lt;0.01,"***",IF(Estimates!AK13&lt;0.05,"**",IF(Estimates!AK13&lt;0.1,"*",""))))</f>
        <v>-0.293</v>
      </c>
      <c r="F76" s="8" t="str">
        <f aca="false">TEXT(Estimates!AL13,"0.000")&amp;IF(Estimates!AO13="","",IF(Estimates!AO13&lt;0.01,"***",IF(Estimates!AO13&lt;0.05,"**",IF(Estimates!AO13&lt;0.1,"*",""))))</f>
        <v>-0.388</v>
      </c>
    </row>
    <row r="77" customFormat="false" ht="15" hidden="false" customHeight="false" outlineLevel="0" collapsed="false">
      <c r="B77" s="8" t="str">
        <f aca="false">IF(Estimates!X13="","(n/a)","("&amp;TEXT(Estimates!X13,"0.00")&amp;")")</f>
        <v>(-1.32)</v>
      </c>
      <c r="C77" s="8" t="str">
        <f aca="false">IF(Estimates!AB13="","(n/a)","("&amp;TEXT(Estimates!AB13,"0.00")&amp;")")</f>
        <v>(-0.68)</v>
      </c>
      <c r="D77" s="8" t="str">
        <f aca="false">IF(Estimates!AF13="","(n/a)","("&amp;TEXT(Estimates!AF13,"0.00")&amp;")")</f>
        <v>(-0.01)</v>
      </c>
      <c r="E77" s="8" t="str">
        <f aca="false">IF(Estimates!AJ13="","(n/a)","("&amp;TEXT(Estimates!AJ13,"0.00")&amp;")")</f>
        <v>(-0.45)</v>
      </c>
      <c r="F77" s="8" t="str">
        <f aca="false">IF(Estimates!AN13="","(n/a)","("&amp;TEXT(Estimates!AN13,"0.00")&amp;")")</f>
        <v>(-0.37)</v>
      </c>
    </row>
    <row r="78" customFormat="false" ht="15" hidden="false" customHeight="false" outlineLevel="0" collapsed="false">
      <c r="A78" s="7" t="s">
        <v>18</v>
      </c>
      <c r="B78" s="8" t="str">
        <f aca="false">TEXT(Estimates!V14,"0.000")&amp;IF(Estimates!Y14="","",IF(Estimates!Y14&lt;0.01,"***",IF(Estimates!Y14&lt;0.05,"**",IF(Estimates!Y14&lt;0.1,"*",""))))</f>
        <v>-0.306</v>
      </c>
      <c r="C78" s="8" t="str">
        <f aca="false">TEXT(Estimates!Z14,"0.000")&amp;IF(Estimates!AC14="","",IF(Estimates!AC14&lt;0.01,"***",IF(Estimates!AC14&lt;0.05,"**",IF(Estimates!AC14&lt;0.1,"*",""))))</f>
        <v>-0.186</v>
      </c>
      <c r="D78" s="8" t="str">
        <f aca="false">TEXT(Estimates!AD14,"0.000")&amp;IF(Estimates!AG14="","",IF(Estimates!AG14&lt;0.01,"***",IF(Estimates!AG14&lt;0.05,"**",IF(Estimates!AG14&lt;0.1,"*",""))))</f>
        <v>-0.440</v>
      </c>
      <c r="E78" s="8" t="str">
        <f aca="false">TEXT(Estimates!AH14,"0.000")&amp;IF(Estimates!AK14="","",IF(Estimates!AK14&lt;0.01,"***",IF(Estimates!AK14&lt;0.05,"**",IF(Estimates!AK14&lt;0.1,"*",""))))</f>
        <v>-0.649</v>
      </c>
      <c r="F78" s="8" t="str">
        <f aca="false">TEXT(Estimates!AL14,"0.000")&amp;IF(Estimates!AO14="","",IF(Estimates!AO14&lt;0.01,"***",IF(Estimates!AO14&lt;0.05,"**",IF(Estimates!AO14&lt;0.1,"*",""))))</f>
        <v>-0.854</v>
      </c>
    </row>
    <row r="79" customFormat="false" ht="15" hidden="false" customHeight="false" outlineLevel="0" collapsed="false">
      <c r="B79" s="8" t="str">
        <f aca="false">IF(Estimates!X14="","(n/a)","("&amp;TEXT(Estimates!X14,"0.00")&amp;")")</f>
        <v>(-1.37)</v>
      </c>
      <c r="C79" s="8" t="str">
        <f aca="false">IF(Estimates!AB14="","(n/a)","("&amp;TEXT(Estimates!AB14,"0.00")&amp;")")</f>
        <v>(-0.70)</v>
      </c>
      <c r="D79" s="8" t="str">
        <f aca="false">IF(Estimates!AF14="","(n/a)","("&amp;TEXT(Estimates!AF14,"0.00")&amp;")")</f>
        <v>(-0.84)</v>
      </c>
      <c r="E79" s="8" t="str">
        <f aca="false">IF(Estimates!AJ14="","(n/a)","("&amp;TEXT(Estimates!AJ14,"0.00")&amp;")")</f>
        <v>(-1.37)</v>
      </c>
      <c r="F79" s="8" t="str">
        <f aca="false">IF(Estimates!AN14="","(n/a)","("&amp;TEXT(Estimates!AN14,"0.00")&amp;")")</f>
        <v>(-1.41)</v>
      </c>
    </row>
    <row r="80" customFormat="false" ht="15" hidden="false" customHeight="false" outlineLevel="0" collapsed="false">
      <c r="A80" s="7" t="s">
        <v>19</v>
      </c>
      <c r="B80" s="8" t="str">
        <f aca="false">TEXT(Estimates!V15,"0.000")&amp;IF(Estimates!Y15="","",IF(Estimates!Y15&lt;0.01,"***",IF(Estimates!Y15&lt;0.05,"**",IF(Estimates!Y15&lt;0.1,"*",""))))</f>
        <v>-0.338</v>
      </c>
      <c r="C80" s="8" t="str">
        <f aca="false">TEXT(Estimates!Z15,"0.000")&amp;IF(Estimates!AC15="","",IF(Estimates!AC15&lt;0.01,"***",IF(Estimates!AC15&lt;0.05,"**",IF(Estimates!AC15&lt;0.1,"*",""))))</f>
        <v>-0.190</v>
      </c>
      <c r="D80" s="8" t="str">
        <f aca="false">TEXT(Estimates!AD15,"0.000")&amp;IF(Estimates!AG15="","",IF(Estimates!AG15&lt;0.01,"***",IF(Estimates!AG15&lt;0.05,"**",IF(Estimates!AG15&lt;0.1,"*",""))))</f>
        <v>-0.440</v>
      </c>
      <c r="E80" s="8" t="str">
        <f aca="false">TEXT(Estimates!AH15,"0.000")&amp;IF(Estimates!AK15="","",IF(Estimates!AK15&lt;0.01,"***",IF(Estimates!AK15&lt;0.05,"**",IF(Estimates!AK15&lt;0.1,"*",""))))</f>
        <v>-0.743</v>
      </c>
      <c r="F80" s="8" t="str">
        <f aca="false">TEXT(Estimates!AL15,"0.000")&amp;IF(Estimates!AO15="","",IF(Estimates!AO15&lt;0.01,"***",IF(Estimates!AO15&lt;0.05,"**",IF(Estimates!AO15&lt;0.1,"*",""))))</f>
        <v>-0.913</v>
      </c>
    </row>
    <row r="81" customFormat="false" ht="15" hidden="false" customHeight="false" outlineLevel="0" collapsed="false">
      <c r="B81" s="8" t="str">
        <f aca="false">IF(Estimates!X15="","(n/a)","("&amp;TEXT(Estimates!X15,"0.00")&amp;")")</f>
        <v>(-1.46)</v>
      </c>
      <c r="C81" s="8" t="str">
        <f aca="false">IF(Estimates!AB15="","(n/a)","("&amp;TEXT(Estimates!AB15,"0.00")&amp;")")</f>
        <v>(-0.76)</v>
      </c>
      <c r="D81" s="8" t="str">
        <f aca="false">IF(Estimates!AF15="","(n/a)","("&amp;TEXT(Estimates!AF15,"0.00")&amp;")")</f>
        <v>(-0.88)</v>
      </c>
      <c r="E81" s="8" t="str">
        <f aca="false">IF(Estimates!AJ15="","(n/a)","("&amp;TEXT(Estimates!AJ15,"0.00")&amp;")")</f>
        <v>(-1.73)</v>
      </c>
      <c r="F81" s="8" t="str">
        <f aca="false">IF(Estimates!AN15="","(n/a)","("&amp;TEXT(Estimates!AN15,"0.00")&amp;")")</f>
        <v>(-1.52)</v>
      </c>
    </row>
    <row r="82" customFormat="false" ht="15" hidden="false" customHeight="false" outlineLevel="0" collapsed="false">
      <c r="A82" s="7" t="s">
        <v>20</v>
      </c>
      <c r="B82" s="8" t="str">
        <f aca="false">TEXT(Estimates!V16,"0.000")&amp;IF(Estimates!Y16="","",IF(Estimates!Y16&lt;0.01,"***",IF(Estimates!Y16&lt;0.05,"**",IF(Estimates!Y16&lt;0.1,"*",""))))</f>
        <v>-0.312</v>
      </c>
      <c r="C82" s="8" t="str">
        <f aca="false">TEXT(Estimates!Z16,"0.000")&amp;IF(Estimates!AC16="","",IF(Estimates!AC16&lt;0.01,"***",IF(Estimates!AC16&lt;0.05,"**",IF(Estimates!AC16&lt;0.1,"*",""))))</f>
        <v>-0.381</v>
      </c>
    </row>
    <row r="83" customFormat="false" ht="15" hidden="false" customHeight="false" outlineLevel="0" collapsed="false">
      <c r="B83" s="8" t="str">
        <f aca="false">IF(Estimates!X16="","(n/a)","("&amp;TEXT(Estimates!X16,"0.00")&amp;")")</f>
        <v>(-0.85)</v>
      </c>
      <c r="C83" s="8" t="str">
        <f aca="false">IF(Estimates!AB16="","(n/a)","("&amp;TEXT(Estimates!AB16,"0.00")&amp;")")</f>
        <v>(-1.22)</v>
      </c>
    </row>
    <row r="84" customFormat="false" ht="15" hidden="false" customHeight="false" outlineLevel="0" collapsed="false">
      <c r="A84" s="7" t="s">
        <v>21</v>
      </c>
      <c r="C84" s="8" t="str">
        <f aca="false">TEXT(Estimates!Z17,"0.000")&amp;IF(Estimates!AC17="","",IF(Estimates!AC17&lt;0.01,"***",IF(Estimates!AC17&lt;0.05,"**",IF(Estimates!AC17&lt;0.1,"*",""))))</f>
        <v>0.809*</v>
      </c>
      <c r="D84" s="8" t="str">
        <f aca="false">TEXT(Estimates!AD17,"0.000")&amp;IF(Estimates!AG17="","",IF(Estimates!AG17&lt;0.01,"***",IF(Estimates!AG17&lt;0.05,"**",IF(Estimates!AG17&lt;0.1,"*",""))))</f>
        <v>4.113***</v>
      </c>
    </row>
    <row r="85" customFormat="false" ht="15" hidden="false" customHeight="false" outlineLevel="0" collapsed="false">
      <c r="C85" s="8" t="str">
        <f aca="false">IF(Estimates!AB17="","(n/a)","("&amp;TEXT(Estimates!AB17,"0.00")&amp;")")</f>
        <v>(1.78)</v>
      </c>
      <c r="D85" s="8" t="str">
        <f aca="false">IF(Estimates!AF17="","(n/a)","("&amp;TEXT(Estimates!AF17,"0.00")&amp;")")</f>
        <v>(3.22)</v>
      </c>
    </row>
    <row r="86" customFormat="false" ht="15" hidden="false" customHeight="false" outlineLevel="0" collapsed="false">
      <c r="A86" s="7" t="s">
        <v>22</v>
      </c>
      <c r="C86" s="8" t="str">
        <f aca="false">TEXT(Estimates!Z18,"0.000")&amp;IF(Estimates!AC18="","",IF(Estimates!AC18&lt;0.01,"***",IF(Estimates!AC18&lt;0.05,"**",IF(Estimates!AC18&lt;0.1,"*",""))))</f>
        <v>-0.255</v>
      </c>
      <c r="D86" s="8" t="str">
        <f aca="false">TEXT(Estimates!AD18,"0.000")&amp;IF(Estimates!AG18="","",IF(Estimates!AG18&lt;0.01,"***",IF(Estimates!AG18&lt;0.05,"**",IF(Estimates!AG18&lt;0.1,"*",""))))</f>
        <v>-0.818**</v>
      </c>
    </row>
    <row r="87" customFormat="false" ht="15" hidden="false" customHeight="false" outlineLevel="0" collapsed="false">
      <c r="C87" s="8" t="str">
        <f aca="false">IF(Estimates!AB18="","(n/a)","("&amp;TEXT(Estimates!AB18,"0.00")&amp;")")</f>
        <v>(-1.13)</v>
      </c>
      <c r="D87" s="8" t="str">
        <f aca="false">IF(Estimates!AF18="","(n/a)","("&amp;TEXT(Estimates!AF18,"0.00")&amp;")")</f>
        <v>(-2.20)</v>
      </c>
    </row>
    <row r="88" customFormat="false" ht="15" hidden="false" customHeight="false" outlineLevel="0" collapsed="false">
      <c r="A88" s="7" t="s">
        <v>23</v>
      </c>
      <c r="C88" s="8" t="str">
        <f aca="false">TEXT(Estimates!Z19,"0.000")&amp;IF(Estimates!AC19="","",IF(Estimates!AC19&lt;0.01,"***",IF(Estimates!AC19&lt;0.05,"**",IF(Estimates!AC19&lt;0.1,"*",""))))</f>
        <v>-0.257</v>
      </c>
      <c r="D88" s="8" t="str">
        <f aca="false">TEXT(Estimates!AD19,"0.000")&amp;IF(Estimates!AG19="","",IF(Estimates!AG19&lt;0.01,"***",IF(Estimates!AG19&lt;0.05,"**",IF(Estimates!AG19&lt;0.1,"*",""))))</f>
        <v>-1.383*</v>
      </c>
    </row>
    <row r="89" customFormat="false" ht="15" hidden="false" customHeight="false" outlineLevel="0" collapsed="false">
      <c r="C89" s="8" t="str">
        <f aca="false">IF(Estimates!AB19="","(n/a)","("&amp;TEXT(Estimates!AB19,"0.00")&amp;")")</f>
        <v>(-0.55)</v>
      </c>
      <c r="D89" s="8" t="str">
        <f aca="false">IF(Estimates!AF19="","(n/a)","("&amp;TEXT(Estimates!AF19,"0.00")&amp;")")</f>
        <v>(-1.77)</v>
      </c>
    </row>
    <row r="90" customFormat="false" ht="15" hidden="false" customHeight="false" outlineLevel="0" collapsed="false">
      <c r="A90" s="7" t="s">
        <v>24</v>
      </c>
      <c r="C90" s="8" t="str">
        <f aca="false">TEXT(Estimates!Z20,"0.000")&amp;IF(Estimates!AC20="","",IF(Estimates!AC20&lt;0.01,"***",IF(Estimates!AC20&lt;0.05,"**",IF(Estimates!AC20&lt;0.1,"*",""))))</f>
        <v>-0.520*</v>
      </c>
      <c r="D90" s="8" t="str">
        <f aca="false">TEXT(Estimates!AD20,"0.000")&amp;IF(Estimates!AG20="","",IF(Estimates!AG20&lt;0.01,"***",IF(Estimates!AG20&lt;0.05,"**",IF(Estimates!AG20&lt;0.1,"*",""))))</f>
        <v>-0.006</v>
      </c>
    </row>
    <row r="91" customFormat="false" ht="15" hidden="false" customHeight="false" outlineLevel="0" collapsed="false">
      <c r="C91" s="8" t="str">
        <f aca="false">IF(Estimates!AB20="","(n/a)","("&amp;TEXT(Estimates!AB20,"0.00")&amp;")")</f>
        <v>(-1.89)</v>
      </c>
      <c r="D91" s="8" t="str">
        <f aca="false">IF(Estimates!AF20="","(n/a)","("&amp;TEXT(Estimates!AF20,"0.00")&amp;")")</f>
        <v>(-0.01)</v>
      </c>
    </row>
    <row r="92" customFormat="false" ht="15" hidden="false" customHeight="false" outlineLevel="0" collapsed="false">
      <c r="A92" s="7" t="s">
        <v>25</v>
      </c>
      <c r="C92" s="8" t="str">
        <f aca="false">TEXT(Estimates!Z21,"0.000")&amp;IF(Estimates!AC21="","",IF(Estimates!AC21&lt;0.01,"***",IF(Estimates!AC21&lt;0.05,"**",IF(Estimates!AC21&lt;0.1,"*",""))))</f>
        <v>0.176</v>
      </c>
    </row>
    <row r="93" customFormat="false" ht="15" hidden="false" customHeight="false" outlineLevel="0" collapsed="false">
      <c r="C93" s="8" t="str">
        <f aca="false">IF(Estimates!AB21="","(n/a)","("&amp;TEXT(Estimates!AB21,"0.00")&amp;")")</f>
        <v>(0.45)</v>
      </c>
    </row>
    <row r="94" customFormat="false" ht="15" hidden="false" customHeight="false" outlineLevel="0" collapsed="false">
      <c r="A94" s="7" t="s">
        <v>26</v>
      </c>
      <c r="C94" s="8" t="str">
        <f aca="false">TEXT(Estimates!Z22,"0.000")&amp;IF(Estimates!AC22="","",IF(Estimates!AC22&lt;0.01,"***",IF(Estimates!AC22&lt;0.05,"**",IF(Estimates!AC22&lt;0.1,"*",""))))</f>
        <v>-0.408</v>
      </c>
      <c r="D94" s="8" t="str">
        <f aca="false">TEXT(Estimates!AD22,"0.000")&amp;IF(Estimates!AG22="","",IF(Estimates!AG22&lt;0.01,"***",IF(Estimates!AG22&lt;0.05,"**",IF(Estimates!AG22&lt;0.1,"*",""))))</f>
        <v>-4.531*</v>
      </c>
    </row>
    <row r="95" customFormat="false" ht="15" hidden="false" customHeight="false" outlineLevel="0" collapsed="false">
      <c r="C95" s="8" t="str">
        <f aca="false">IF(Estimates!AB22="","(n/a)","("&amp;TEXT(Estimates!AB22,"0.00")&amp;")")</f>
        <v>(-0.79)</v>
      </c>
      <c r="D95" s="8" t="str">
        <f aca="false">IF(Estimates!AF22="","(n/a)","("&amp;TEXT(Estimates!AF22,"0.00")&amp;")")</f>
        <v>(-2.05)</v>
      </c>
    </row>
    <row r="97" customFormat="false" ht="15" hidden="false" customHeight="false" outlineLevel="0" collapsed="false">
      <c r="A97" s="7" t="s">
        <v>27</v>
      </c>
      <c r="B97" s="9" t="n">
        <f aca="false">Estimates!V24</f>
        <v>275</v>
      </c>
      <c r="C97" s="9" t="n">
        <f aca="false">Estimates!Z24</f>
        <v>254</v>
      </c>
      <c r="D97" s="9" t="n">
        <f aca="false">Estimates!AD24</f>
        <v>251</v>
      </c>
      <c r="E97" s="9" t="n">
        <f aca="false">Estimates!AH24</f>
        <v>259</v>
      </c>
      <c r="F97" s="9" t="n">
        <f aca="false">Estimates!AL24</f>
        <v>175</v>
      </c>
    </row>
    <row r="98" customFormat="false" ht="15" hidden="false" customHeight="false" outlineLevel="0" collapsed="false">
      <c r="A98" s="7" t="s">
        <v>28</v>
      </c>
      <c r="B98" s="10" t="n">
        <f aca="false">Estimates!V27</f>
        <v>0.161176243747813</v>
      </c>
      <c r="C98" s="10" t="n">
        <f aca="false">Estimates!Z27</f>
        <v>0.12811225640775</v>
      </c>
      <c r="D98" s="10" t="n">
        <f aca="false">Estimates!AD27</f>
        <v>0.161561375003839</v>
      </c>
      <c r="E98" s="10" t="n">
        <f aca="false">Estimates!AH27</f>
        <v>0.462133366394118</v>
      </c>
      <c r="F98" s="10" t="n">
        <f aca="false">Estimates!AL27</f>
        <v>0.519156401349362</v>
      </c>
    </row>
    <row r="99" customFormat="false" ht="15" hidden="false" customHeight="false" outlineLevel="0" collapsed="false">
      <c r="A99" s="7" t="s">
        <v>44</v>
      </c>
      <c r="B99" s="14" t="n">
        <f aca="false">Estimates!V28</f>
        <v>42</v>
      </c>
      <c r="C99" s="14" t="n">
        <f aca="false">Estimates!Z28</f>
        <v>40</v>
      </c>
      <c r="D99" s="14" t="n">
        <f aca="false">Estimates!AD28</f>
        <v>40</v>
      </c>
      <c r="E99" s="14" t="n">
        <f aca="false">Estimates!AH28</f>
        <v>42</v>
      </c>
      <c r="F99" s="14" t="n">
        <f aca="false">Estimates!AL28</f>
        <v>23</v>
      </c>
    </row>
    <row r="100" customFormat="false" ht="15" hidden="false" customHeight="false" outlineLevel="0" collapsed="false">
      <c r="A100" s="7" t="s">
        <v>29</v>
      </c>
      <c r="B100" s="11" t="s">
        <v>30</v>
      </c>
      <c r="C100" s="11" t="s">
        <v>30</v>
      </c>
      <c r="D100" s="11" t="s">
        <v>31</v>
      </c>
      <c r="E100" s="11" t="s">
        <v>30</v>
      </c>
      <c r="F100" s="11" t="s">
        <v>30</v>
      </c>
    </row>
    <row r="101" customFormat="false" ht="15" hidden="false" customHeight="false" outlineLevel="0" collapsed="false">
      <c r="A101" s="7" t="s">
        <v>32</v>
      </c>
      <c r="B101" s="11" t="s">
        <v>31</v>
      </c>
      <c r="C101" s="11" t="s">
        <v>31</v>
      </c>
      <c r="D101" s="11" t="s">
        <v>31</v>
      </c>
      <c r="E101" s="11" t="s">
        <v>31</v>
      </c>
      <c r="F101" s="11" t="s">
        <v>31</v>
      </c>
    </row>
    <row r="102" customFormat="false" ht="15" hidden="false" customHeight="false" outlineLevel="0" collapsed="false">
      <c r="A102" s="7" t="s">
        <v>45</v>
      </c>
      <c r="B102" s="11" t="s">
        <v>30</v>
      </c>
      <c r="C102" s="11" t="s">
        <v>30</v>
      </c>
      <c r="D102" s="11" t="s">
        <v>30</v>
      </c>
      <c r="E102" s="11" t="s">
        <v>31</v>
      </c>
      <c r="F102" s="11" t="s">
        <v>31</v>
      </c>
    </row>
    <row r="103" customFormat="false" ht="15" hidden="false" customHeight="false" outlineLevel="0" collapsed="false">
      <c r="A103" s="12" t="s">
        <v>46</v>
      </c>
      <c r="B103" s="6"/>
      <c r="C103" s="6"/>
      <c r="D103" s="6"/>
      <c r="E103" s="6"/>
      <c r="F103" s="6" t="s">
        <v>47</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7" min="2" style="0" width="14"/>
  </cols>
  <sheetData>
    <row r="1" customFormat="false" ht="15" hidden="false" customHeight="false" outlineLevel="0" collapsed="false">
      <c r="A1" s="1" t="s">
        <v>48</v>
      </c>
    </row>
    <row r="2" customFormat="false" ht="150" hidden="false" customHeight="true" outlineLevel="0" collapsed="false">
      <c r="A2" s="2" t="s">
        <v>49</v>
      </c>
      <c r="B2" s="2"/>
      <c r="C2" s="2"/>
      <c r="D2" s="2"/>
      <c r="E2" s="2"/>
      <c r="F2" s="2"/>
      <c r="G2" s="2"/>
    </row>
    <row r="4" customFormat="false" ht="15" hidden="false" customHeight="false" outlineLevel="0" collapsed="false">
      <c r="A4" s="3"/>
      <c r="B4" s="4" t="s">
        <v>3</v>
      </c>
      <c r="C4" s="4" t="s">
        <v>4</v>
      </c>
      <c r="D4" s="4" t="s">
        <v>5</v>
      </c>
      <c r="E4" s="4" t="s">
        <v>41</v>
      </c>
      <c r="F4" s="4" t="s">
        <v>42</v>
      </c>
    </row>
    <row r="5" customFormat="false" ht="15" hidden="false" customHeight="false" outlineLevel="0" collapsed="false">
      <c r="A5" s="5"/>
      <c r="B5" s="6" t="s">
        <v>38</v>
      </c>
      <c r="C5" s="6" t="s">
        <v>38</v>
      </c>
      <c r="D5" s="6" t="s">
        <v>38</v>
      </c>
      <c r="E5" s="6" t="s">
        <v>38</v>
      </c>
      <c r="F5" s="6" t="s">
        <v>38</v>
      </c>
    </row>
    <row r="6" customFormat="false" ht="15" hidden="false" customHeight="false" outlineLevel="0" collapsed="false">
      <c r="A6" s="7" t="s">
        <v>43</v>
      </c>
      <c r="B6" s="8" t="str">
        <f aca="false">TEXT(Estimates!AP4,"0.000")&amp;IF(Estimates!AS4="","",IF(Estimates!AS4&lt;0.01,"***",IF(Estimates!AS4&lt;0.05,"**",IF(Estimates!AS4&lt;0.1,"*",""))))</f>
        <v>-0.065</v>
      </c>
      <c r="C6" s="8" t="str">
        <f aca="false">TEXT(Estimates!AT4,"0.000")&amp;IF(Estimates!AW4="","",IF(Estimates!AW4&lt;0.01,"***",IF(Estimates!AW4&lt;0.05,"**",IF(Estimates!AW4&lt;0.1,"*",""))))</f>
        <v>-0.082</v>
      </c>
      <c r="D6" s="8" t="str">
        <f aca="false">TEXT(Estimates!AX4,"0.000")&amp;IF(Estimates!BA4="","",IF(Estimates!BA4&lt;0.01,"***",IF(Estimates!BA4&lt;0.05,"**",IF(Estimates!BA4&lt;0.1,"*",""))))</f>
        <v>-0.059</v>
      </c>
      <c r="E6" s="8" t="str">
        <f aca="false">TEXT(Estimates!BB4,"0.000")&amp;IF(Estimates!BE4="","",IF(Estimates!BE4&lt;0.01,"***",IF(Estimates!BE4&lt;0.05,"**",IF(Estimates!BE4&lt;0.1,"*",""))))</f>
        <v>-0.066</v>
      </c>
      <c r="F6" s="8" t="str">
        <f aca="false">TEXT(Estimates!BF4,"0.000")&amp;IF(Estimates!BI4="","",IF(Estimates!BI4&lt;0.01,"***",IF(Estimates!BI4&lt;0.05,"**",IF(Estimates!BI4&lt;0.1,"*",""))))</f>
        <v>-0.038</v>
      </c>
    </row>
    <row r="7" customFormat="false" ht="15" hidden="false" customHeight="false" outlineLevel="0" collapsed="false">
      <c r="B7" s="8" t="str">
        <f aca="false">IF(Estimates!AR4="","(n/a)","("&amp;TEXT(Estimates!AR4,"0.00")&amp;")")</f>
        <v>(-1.62)</v>
      </c>
      <c r="C7" s="8" t="str">
        <f aca="false">IF(Estimates!AV4="","(n/a)","("&amp;TEXT(Estimates!AV4,"0.00")&amp;")")</f>
        <v>(-1.41)</v>
      </c>
      <c r="D7" s="8" t="str">
        <f aca="false">IF(Estimates!AZ4="","(n/a)","("&amp;TEXT(Estimates!AZ4,"0.00")&amp;")")</f>
        <v>(-1.38)</v>
      </c>
      <c r="E7" s="8" t="str">
        <f aca="false">IF(Estimates!BD4="","(n/a)","("&amp;TEXT(Estimates!BD4,"0.00")&amp;")")</f>
        <v>(-1.21)</v>
      </c>
      <c r="F7" s="8" t="str">
        <f aca="false">IF(Estimates!BH4="","(n/a)","("&amp;TEXT(Estimates!BH4,"0.00")&amp;")")</f>
        <v>(-0.54)</v>
      </c>
    </row>
    <row r="8" customFormat="false" ht="15" hidden="false" customHeight="false" outlineLevel="0" collapsed="false">
      <c r="A8" s="7" t="s">
        <v>9</v>
      </c>
      <c r="B8" s="8" t="str">
        <f aca="false">TEXT(Estimates!AP5,"0.000")&amp;IF(Estimates!AS5="","",IF(Estimates!AS5&lt;0.01,"***",IF(Estimates!AS5&lt;0.05,"**",IF(Estimates!AS5&lt;0.1,"*",""))))</f>
        <v>0.000</v>
      </c>
      <c r="C8" s="8" t="str">
        <f aca="false">TEXT(Estimates!AT5,"0.000")&amp;IF(Estimates!AW5="","",IF(Estimates!AW5&lt;0.01,"***",IF(Estimates!AW5&lt;0.05,"**",IF(Estimates!AW5&lt;0.1,"*",""))))</f>
        <v>0.004</v>
      </c>
      <c r="D8" s="8" t="str">
        <f aca="false">TEXT(Estimates!AX5,"0.000")&amp;IF(Estimates!BA5="","",IF(Estimates!BA5&lt;0.01,"***",IF(Estimates!BA5&lt;0.05,"**",IF(Estimates!BA5&lt;0.1,"*",""))))</f>
        <v>0.007</v>
      </c>
      <c r="E8" s="8" t="str">
        <f aca="false">TEXT(Estimates!BB5,"0.000")&amp;IF(Estimates!BE5="","",IF(Estimates!BE5&lt;0.01,"***",IF(Estimates!BE5&lt;0.05,"**",IF(Estimates!BE5&lt;0.1,"*",""))))</f>
        <v>0.005</v>
      </c>
      <c r="F8" s="8" t="str">
        <f aca="false">TEXT(Estimates!BF5,"0.000")&amp;IF(Estimates!BI5="","",IF(Estimates!BI5&lt;0.01,"***",IF(Estimates!BI5&lt;0.05,"**",IF(Estimates!BI5&lt;0.1,"*",""))))</f>
        <v>0.007*</v>
      </c>
    </row>
    <row r="9" customFormat="false" ht="15" hidden="false" customHeight="false" outlineLevel="0" collapsed="false">
      <c r="B9" s="8" t="str">
        <f aca="false">IF(Estimates!AR5="","(n/a)","("&amp;TEXT(Estimates!AR5,"0.00")&amp;")")</f>
        <v>(0.03)</v>
      </c>
      <c r="C9" s="8" t="str">
        <f aca="false">IF(Estimates!AV5="","(n/a)","("&amp;TEXT(Estimates!AV5,"0.00")&amp;")")</f>
        <v>(0.58)</v>
      </c>
      <c r="D9" s="8" t="str">
        <f aca="false">IF(Estimates!AZ5="","(n/a)","("&amp;TEXT(Estimates!AZ5,"0.00")&amp;")")</f>
        <v>(1.28)</v>
      </c>
      <c r="E9" s="8" t="str">
        <f aca="false">IF(Estimates!BD5="","(n/a)","("&amp;TEXT(Estimates!BD5,"0.00")&amp;")")</f>
        <v>(1.19)</v>
      </c>
      <c r="F9" s="8" t="str">
        <f aca="false">IF(Estimates!BH5="","(n/a)","("&amp;TEXT(Estimates!BH5,"0.00")&amp;")")</f>
        <v>(2.00)</v>
      </c>
    </row>
    <row r="10" customFormat="false" ht="15" hidden="false" customHeight="false" outlineLevel="0" collapsed="false">
      <c r="A10" s="7" t="s">
        <v>10</v>
      </c>
      <c r="B10" s="8" t="str">
        <f aca="false">TEXT(Estimates!AP6,"0.000")&amp;IF(Estimates!AS6="","",IF(Estimates!AS6&lt;0.01,"***",IF(Estimates!AS6&lt;0.05,"**",IF(Estimates!AS6&lt;0.1,"*",""))))</f>
        <v>-0.034*</v>
      </c>
      <c r="C10" s="8" t="str">
        <f aca="false">TEXT(Estimates!AT6,"0.000")&amp;IF(Estimates!AW6="","",IF(Estimates!AW6&lt;0.01,"***",IF(Estimates!AW6&lt;0.05,"**",IF(Estimates!AW6&lt;0.1,"*",""))))</f>
        <v>-0.044*</v>
      </c>
      <c r="D10" s="8" t="str">
        <f aca="false">TEXT(Estimates!AX6,"0.000")&amp;IF(Estimates!BA6="","",IF(Estimates!BA6&lt;0.01,"***",IF(Estimates!BA6&lt;0.05,"**",IF(Estimates!BA6&lt;0.1,"*",""))))</f>
        <v>-0.348**</v>
      </c>
      <c r="E10" s="8" t="str">
        <f aca="false">TEXT(Estimates!BB6,"0.000")&amp;IF(Estimates!BE6="","",IF(Estimates!BE6&lt;0.01,"***",IF(Estimates!BE6&lt;0.05,"**",IF(Estimates!BE6&lt;0.1,"*",""))))</f>
        <v>-0.243</v>
      </c>
      <c r="F10" s="8" t="str">
        <f aca="false">TEXT(Estimates!BF6,"0.000")&amp;IF(Estimates!BI6="","",IF(Estimates!BI6&lt;0.01,"***",IF(Estimates!BI6&lt;0.05,"**",IF(Estimates!BI6&lt;0.1,"*",""))))</f>
        <v>-0.090</v>
      </c>
    </row>
    <row r="11" customFormat="false" ht="15" hidden="false" customHeight="false" outlineLevel="0" collapsed="false">
      <c r="B11" s="8" t="str">
        <f aca="false">IF(Estimates!AR6="","(n/a)","("&amp;TEXT(Estimates!AR6,"0.00")&amp;")")</f>
        <v>(-1.75)</v>
      </c>
      <c r="C11" s="8" t="str">
        <f aca="false">IF(Estimates!AV6="","(n/a)","("&amp;TEXT(Estimates!AV6,"0.00")&amp;")")</f>
        <v>(-2.02)</v>
      </c>
      <c r="D11" s="8" t="str">
        <f aca="false">IF(Estimates!AZ6="","(n/a)","("&amp;TEXT(Estimates!AZ6,"0.00")&amp;")")</f>
        <v>(-2.35)</v>
      </c>
      <c r="E11" s="8" t="str">
        <f aca="false">IF(Estimates!BD6="","(n/a)","("&amp;TEXT(Estimates!BD6,"0.00")&amp;")")</f>
        <v>(-1.02)</v>
      </c>
      <c r="F11" s="8" t="str">
        <f aca="false">IF(Estimates!BH6="","(n/a)","("&amp;TEXT(Estimates!BH6,"0.00")&amp;")")</f>
        <v>(-0.41)</v>
      </c>
    </row>
    <row r="12" customFormat="false" ht="15" hidden="false" customHeight="false" outlineLevel="0" collapsed="false">
      <c r="A12" s="7" t="s">
        <v>11</v>
      </c>
      <c r="B12" s="8" t="str">
        <f aca="false">TEXT(Estimates!AP7,"0.000")&amp;IF(Estimates!AS7="","",IF(Estimates!AS7&lt;0.01,"***",IF(Estimates!AS7&lt;0.05,"**",IF(Estimates!AS7&lt;0.1,"*",""))))</f>
        <v>-0.003***</v>
      </c>
      <c r="C12" s="8" t="str">
        <f aca="false">TEXT(Estimates!AT7,"0.000")&amp;IF(Estimates!AW7="","",IF(Estimates!AW7&lt;0.01,"***",IF(Estimates!AW7&lt;0.05,"**",IF(Estimates!AW7&lt;0.1,"*",""))))</f>
        <v>-0.002***</v>
      </c>
      <c r="D12" s="8" t="str">
        <f aca="false">TEXT(Estimates!AX7,"0.000")&amp;IF(Estimates!BA7="","",IF(Estimates!BA7&lt;0.01,"***",IF(Estimates!BA7&lt;0.05,"**",IF(Estimates!BA7&lt;0.1,"*",""))))</f>
        <v>0.000</v>
      </c>
      <c r="E12" s="8" t="str">
        <f aca="false">TEXT(Estimates!BB7,"0.000")&amp;IF(Estimates!BE7="","",IF(Estimates!BE7&lt;0.01,"***",IF(Estimates!BE7&lt;0.05,"**",IF(Estimates!BE7&lt;0.1,"*",""))))</f>
        <v>0.000</v>
      </c>
      <c r="F12" s="8" t="str">
        <f aca="false">TEXT(Estimates!BF7,"0.000")&amp;IF(Estimates!BI7="","",IF(Estimates!BI7&lt;0.01,"***",IF(Estimates!BI7&lt;0.05,"**",IF(Estimates!BI7&lt;0.1,"*",""))))</f>
        <v>-0.001</v>
      </c>
    </row>
    <row r="13" customFormat="false" ht="15" hidden="false" customHeight="false" outlineLevel="0" collapsed="false">
      <c r="B13" s="8" t="str">
        <f aca="false">IF(Estimates!AR7="","(n/a)","("&amp;TEXT(Estimates!AR7,"0.00")&amp;")")</f>
        <v>(-3.03)</v>
      </c>
      <c r="C13" s="8" t="str">
        <f aca="false">IF(Estimates!AV7="","(n/a)","("&amp;TEXT(Estimates!AV7,"0.00")&amp;")")</f>
        <v>(-3.17)</v>
      </c>
      <c r="D13" s="8" t="str">
        <f aca="false">IF(Estimates!AZ7="","(n/a)","("&amp;TEXT(Estimates!AZ7,"0.00")&amp;")")</f>
        <v>(-0.07)</v>
      </c>
      <c r="E13" s="8" t="str">
        <f aca="false">IF(Estimates!BD7="","(n/a)","("&amp;TEXT(Estimates!BD7,"0.00")&amp;")")</f>
        <v>(0.05)</v>
      </c>
      <c r="F13" s="8" t="str">
        <f aca="false">IF(Estimates!BH7="","(n/a)","("&amp;TEXT(Estimates!BH7,"0.00")&amp;")")</f>
        <v>(-0.37)</v>
      </c>
    </row>
    <row r="14" customFormat="false" ht="15" hidden="false" customHeight="false" outlineLevel="0" collapsed="false">
      <c r="A14" s="7" t="s">
        <v>12</v>
      </c>
      <c r="B14" s="8" t="str">
        <f aca="false">TEXT(Estimates!AP8,"0.000")&amp;IF(Estimates!AS8="","",IF(Estimates!AS8&lt;0.01,"***",IF(Estimates!AS8&lt;0.05,"**",IF(Estimates!AS8&lt;0.1,"*",""))))</f>
        <v>-0.090</v>
      </c>
      <c r="C14" s="8" t="str">
        <f aca="false">TEXT(Estimates!AT8,"0.000")&amp;IF(Estimates!AW8="","",IF(Estimates!AW8&lt;0.01,"***",IF(Estimates!AW8&lt;0.05,"**",IF(Estimates!AW8&lt;0.1,"*",""))))</f>
        <v>-0.042</v>
      </c>
      <c r="D14" s="8" t="str">
        <f aca="false">TEXT(Estimates!AX8,"0.000")&amp;IF(Estimates!BA8="","",IF(Estimates!BA8&lt;0.01,"***",IF(Estimates!BA8&lt;0.05,"**",IF(Estimates!BA8&lt;0.1,"*",""))))</f>
        <v>-0.058*</v>
      </c>
      <c r="E14" s="8" t="str">
        <f aca="false">TEXT(Estimates!BB8,"0.000")&amp;IF(Estimates!BE8="","",IF(Estimates!BE8&lt;0.01,"***",IF(Estimates!BE8&lt;0.05,"**",IF(Estimates!BE8&lt;0.1,"*",""))))</f>
        <v>-0.058</v>
      </c>
      <c r="F14" s="8" t="str">
        <f aca="false">TEXT(Estimates!BF8,"0.000")&amp;IF(Estimates!BI8="","",IF(Estimates!BI8&lt;0.01,"***",IF(Estimates!BI8&lt;0.05,"**",IF(Estimates!BI8&lt;0.1,"*",""))))</f>
        <v>0.011</v>
      </c>
    </row>
    <row r="15" customFormat="false" ht="15" hidden="false" customHeight="false" outlineLevel="0" collapsed="false">
      <c r="B15" s="8" t="str">
        <f aca="false">IF(Estimates!AR8="","(n/a)","("&amp;TEXT(Estimates!AR8,"0.00")&amp;")")</f>
        <v>(-1.30)</v>
      </c>
      <c r="C15" s="8" t="str">
        <f aca="false">IF(Estimates!AV8="","(n/a)","("&amp;TEXT(Estimates!AV8,"0.00")&amp;")")</f>
        <v>(-0.70)</v>
      </c>
      <c r="D15" s="8" t="str">
        <f aca="false">IF(Estimates!AZ8="","(n/a)","("&amp;TEXT(Estimates!AZ8,"0.00")&amp;")")</f>
        <v>(-2.03)</v>
      </c>
      <c r="E15" s="8" t="str">
        <f aca="false">IF(Estimates!BD8="","(n/a)","("&amp;TEXT(Estimates!BD8,"0.00")&amp;")")</f>
        <v>(-1.23)</v>
      </c>
      <c r="F15" s="8" t="str">
        <f aca="false">IF(Estimates!BH8="","(n/a)","("&amp;TEXT(Estimates!BH8,"0.00")&amp;")")</f>
        <v>(0.17)</v>
      </c>
    </row>
    <row r="16" customFormat="false" ht="15" hidden="false" customHeight="false" outlineLevel="0" collapsed="false">
      <c r="A16" s="7" t="s">
        <v>13</v>
      </c>
      <c r="B16" s="8" t="str">
        <f aca="false">TEXT(Estimates!AP9,"0.000")&amp;IF(Estimates!AS9="","",IF(Estimates!AS9&lt;0.01,"***",IF(Estimates!AS9&lt;0.05,"**",IF(Estimates!AS9&lt;0.1,"*",""))))</f>
        <v>-0.098</v>
      </c>
      <c r="C16" s="8" t="str">
        <f aca="false">TEXT(Estimates!AT9,"0.000")&amp;IF(Estimates!AW9="","",IF(Estimates!AW9&lt;0.01,"***",IF(Estimates!AW9&lt;0.05,"**",IF(Estimates!AW9&lt;0.1,"*",""))))</f>
        <v>-0.052</v>
      </c>
      <c r="D16" s="8" t="str">
        <f aca="false">TEXT(Estimates!AX9,"0.000")&amp;IF(Estimates!BA9="","",IF(Estimates!BA9&lt;0.01,"***",IF(Estimates!BA9&lt;0.05,"**",IF(Estimates!BA9&lt;0.1,"*",""))))</f>
        <v>-0.065**</v>
      </c>
      <c r="E16" s="8" t="str">
        <f aca="false">TEXT(Estimates!BB9,"0.000")&amp;IF(Estimates!BE9="","",IF(Estimates!BE9&lt;0.01,"***",IF(Estimates!BE9&lt;0.05,"**",IF(Estimates!BE9&lt;0.1,"*",""))))</f>
        <v>-0.067</v>
      </c>
      <c r="F16" s="8" t="str">
        <f aca="false">TEXT(Estimates!BF9,"0.000")&amp;IF(Estimates!BI9="","",IF(Estimates!BI9&lt;0.01,"***",IF(Estimates!BI9&lt;0.05,"**",IF(Estimates!BI9&lt;0.1,"*",""))))</f>
        <v>0.005</v>
      </c>
    </row>
    <row r="17" customFormat="false" ht="15" hidden="false" customHeight="false" outlineLevel="0" collapsed="false">
      <c r="B17" s="8" t="str">
        <f aca="false">IF(Estimates!AR9="","(n/a)","("&amp;TEXT(Estimates!AR9,"0.00")&amp;")")</f>
        <v>(-1.42)</v>
      </c>
      <c r="C17" s="8" t="str">
        <f aca="false">IF(Estimates!AV9="","(n/a)","("&amp;TEXT(Estimates!AV9,"0.00")&amp;")")</f>
        <v>(-0.87)</v>
      </c>
      <c r="D17" s="8" t="str">
        <f aca="false">IF(Estimates!AZ9="","(n/a)","("&amp;TEXT(Estimates!AZ9,"0.00")&amp;")")</f>
        <v>(-2.24)</v>
      </c>
      <c r="E17" s="8" t="str">
        <f aca="false">IF(Estimates!BD9="","(n/a)","("&amp;TEXT(Estimates!BD9,"0.00")&amp;")")</f>
        <v>(-1.36)</v>
      </c>
      <c r="F17" s="8" t="str">
        <f aca="false">IF(Estimates!BH9="","(n/a)","("&amp;TEXT(Estimates!BH9,"0.00")&amp;")")</f>
        <v>(0.07)</v>
      </c>
    </row>
    <row r="18" customFormat="false" ht="15" hidden="false" customHeight="false" outlineLevel="0" collapsed="false">
      <c r="A18" s="7" t="s">
        <v>14</v>
      </c>
      <c r="B18" s="8" t="str">
        <f aca="false">TEXT(Estimates!AP10,"0.000")&amp;IF(Estimates!AS10="","",IF(Estimates!AS10&lt;0.01,"***",IF(Estimates!AS10&lt;0.05,"**",IF(Estimates!AS10&lt;0.1,"*",""))))</f>
        <v>-0.085</v>
      </c>
      <c r="C18" s="8" t="str">
        <f aca="false">TEXT(Estimates!AT10,"0.000")&amp;IF(Estimates!AW10="","",IF(Estimates!AW10&lt;0.01,"***",IF(Estimates!AW10&lt;0.05,"**",IF(Estimates!AW10&lt;0.1,"*",""))))</f>
        <v>-0.036</v>
      </c>
      <c r="D18" s="8" t="str">
        <f aca="false">TEXT(Estimates!AX10,"0.000")&amp;IF(Estimates!BA10="","",IF(Estimates!BA10&lt;0.01,"***",IF(Estimates!BA10&lt;0.05,"**",IF(Estimates!BA10&lt;0.1,"*",""))))</f>
        <v>-0.077*</v>
      </c>
      <c r="E18" s="8" t="str">
        <f aca="false">TEXT(Estimates!BB10,"0.000")&amp;IF(Estimates!BE10="","",IF(Estimates!BE10&lt;0.01,"***",IF(Estimates!BE10&lt;0.05,"**",IF(Estimates!BE10&lt;0.1,"*",""))))</f>
        <v>-0.080</v>
      </c>
      <c r="F18" s="8" t="str">
        <f aca="false">TEXT(Estimates!BF10,"0.000")&amp;IF(Estimates!BI10="","",IF(Estimates!BI10&lt;0.01,"***",IF(Estimates!BI10&lt;0.05,"**",IF(Estimates!BI10&lt;0.1,"*",""))))</f>
        <v>-0.007</v>
      </c>
    </row>
    <row r="19" customFormat="false" ht="15" hidden="false" customHeight="false" outlineLevel="0" collapsed="false">
      <c r="B19" s="8" t="str">
        <f aca="false">IF(Estimates!AR10="","(n/a)","("&amp;TEXT(Estimates!AR10,"0.00")&amp;")")</f>
        <v>(-1.18)</v>
      </c>
      <c r="C19" s="8" t="str">
        <f aca="false">IF(Estimates!AV10="","(n/a)","("&amp;TEXT(Estimates!AV10,"0.00")&amp;")")</f>
        <v>(-0.58)</v>
      </c>
      <c r="D19" s="8" t="str">
        <f aca="false">IF(Estimates!AZ10="","(n/a)","("&amp;TEXT(Estimates!AZ10,"0.00")&amp;")")</f>
        <v>(-1.98)</v>
      </c>
      <c r="E19" s="8" t="str">
        <f aca="false">IF(Estimates!BD10="","(n/a)","("&amp;TEXT(Estimates!BD10,"0.00")&amp;")")</f>
        <v>(-1.23)</v>
      </c>
      <c r="F19" s="8" t="str">
        <f aca="false">IF(Estimates!BH10="","(n/a)","("&amp;TEXT(Estimates!BH10,"0.00")&amp;")")</f>
        <v>(-0.07)</v>
      </c>
    </row>
    <row r="20" customFormat="false" ht="15" hidden="false" customHeight="false" outlineLevel="0" collapsed="false">
      <c r="A20" s="7" t="s">
        <v>15</v>
      </c>
      <c r="B20" s="8" t="str">
        <f aca="false">TEXT(Estimates!AP11,"0.000")&amp;IF(Estimates!AS11="","",IF(Estimates!AS11&lt;0.01,"***",IF(Estimates!AS11&lt;0.05,"**",IF(Estimates!AS11&lt;0.1,"*",""))))</f>
        <v>-0.090</v>
      </c>
      <c r="C20" s="8" t="str">
        <f aca="false">TEXT(Estimates!AT11,"0.000")&amp;IF(Estimates!AW11="","",IF(Estimates!AW11&lt;0.01,"***",IF(Estimates!AW11&lt;0.05,"**",IF(Estimates!AW11&lt;0.1,"*",""))))</f>
        <v>-0.044</v>
      </c>
      <c r="D20" s="8" t="str">
        <f aca="false">TEXT(Estimates!AX11,"0.000")&amp;IF(Estimates!BA11="","",IF(Estimates!BA11&lt;0.01,"***",IF(Estimates!BA11&lt;0.05,"**",IF(Estimates!BA11&lt;0.1,"*",""))))</f>
        <v>-0.031</v>
      </c>
      <c r="E20" s="8" t="str">
        <f aca="false">TEXT(Estimates!BB11,"0.000")&amp;IF(Estimates!BE11="","",IF(Estimates!BE11&lt;0.01,"***",IF(Estimates!BE11&lt;0.05,"**",IF(Estimates!BE11&lt;0.1,"*",""))))</f>
        <v>-0.039</v>
      </c>
      <c r="F20" s="8" t="str">
        <f aca="false">TEXT(Estimates!BF11,"0.000")&amp;IF(Estimates!BI11="","",IF(Estimates!BI11&lt;0.01,"***",IF(Estimates!BI11&lt;0.05,"**",IF(Estimates!BI11&lt;0.1,"*",""))))</f>
        <v>0.025</v>
      </c>
    </row>
    <row r="21" customFormat="false" ht="15" hidden="false" customHeight="false" outlineLevel="0" collapsed="false">
      <c r="B21" s="8" t="str">
        <f aca="false">IF(Estimates!AR11="","(n/a)","("&amp;TEXT(Estimates!AR11,"0.00")&amp;")")</f>
        <v>(-1.30)</v>
      </c>
      <c r="C21" s="8" t="str">
        <f aca="false">IF(Estimates!AV11="","(n/a)","("&amp;TEXT(Estimates!AV11,"0.00")&amp;")")</f>
        <v>(-0.73)</v>
      </c>
      <c r="D21" s="8" t="str">
        <f aca="false">IF(Estimates!AZ11="","(n/a)","("&amp;TEXT(Estimates!AZ11,"0.00")&amp;")")</f>
        <v>(-1.09)</v>
      </c>
      <c r="E21" s="8" t="str">
        <f aca="false">IF(Estimates!BD11="","(n/a)","("&amp;TEXT(Estimates!BD11,"0.00")&amp;")")</f>
        <v>(-0.88)</v>
      </c>
      <c r="F21" s="8" t="str">
        <f aca="false">IF(Estimates!BH11="","(n/a)","("&amp;TEXT(Estimates!BH11,"0.00")&amp;")")</f>
        <v>(0.39)</v>
      </c>
    </row>
    <row r="22" customFormat="false" ht="15" hidden="false" customHeight="false" outlineLevel="0" collapsed="false">
      <c r="A22" s="7" t="s">
        <v>16</v>
      </c>
      <c r="B22" s="8" t="str">
        <f aca="false">TEXT(Estimates!AP12,"0.000")&amp;IF(Estimates!AS12="","",IF(Estimates!AS12&lt;0.01,"***",IF(Estimates!AS12&lt;0.05,"**",IF(Estimates!AS12&lt;0.1,"*",""))))</f>
        <v>-0.093</v>
      </c>
      <c r="C22" s="8" t="str">
        <f aca="false">TEXT(Estimates!AT12,"0.000")&amp;IF(Estimates!AW12="","",IF(Estimates!AW12&lt;0.01,"***",IF(Estimates!AW12&lt;0.05,"**",IF(Estimates!AW12&lt;0.1,"*",""))))</f>
        <v>-0.051</v>
      </c>
      <c r="D22" s="8" t="str">
        <f aca="false">TEXT(Estimates!AX12,"0.000")&amp;IF(Estimates!BA12="","",IF(Estimates!BA12&lt;0.01,"***",IF(Estimates!BA12&lt;0.05,"**",IF(Estimates!BA12&lt;0.1,"*",""))))</f>
        <v>-0.055*</v>
      </c>
      <c r="E22" s="8" t="str">
        <f aca="false">TEXT(Estimates!BB12,"0.000")&amp;IF(Estimates!BE12="","",IF(Estimates!BE12&lt;0.01,"***",IF(Estimates!BE12&lt;0.05,"**",IF(Estimates!BE12&lt;0.1,"*",""))))</f>
        <v>-0.059</v>
      </c>
      <c r="F22" s="8" t="str">
        <f aca="false">TEXT(Estimates!BF12,"0.000")&amp;IF(Estimates!BI12="","",IF(Estimates!BI12&lt;0.01,"***",IF(Estimates!BI12&lt;0.05,"**",IF(Estimates!BI12&lt;0.1,"*",""))))</f>
        <v>-0.002</v>
      </c>
    </row>
    <row r="23" customFormat="false" ht="15" hidden="false" customHeight="false" outlineLevel="0" collapsed="false">
      <c r="B23" s="8" t="str">
        <f aca="false">IF(Estimates!AR12="","(n/a)","("&amp;TEXT(Estimates!AR12,"0.00")&amp;")")</f>
        <v>(-1.42)</v>
      </c>
      <c r="C23" s="8" t="str">
        <f aca="false">IF(Estimates!AV12="","(n/a)","("&amp;TEXT(Estimates!AV12,"0.00")&amp;")")</f>
        <v>(-0.89)</v>
      </c>
      <c r="D23" s="8" t="str">
        <f aca="false">IF(Estimates!AZ12="","(n/a)","("&amp;TEXT(Estimates!AZ12,"0.00")&amp;")")</f>
        <v>(-1.98)</v>
      </c>
      <c r="E23" s="8" t="str">
        <f aca="false">IF(Estimates!BD12="","(n/a)","("&amp;TEXT(Estimates!BD12,"0.00")&amp;")")</f>
        <v>(-1.30)</v>
      </c>
      <c r="F23" s="8" t="str">
        <f aca="false">IF(Estimates!BH12="","(n/a)","("&amp;TEXT(Estimates!BH12,"0.00")&amp;")")</f>
        <v>(-0.03)</v>
      </c>
    </row>
    <row r="24" customFormat="false" ht="15" hidden="false" customHeight="false" outlineLevel="0" collapsed="false">
      <c r="A24" s="7" t="s">
        <v>17</v>
      </c>
      <c r="B24" s="8" t="str">
        <f aca="false">TEXT(Estimates!AP13,"0.000")&amp;IF(Estimates!AS13="","",IF(Estimates!AS13&lt;0.01,"***",IF(Estimates!AS13&lt;0.05,"**",IF(Estimates!AS13&lt;0.1,"*",""))))</f>
        <v>-0.097</v>
      </c>
      <c r="C24" s="8" t="str">
        <f aca="false">TEXT(Estimates!AT13,"0.000")&amp;IF(Estimates!AW13="","",IF(Estimates!AW13&lt;0.01,"***",IF(Estimates!AW13&lt;0.05,"**",IF(Estimates!AW13&lt;0.1,"*",""))))</f>
        <v>-0.066</v>
      </c>
      <c r="D24" s="8" t="str">
        <f aca="false">TEXT(Estimates!AX13,"0.000")&amp;IF(Estimates!BA13="","",IF(Estimates!BA13&lt;0.01,"***",IF(Estimates!BA13&lt;0.05,"**",IF(Estimates!BA13&lt;0.1,"*",""))))</f>
        <v>-0.092*</v>
      </c>
      <c r="E24" s="8" t="str">
        <f aca="false">TEXT(Estimates!BB13,"0.000")&amp;IF(Estimates!BE13="","",IF(Estimates!BE13&lt;0.01,"***",IF(Estimates!BE13&lt;0.05,"**",IF(Estimates!BE13&lt;0.1,"*",""))))</f>
        <v>-0.109</v>
      </c>
      <c r="F24" s="8" t="str">
        <f aca="false">TEXT(Estimates!BF13,"0.000")&amp;IF(Estimates!BI13="","",IF(Estimates!BI13&lt;0.01,"***",IF(Estimates!BI13&lt;0.05,"**",IF(Estimates!BI13&lt;0.1,"*",""))))</f>
        <v>0.023</v>
      </c>
    </row>
    <row r="25" customFormat="false" ht="15" hidden="false" customHeight="false" outlineLevel="0" collapsed="false">
      <c r="B25" s="8" t="str">
        <f aca="false">IF(Estimates!AR13="","(n/a)","("&amp;TEXT(Estimates!AR13,"0.00")&amp;")")</f>
        <v>(-1.43)</v>
      </c>
      <c r="C25" s="8" t="str">
        <f aca="false">IF(Estimates!AV13="","(n/a)","("&amp;TEXT(Estimates!AV13,"0.00")&amp;")")</f>
        <v>(-1.07)</v>
      </c>
      <c r="D25" s="8" t="str">
        <f aca="false">IF(Estimates!AZ13="","(n/a)","("&amp;TEXT(Estimates!AZ13,"0.00")&amp;")")</f>
        <v>(-1.82)</v>
      </c>
      <c r="E25" s="8" t="str">
        <f aca="false">IF(Estimates!BD13="","(n/a)","("&amp;TEXT(Estimates!BD13,"0.00")&amp;")")</f>
        <v>(-1.55)</v>
      </c>
      <c r="F25" s="8" t="str">
        <f aca="false">IF(Estimates!BH13="","(n/a)","("&amp;TEXT(Estimates!BH13,"0.00")&amp;")")</f>
        <v>(0.23)</v>
      </c>
    </row>
    <row r="26" customFormat="false" ht="15" hidden="false" customHeight="false" outlineLevel="0" collapsed="false">
      <c r="A26" s="7" t="s">
        <v>18</v>
      </c>
      <c r="B26" s="8" t="str">
        <f aca="false">TEXT(Estimates!AP14,"0.000")&amp;IF(Estimates!AS14="","",IF(Estimates!AS14&lt;0.01,"***",IF(Estimates!AS14&lt;0.05,"**",IF(Estimates!AS14&lt;0.1,"*",""))))</f>
        <v>-0.104</v>
      </c>
      <c r="C26" s="8" t="str">
        <f aca="false">TEXT(Estimates!AT14,"0.000")&amp;IF(Estimates!AW14="","",IF(Estimates!AW14&lt;0.01,"***",IF(Estimates!AW14&lt;0.05,"**",IF(Estimates!AW14&lt;0.1,"*",""))))</f>
        <v>-0.048</v>
      </c>
      <c r="D26" s="8" t="str">
        <f aca="false">TEXT(Estimates!AX14,"0.000")&amp;IF(Estimates!BA14="","",IF(Estimates!BA14&lt;0.01,"***",IF(Estimates!BA14&lt;0.05,"**",IF(Estimates!BA14&lt;0.1,"*",""))))</f>
        <v>-0.101***</v>
      </c>
      <c r="E26" s="8" t="str">
        <f aca="false">TEXT(Estimates!BB14,"0.000")&amp;IF(Estimates!BE14="","",IF(Estimates!BE14&lt;0.01,"***",IF(Estimates!BE14&lt;0.05,"**",IF(Estimates!BE14&lt;0.1,"*",""))))</f>
        <v>-0.110</v>
      </c>
      <c r="F26" s="8" t="str">
        <f aca="false">TEXT(Estimates!BF14,"0.000")&amp;IF(Estimates!BI14="","",IF(Estimates!BI14&lt;0.01,"***",IF(Estimates!BI14&lt;0.05,"**",IF(Estimates!BI14&lt;0.1,"*",""))))</f>
        <v>-0.054</v>
      </c>
    </row>
    <row r="27" customFormat="false" ht="15" hidden="false" customHeight="false" outlineLevel="0" collapsed="false">
      <c r="B27" s="8" t="str">
        <f aca="false">IF(Estimates!AR14="","(n/a)","("&amp;TEXT(Estimates!AR14,"0.00")&amp;")")</f>
        <v>(-1.50)</v>
      </c>
      <c r="C27" s="8" t="str">
        <f aca="false">IF(Estimates!AV14="","(n/a)","("&amp;TEXT(Estimates!AV14,"0.00")&amp;")")</f>
        <v>(-0.77)</v>
      </c>
      <c r="D27" s="8" t="str">
        <f aca="false">IF(Estimates!AZ14="","(n/a)","("&amp;TEXT(Estimates!AZ14,"0.00")&amp;")")</f>
        <v>(-3.05)</v>
      </c>
      <c r="E27" s="8" t="str">
        <f aca="false">IF(Estimates!BD14="","(n/a)","("&amp;TEXT(Estimates!BD14,"0.00")&amp;")")</f>
        <v>(-1.61)</v>
      </c>
      <c r="F27" s="8" t="str">
        <f aca="false">IF(Estimates!BH14="","(n/a)","("&amp;TEXT(Estimates!BH14,"0.00")&amp;")")</f>
        <v>(-0.71)</v>
      </c>
    </row>
    <row r="28" customFormat="false" ht="15" hidden="false" customHeight="false" outlineLevel="0" collapsed="false">
      <c r="A28" s="7" t="s">
        <v>19</v>
      </c>
      <c r="B28" s="8" t="str">
        <f aca="false">TEXT(Estimates!AP15,"0.000")&amp;IF(Estimates!AS15="","",IF(Estimates!AS15&lt;0.01,"***",IF(Estimates!AS15&lt;0.05,"**",IF(Estimates!AS15&lt;0.1,"*",""))))</f>
        <v>-0.076</v>
      </c>
      <c r="C28" s="8" t="str">
        <f aca="false">TEXT(Estimates!AT15,"0.000")&amp;IF(Estimates!AW15="","",IF(Estimates!AW15&lt;0.01,"***",IF(Estimates!AW15&lt;0.05,"**",IF(Estimates!AW15&lt;0.1,"*",""))))</f>
        <v>-0.033</v>
      </c>
      <c r="D28" s="8" t="str">
        <f aca="false">TEXT(Estimates!AX15,"0.000")&amp;IF(Estimates!BA15="","",IF(Estimates!BA15&lt;0.01,"***",IF(Estimates!BA15&lt;0.05,"**",IF(Estimates!BA15&lt;0.1,"*",""))))</f>
        <v>-0.069**</v>
      </c>
      <c r="E28" s="8" t="str">
        <f aca="false">TEXT(Estimates!BB15,"0.000")&amp;IF(Estimates!BE15="","",IF(Estimates!BE15&lt;0.01,"***",IF(Estimates!BE15&lt;0.05,"**",IF(Estimates!BE15&lt;0.1,"*",""))))</f>
        <v>-0.065</v>
      </c>
      <c r="F28" s="8" t="str">
        <f aca="false">TEXT(Estimates!BF15,"0.000")&amp;IF(Estimates!BI15="","",IF(Estimates!BI15&lt;0.01,"***",IF(Estimates!BI15&lt;0.05,"**",IF(Estimates!BI15&lt;0.1,"*",""))))</f>
        <v>0.015</v>
      </c>
    </row>
    <row r="29" customFormat="false" ht="15" hidden="false" customHeight="false" outlineLevel="0" collapsed="false">
      <c r="B29" s="8" t="str">
        <f aca="false">IF(Estimates!AR15="","(n/a)","("&amp;TEXT(Estimates!AR15,"0.00")&amp;")")</f>
        <v>(-1.12)</v>
      </c>
      <c r="C29" s="8" t="str">
        <f aca="false">IF(Estimates!AV15="","(n/a)","("&amp;TEXT(Estimates!AV15,"0.00")&amp;")")</f>
        <v>(-0.54)</v>
      </c>
      <c r="D29" s="8" t="str">
        <f aca="false">IF(Estimates!AZ15="","(n/a)","("&amp;TEXT(Estimates!AZ15,"0.00")&amp;")")</f>
        <v>(-2.23)</v>
      </c>
      <c r="E29" s="8" t="str">
        <f aca="false">IF(Estimates!BD15="","(n/a)","("&amp;TEXT(Estimates!BD15,"0.00")&amp;")")</f>
        <v>(-1.36)</v>
      </c>
      <c r="F29" s="8" t="str">
        <f aca="false">IF(Estimates!BH15="","(n/a)","("&amp;TEXT(Estimates!BH15,"0.00")&amp;")")</f>
        <v>(0.24)</v>
      </c>
    </row>
    <row r="30" customFormat="false" ht="15" hidden="false" customHeight="false" outlineLevel="0" collapsed="false">
      <c r="A30" s="7" t="s">
        <v>20</v>
      </c>
      <c r="B30" s="8" t="str">
        <f aca="false">TEXT(Estimates!AP16,"0.000")&amp;IF(Estimates!AS16="","",IF(Estimates!AS16&lt;0.01,"***",IF(Estimates!AS16&lt;0.05,"**",IF(Estimates!AS16&lt;0.1,"*",""))))</f>
        <v>0.034</v>
      </c>
      <c r="C30" s="8" t="str">
        <f aca="false">TEXT(Estimates!AT16,"0.000")&amp;IF(Estimates!AW16="","",IF(Estimates!AW16&lt;0.01,"***",IF(Estimates!AW16&lt;0.05,"**",IF(Estimates!AW16&lt;0.1,"*",""))))</f>
        <v>0.022</v>
      </c>
    </row>
    <row r="31" customFormat="false" ht="15" hidden="false" customHeight="false" outlineLevel="0" collapsed="false">
      <c r="B31" s="8" t="str">
        <f aca="false">IF(Estimates!AR16="","(n/a)","("&amp;TEXT(Estimates!AR16,"0.00")&amp;")")</f>
        <v>(0.73)</v>
      </c>
      <c r="C31" s="8" t="str">
        <f aca="false">IF(Estimates!AV16="","(n/a)","("&amp;TEXT(Estimates!AV16,"0.00")&amp;")")</f>
        <v>(0.40)</v>
      </c>
    </row>
    <row r="32" customFormat="false" ht="15" hidden="false" customHeight="false" outlineLevel="0" collapsed="false">
      <c r="A32" s="7" t="s">
        <v>21</v>
      </c>
      <c r="C32" s="8" t="str">
        <f aca="false">TEXT(Estimates!AT17,"0.000")&amp;IF(Estimates!AW17="","",IF(Estimates!AW17&lt;0.01,"***",IF(Estimates!AW17&lt;0.05,"**",IF(Estimates!AW17&lt;0.1,"*",""))))</f>
        <v>0.044</v>
      </c>
      <c r="D32" s="8" t="str">
        <f aca="false">TEXT(Estimates!AX17,"0.000")&amp;IF(Estimates!BA17="","",IF(Estimates!BA17&lt;0.01,"***",IF(Estimates!BA17&lt;0.05,"**",IF(Estimates!BA17&lt;0.1,"*",""))))</f>
        <v>-0.461**</v>
      </c>
    </row>
    <row r="33" customFormat="false" ht="15" hidden="false" customHeight="false" outlineLevel="0" collapsed="false">
      <c r="C33" s="8" t="str">
        <f aca="false">IF(Estimates!AV17="","(n/a)","("&amp;TEXT(Estimates!AV17,"0.00")&amp;")")</f>
        <v>(0.19)</v>
      </c>
      <c r="D33" s="8" t="str">
        <f aca="false">IF(Estimates!AZ17="","(n/a)","("&amp;TEXT(Estimates!AZ17,"0.00")&amp;")")</f>
        <v>(-2.25)</v>
      </c>
    </row>
    <row r="34" customFormat="false" ht="15" hidden="false" customHeight="false" outlineLevel="0" collapsed="false">
      <c r="A34" s="7" t="s">
        <v>22</v>
      </c>
      <c r="C34" s="8" t="str">
        <f aca="false">TEXT(Estimates!AT18,"0.000")&amp;IF(Estimates!AW18="","",IF(Estimates!AW18&lt;0.01,"***",IF(Estimates!AW18&lt;0.05,"**",IF(Estimates!AW18&lt;0.1,"*",""))))</f>
        <v>-0.004</v>
      </c>
      <c r="D34" s="8" t="str">
        <f aca="false">TEXT(Estimates!AX18,"0.000")&amp;IF(Estimates!BA18="","",IF(Estimates!BA18&lt;0.01,"***",IF(Estimates!BA18&lt;0.05,"**",IF(Estimates!BA18&lt;0.1,"*",""))))</f>
        <v>0.057*</v>
      </c>
    </row>
    <row r="35" customFormat="false" ht="15" hidden="false" customHeight="false" outlineLevel="0" collapsed="false">
      <c r="C35" s="8" t="str">
        <f aca="false">IF(Estimates!AV18="","(n/a)","("&amp;TEXT(Estimates!AV18,"0.00")&amp;")")</f>
        <v>(-0.10)</v>
      </c>
      <c r="D35" s="8" t="str">
        <f aca="false">IF(Estimates!AZ18="","(n/a)","("&amp;TEXT(Estimates!AZ18,"0.00")&amp;")")</f>
        <v>(1.76)</v>
      </c>
    </row>
    <row r="36" customFormat="false" ht="15" hidden="false" customHeight="false" outlineLevel="0" collapsed="false">
      <c r="A36" s="7" t="s">
        <v>23</v>
      </c>
      <c r="C36" s="8" t="str">
        <f aca="false">TEXT(Estimates!AT19,"0.000")&amp;IF(Estimates!AW19="","",IF(Estimates!AW19&lt;0.01,"***",IF(Estimates!AW19&lt;0.05,"**",IF(Estimates!AW19&lt;0.1,"*",""))))</f>
        <v>-0.201***</v>
      </c>
      <c r="D36" s="8" t="str">
        <f aca="false">TEXT(Estimates!AX19,"0.000")&amp;IF(Estimates!BA19="","",IF(Estimates!BA19&lt;0.01,"***",IF(Estimates!BA19&lt;0.05,"**",IF(Estimates!BA19&lt;0.1,"*",""))))</f>
        <v>-0.029</v>
      </c>
    </row>
    <row r="37" customFormat="false" ht="15" hidden="false" customHeight="false" outlineLevel="0" collapsed="false">
      <c r="C37" s="8" t="str">
        <f aca="false">IF(Estimates!AV19="","(n/a)","("&amp;TEXT(Estimates!AV19,"0.00")&amp;")")</f>
        <v>(-2.92)</v>
      </c>
      <c r="D37" s="8" t="str">
        <f aca="false">IF(Estimates!AZ19="","(n/a)","("&amp;TEXT(Estimates!AZ19,"0.00")&amp;")")</f>
        <v>(-0.35)</v>
      </c>
    </row>
    <row r="38" customFormat="false" ht="15" hidden="false" customHeight="false" outlineLevel="0" collapsed="false">
      <c r="A38" s="7" t="s">
        <v>24</v>
      </c>
      <c r="C38" s="8" t="str">
        <f aca="false">TEXT(Estimates!AT20,"0.000")&amp;IF(Estimates!AW20="","",IF(Estimates!AW20&lt;0.01,"***",IF(Estimates!AW20&lt;0.05,"**",IF(Estimates!AW20&lt;0.1,"*",""))))</f>
        <v>-0.068</v>
      </c>
      <c r="D38" s="8" t="str">
        <f aca="false">TEXT(Estimates!AX20,"0.000")&amp;IF(Estimates!BA20="","",IF(Estimates!BA20&lt;0.01,"***",IF(Estimates!BA20&lt;0.05,"**",IF(Estimates!BA20&lt;0.1,"*",""))))</f>
        <v>-0.108*</v>
      </c>
    </row>
    <row r="39" customFormat="false" ht="15" hidden="false" customHeight="false" outlineLevel="0" collapsed="false">
      <c r="C39" s="8" t="str">
        <f aca="false">IF(Estimates!AV20="","(n/a)","("&amp;TEXT(Estimates!AV20,"0.00")&amp;")")</f>
        <v>(-1.19)</v>
      </c>
      <c r="D39" s="8" t="str">
        <f aca="false">IF(Estimates!AZ20="","(n/a)","("&amp;TEXT(Estimates!AZ20,"0.00")&amp;")")</f>
        <v>(-2.09)</v>
      </c>
    </row>
    <row r="40" customFormat="false" ht="15" hidden="false" customHeight="false" outlineLevel="0" collapsed="false">
      <c r="A40" s="7" t="s">
        <v>25</v>
      </c>
      <c r="C40" s="8" t="str">
        <f aca="false">TEXT(Estimates!AT21,"0.000")&amp;IF(Estimates!AW21="","",IF(Estimates!AW21&lt;0.01,"***",IF(Estimates!AW21&lt;0.05,"**",IF(Estimates!AW21&lt;0.1,"*",""))))</f>
        <v>0.073</v>
      </c>
    </row>
    <row r="41" customFormat="false" ht="15" hidden="false" customHeight="false" outlineLevel="0" collapsed="false">
      <c r="C41" s="8" t="str">
        <f aca="false">IF(Estimates!AV21="","(n/a)","("&amp;TEXT(Estimates!AV21,"0.00")&amp;")")</f>
        <v>(1.20)</v>
      </c>
    </row>
    <row r="42" customFormat="false" ht="15" hidden="false" customHeight="false" outlineLevel="0" collapsed="false">
      <c r="A42" s="7" t="s">
        <v>26</v>
      </c>
      <c r="C42" s="8" t="str">
        <f aca="false">TEXT(Estimates!AT22,"0.000")&amp;IF(Estimates!AW22="","",IF(Estimates!AW22&lt;0.01,"***",IF(Estimates!AW22&lt;0.05,"**",IF(Estimates!AW22&lt;0.1,"*",""))))</f>
        <v>0.003</v>
      </c>
      <c r="D42" s="8" t="str">
        <f aca="false">TEXT(Estimates!AX22,"0.000")&amp;IF(Estimates!BA22="","",IF(Estimates!BA22&lt;0.01,"***",IF(Estimates!BA22&lt;0.05,"**",IF(Estimates!BA22&lt;0.1,"*",""))))</f>
        <v>1.197*</v>
      </c>
    </row>
    <row r="43" customFormat="false" ht="15" hidden="false" customHeight="false" outlineLevel="0" collapsed="false">
      <c r="C43" s="8" t="str">
        <f aca="false">IF(Estimates!AV22="","(n/a)","("&amp;TEXT(Estimates!AV22,"0.00")&amp;")")</f>
        <v>(0.04)</v>
      </c>
      <c r="D43" s="8" t="str">
        <f aca="false">IF(Estimates!AZ22="","(n/a)","("&amp;TEXT(Estimates!AZ22,"0.00")&amp;")")</f>
        <v>(1.85)</v>
      </c>
    </row>
    <row r="45" customFormat="false" ht="15" hidden="false" customHeight="false" outlineLevel="0" collapsed="false">
      <c r="A45" s="7" t="s">
        <v>27</v>
      </c>
      <c r="B45" s="9" t="n">
        <f aca="false">Estimates!AP24</f>
        <v>266</v>
      </c>
      <c r="C45" s="9" t="n">
        <f aca="false">Estimates!AT24</f>
        <v>251</v>
      </c>
      <c r="D45" s="9" t="n">
        <f aca="false">Estimates!AX24</f>
        <v>250</v>
      </c>
      <c r="E45" s="9" t="n">
        <f aca="false">Estimates!BB24</f>
        <v>250</v>
      </c>
      <c r="F45" s="9" t="n">
        <f aca="false">Estimates!BF24</f>
        <v>162</v>
      </c>
    </row>
    <row r="46" customFormat="false" ht="15" hidden="false" customHeight="false" outlineLevel="0" collapsed="false">
      <c r="A46" s="7" t="s">
        <v>28</v>
      </c>
      <c r="B46" s="10" t="n">
        <f aca="false">Estimates!AP27</f>
        <v>0.482826858995348</v>
      </c>
      <c r="C46" s="10" t="n">
        <f aca="false">Estimates!AT27</f>
        <v>0.54630344256359</v>
      </c>
      <c r="D46" s="10" t="n">
        <f aca="false">Estimates!AX27</f>
        <v>0.718726054213799</v>
      </c>
      <c r="E46" s="10" t="n">
        <f aca="false">Estimates!BB27</f>
        <v>0.782064028908011</v>
      </c>
      <c r="F46" s="10" t="n">
        <f aca="false">Estimates!BF27</f>
        <v>0.81172228769788</v>
      </c>
    </row>
    <row r="47" customFormat="false" ht="15" hidden="false" customHeight="false" outlineLevel="0" collapsed="false">
      <c r="A47" s="7" t="s">
        <v>44</v>
      </c>
      <c r="B47" s="14" t="n">
        <f aca="false">Estimates!AP28</f>
        <v>40</v>
      </c>
      <c r="C47" s="14" t="n">
        <f aca="false">Estimates!AT28</f>
        <v>37</v>
      </c>
      <c r="D47" s="14" t="n">
        <f aca="false">Estimates!AX28</f>
        <v>37</v>
      </c>
      <c r="E47" s="14" t="n">
        <f aca="false">Estimates!BB28</f>
        <v>40</v>
      </c>
      <c r="F47" s="14" t="n">
        <f aca="false">Estimates!BF28</f>
        <v>20</v>
      </c>
    </row>
    <row r="48" customFormat="false" ht="15" hidden="false" customHeight="false" outlineLevel="0" collapsed="false">
      <c r="A48" s="7" t="s">
        <v>29</v>
      </c>
      <c r="B48" s="11" t="s">
        <v>30</v>
      </c>
      <c r="C48" s="11" t="s">
        <v>30</v>
      </c>
      <c r="D48" s="11" t="s">
        <v>31</v>
      </c>
      <c r="E48" s="11" t="s">
        <v>30</v>
      </c>
      <c r="F48" s="11" t="s">
        <v>30</v>
      </c>
    </row>
    <row r="49" customFormat="false" ht="15" hidden="false" customHeight="false" outlineLevel="0" collapsed="false">
      <c r="A49" s="7" t="s">
        <v>32</v>
      </c>
      <c r="B49" s="11" t="s">
        <v>31</v>
      </c>
      <c r="C49" s="11" t="s">
        <v>31</v>
      </c>
      <c r="D49" s="11" t="s">
        <v>31</v>
      </c>
      <c r="E49" s="11" t="s">
        <v>31</v>
      </c>
      <c r="F49" s="11" t="s">
        <v>31</v>
      </c>
    </row>
    <row r="50" customFormat="false" ht="15" hidden="false" customHeight="false" outlineLevel="0" collapsed="false">
      <c r="A50" s="7" t="s">
        <v>45</v>
      </c>
      <c r="B50" s="11" t="s">
        <v>30</v>
      </c>
      <c r="C50" s="11" t="s">
        <v>30</v>
      </c>
      <c r="D50" s="11" t="s">
        <v>30</v>
      </c>
      <c r="E50" s="11" t="s">
        <v>31</v>
      </c>
      <c r="F50" s="11" t="s">
        <v>31</v>
      </c>
    </row>
    <row r="51" customFormat="false" ht="15" hidden="false" customHeight="false" outlineLevel="0" collapsed="false">
      <c r="A51" s="12" t="s">
        <v>46</v>
      </c>
      <c r="B51" s="6"/>
      <c r="C51" s="6"/>
      <c r="D51" s="6"/>
      <c r="E51" s="6"/>
      <c r="F51" s="6" t="s">
        <v>47</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8" min="2" style="0" width="13"/>
  </cols>
  <sheetData>
    <row r="1" customFormat="false" ht="15" hidden="false" customHeight="false" outlineLevel="0" collapsed="false">
      <c r="A1" s="1" t="s">
        <v>50</v>
      </c>
    </row>
    <row r="2" customFormat="false" ht="105" hidden="false" customHeight="true" outlineLevel="0" collapsed="false">
      <c r="A2" s="2" t="s">
        <v>51</v>
      </c>
      <c r="B2" s="2"/>
      <c r="C2" s="2"/>
      <c r="D2" s="2"/>
      <c r="E2" s="2"/>
      <c r="F2" s="2"/>
      <c r="G2" s="2"/>
      <c r="H2" s="2"/>
    </row>
    <row r="4" customFormat="false" ht="23.85" hidden="false" customHeight="false" outlineLevel="0" collapsed="false">
      <c r="A4" s="15"/>
      <c r="B4" s="15" t="s">
        <v>52</v>
      </c>
      <c r="C4" s="15" t="s">
        <v>53</v>
      </c>
      <c r="D4" s="15" t="s">
        <v>54</v>
      </c>
      <c r="E4" s="15" t="s">
        <v>55</v>
      </c>
      <c r="F4" s="15" t="s">
        <v>56</v>
      </c>
      <c r="G4" s="15" t="s">
        <v>57</v>
      </c>
      <c r="H4" s="15" t="s">
        <v>58</v>
      </c>
      <c r="J4" s="16" t="s">
        <v>59</v>
      </c>
      <c r="K4" s="16" t="s">
        <v>60</v>
      </c>
      <c r="L4" s="16" t="s">
        <v>61</v>
      </c>
    </row>
    <row r="5" customFormat="false" ht="15" hidden="false" customHeight="false" outlineLevel="0" collapsed="false">
      <c r="A5" s="7" t="s">
        <v>62</v>
      </c>
      <c r="B5" s="17" t="n">
        <v>37</v>
      </c>
      <c r="C5" s="18" t="n">
        <v>-0.496722508589676</v>
      </c>
      <c r="D5" s="18" t="n">
        <v>-0.235469095488781</v>
      </c>
      <c r="E5" s="8" t="str">
        <f aca="false">TEXT(D5-C5,"0.000")&amp;IF(L5&lt;0.01,"***",IF(L5&lt;0.05,"**",IF(L5&lt;0.1,"*","")))</f>
        <v>0.261</v>
      </c>
      <c r="F5" s="8" t="str">
        <f aca="false">TEXT(K5,"0.00")</f>
        <v>0.59</v>
      </c>
      <c r="G5" s="19" t="n">
        <v>0.621621621621622</v>
      </c>
      <c r="H5" s="18" t="n">
        <v>0.377726926206378</v>
      </c>
      <c r="J5" s="20" t="n">
        <v>2.68638223841313</v>
      </c>
      <c r="K5" s="7" t="n">
        <f aca="false">(D5-C5)/(J5/SQRT(B5))</f>
        <v>0.591554861180652</v>
      </c>
      <c r="L5" s="7" t="n">
        <f aca="false">TDIST(ABS(K5),B5-1,2)</f>
        <v>0.557845417436398</v>
      </c>
    </row>
    <row r="6" customFormat="false" ht="15" hidden="false" customHeight="false" outlineLevel="0" collapsed="false">
      <c r="A6" s="7" t="s">
        <v>63</v>
      </c>
      <c r="B6" s="17" t="n">
        <v>30</v>
      </c>
      <c r="C6" s="18" t="n">
        <v>0.0449248677248678</v>
      </c>
      <c r="D6" s="18" t="n">
        <v>0.181985185185185</v>
      </c>
      <c r="E6" s="8" t="str">
        <f aca="false">TEXT(D6-C6,"0.000")&amp;IF(L6&lt;0.01,"***",IF(L6&lt;0.05,"**",IF(L6&lt;0.1,"*","")))</f>
        <v>0.137</v>
      </c>
      <c r="F6" s="8" t="str">
        <f aca="false">TEXT(K6,"0.00")</f>
        <v>0.29</v>
      </c>
      <c r="G6" s="19" t="n">
        <v>0.5</v>
      </c>
      <c r="H6" s="18" t="n">
        <v>1</v>
      </c>
      <c r="J6" s="20" t="n">
        <v>2.5905276335801</v>
      </c>
      <c r="K6" s="7" t="n">
        <f aca="false">(D6-C6)/(J6/SQRT(B6))</f>
        <v>0.289790491476391</v>
      </c>
      <c r="L6" s="7" t="n">
        <f aca="false">TDIST(ABS(K6),B6-1,2)</f>
        <v>0.774038460529599</v>
      </c>
    </row>
    <row r="7" customFormat="false" ht="15" hidden="false" customHeight="false" outlineLevel="0" collapsed="false">
      <c r="A7" s="12" t="s">
        <v>64</v>
      </c>
      <c r="B7" s="21" t="n">
        <v>35</v>
      </c>
      <c r="C7" s="22" t="n">
        <v>0.293334538583011</v>
      </c>
      <c r="D7" s="22" t="n">
        <v>0.356888088432329</v>
      </c>
      <c r="E7" s="23" t="str">
        <f aca="false">TEXT(D7-C7,"0.000")&amp;IF(L7&lt;0.01,"***",IF(L7&lt;0.05,"**",IF(L7&lt;0.1,"*","")))</f>
        <v>0.064**</v>
      </c>
      <c r="F7" s="23" t="str">
        <f aca="false">TEXT(K7,"0.00")</f>
        <v>2.24</v>
      </c>
      <c r="G7" s="24" t="n">
        <v>0.657142857142857</v>
      </c>
      <c r="H7" s="22" t="n">
        <v>0.0300070070079528</v>
      </c>
      <c r="J7" s="20" t="n">
        <v>0.168102356442351</v>
      </c>
      <c r="K7" s="7" t="n">
        <f aca="false">(D7-C7)/(J7/SQRT(B7))</f>
        <v>2.23666032627394</v>
      </c>
      <c r="L7" s="7" t="n">
        <f aca="false">TDIST(ABS(K7),B7-1,2)</f>
        <v>0.0319755049821878</v>
      </c>
    </row>
  </sheetData>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37" min="2" style="0" width="9"/>
  </cols>
  <sheetData>
    <row r="1" customFormat="false" ht="15" hidden="false" customHeight="false" outlineLevel="0" collapsed="false">
      <c r="A1" s="16" t="s">
        <v>65</v>
      </c>
    </row>
    <row r="3" customFormat="false" ht="23.85" hidden="false" customHeight="false" outlineLevel="0" collapsed="false">
      <c r="A3" s="1" t="s">
        <v>66</v>
      </c>
      <c r="B3" s="25" t="s">
        <v>67</v>
      </c>
      <c r="C3" s="25" t="s">
        <v>68</v>
      </c>
      <c r="D3" s="25" t="s">
        <v>69</v>
      </c>
      <c r="E3" s="25" t="s">
        <v>70</v>
      </c>
      <c r="F3" s="25" t="s">
        <v>71</v>
      </c>
      <c r="G3" s="25" t="s">
        <v>72</v>
      </c>
      <c r="H3" s="25" t="s">
        <v>73</v>
      </c>
      <c r="I3" s="25" t="s">
        <v>74</v>
      </c>
      <c r="J3" s="25" t="s">
        <v>75</v>
      </c>
      <c r="K3" s="25" t="s">
        <v>76</v>
      </c>
      <c r="L3" s="25" t="s">
        <v>77</v>
      </c>
      <c r="M3" s="25" t="s">
        <v>78</v>
      </c>
      <c r="N3" s="25" t="s">
        <v>79</v>
      </c>
      <c r="O3" s="25" t="s">
        <v>80</v>
      </c>
      <c r="P3" s="25" t="s">
        <v>81</v>
      </c>
      <c r="Q3" s="25" t="s">
        <v>82</v>
      </c>
      <c r="R3" s="25" t="s">
        <v>83</v>
      </c>
      <c r="S3" s="25" t="s">
        <v>84</v>
      </c>
      <c r="T3" s="25" t="s">
        <v>85</v>
      </c>
      <c r="U3" s="25" t="s">
        <v>86</v>
      </c>
      <c r="V3" s="25" t="s">
        <v>87</v>
      </c>
      <c r="W3" s="25" t="s">
        <v>88</v>
      </c>
      <c r="X3" s="25" t="s">
        <v>89</v>
      </c>
      <c r="Y3" s="25" t="s">
        <v>90</v>
      </c>
      <c r="Z3" s="25" t="s">
        <v>91</v>
      </c>
      <c r="AA3" s="25" t="s">
        <v>92</v>
      </c>
      <c r="AB3" s="25" t="s">
        <v>93</v>
      </c>
      <c r="AC3" s="25" t="s">
        <v>94</v>
      </c>
      <c r="AD3" s="25" t="s">
        <v>95</v>
      </c>
      <c r="AE3" s="25" t="s">
        <v>96</v>
      </c>
      <c r="AF3" s="25" t="s">
        <v>97</v>
      </c>
      <c r="AG3" s="25" t="s">
        <v>98</v>
      </c>
      <c r="AH3" s="25" t="s">
        <v>99</v>
      </c>
      <c r="AI3" s="25" t="s">
        <v>100</v>
      </c>
      <c r="AJ3" s="25" t="s">
        <v>101</v>
      </c>
      <c r="AK3" s="25" t="s">
        <v>102</v>
      </c>
    </row>
    <row r="4" customFormat="false" ht="15" hidden="false" customHeight="false" outlineLevel="0" collapsed="false">
      <c r="A4" s="7" t="s">
        <v>7</v>
      </c>
      <c r="B4" s="26" t="n">
        <v>-0.474202819712676</v>
      </c>
      <c r="C4" s="26" t="n">
        <v>0.188949439378485</v>
      </c>
      <c r="D4" s="27" t="n">
        <f aca="false">IF(C4&gt;0,B4/C4,"")</f>
        <v>-2.50968100922913</v>
      </c>
      <c r="E4" s="27" t="n">
        <f aca="false">IF(C4&gt;0,TDIST(ABS(D4),MIN(B27,B28)-1,2),"")</f>
        <v>0.0218633424930845</v>
      </c>
      <c r="F4" s="26" t="n">
        <v>-0.497287148555811</v>
      </c>
      <c r="G4" s="26" t="n">
        <v>0.236742124198374</v>
      </c>
      <c r="H4" s="27" t="n">
        <f aca="false">IF(G4&gt;0,F4/G4,"")</f>
        <v>-2.10054357769941</v>
      </c>
      <c r="I4" s="27" t="n">
        <f aca="false">IF(G4&gt;0,TDIST(ABS(H4),MIN(F27,F28)-1,2),"")</f>
        <v>0.0500370901557046</v>
      </c>
      <c r="J4" s="26" t="n">
        <v>-0.844839713052081</v>
      </c>
      <c r="K4" s="26" t="n">
        <v>0.369125833123658</v>
      </c>
      <c r="L4" s="27" t="n">
        <f aca="false">IF(K4&gt;0,J4/K4,"")</f>
        <v>-2.28875802569217</v>
      </c>
      <c r="M4" s="27" t="n">
        <f aca="false">IF(K4&gt;0,TDIST(ABS(L4),MIN(J27,J28)-1,2),"")</f>
        <v>0.0344013901089533</v>
      </c>
      <c r="N4" s="26" t="n">
        <v>-0.526002399813108</v>
      </c>
      <c r="O4" s="26" t="n">
        <v>0.221732173493479</v>
      </c>
      <c r="P4" s="27" t="n">
        <f aca="false">IF(O4&gt;0,N4/O4,"")</f>
        <v>-2.37224211320229</v>
      </c>
      <c r="Q4" s="27" t="n">
        <f aca="false">IF(O4&gt;0,TDIST(ABS(P4),MIN(N27,N28)-1,2),"")</f>
        <v>0.0290317431245156</v>
      </c>
      <c r="R4" s="26" t="n">
        <v>-0.575054935056159</v>
      </c>
      <c r="S4" s="26" t="n">
        <v>0.174877343223363</v>
      </c>
      <c r="T4" s="27" t="n">
        <f aca="false">IF(S4&gt;0,R4/S4,"")</f>
        <v>-3.28833297931378</v>
      </c>
      <c r="U4" s="27" t="n">
        <f aca="false">IF(S4&gt;0,TDIST(ABS(T4),MIN(R27,R28)-1,2),"")</f>
        <v>0.00408514747675722</v>
      </c>
      <c r="V4" s="26" t="n">
        <v>-0.64583169236704</v>
      </c>
      <c r="W4" s="26" t="n">
        <v>0.239167204246394</v>
      </c>
      <c r="X4" s="27" t="n">
        <f aca="false">IF(W4&gt;0,V4/W4,"")</f>
        <v>-2.70033550127422</v>
      </c>
      <c r="Y4" s="27" t="n">
        <f aca="false">IF(W4&gt;0,TDIST(ABS(X4),MIN(V27,V28)-1,2),"")</f>
        <v>0.0146412282778697</v>
      </c>
      <c r="Z4" s="26" t="n">
        <v>-0.0652605911933413</v>
      </c>
      <c r="AA4" s="26" t="n">
        <v>0.038877102534854</v>
      </c>
      <c r="AB4" s="27" t="n">
        <f aca="false">IF(AA4&gt;0,Z4/AA4,"")</f>
        <v>-1.67863824560573</v>
      </c>
      <c r="AC4" s="27" t="n">
        <f aca="false">IF(AA4&gt;0,TDIST(ABS(AB4),MIN(Z27,Z28)-1,2),"")</f>
        <v>0.110498328581191</v>
      </c>
      <c r="AD4" s="26" t="n">
        <v>-0.0268514106444087</v>
      </c>
      <c r="AE4" s="26" t="n">
        <v>0.0511466966415866</v>
      </c>
      <c r="AF4" s="27" t="n">
        <f aca="false">IF(AE4&gt;0,AD4/AE4,"")</f>
        <v>-0.524988169472048</v>
      </c>
      <c r="AG4" s="27" t="n">
        <f aca="false">IF(AE4&gt;0,TDIST(ABS(AF4),MIN(AD27,AD28)-1,2),"")</f>
        <v>0.605998005388415</v>
      </c>
      <c r="AH4" s="26" t="n">
        <v>0.0408592545690234</v>
      </c>
      <c r="AI4" s="26" t="n">
        <v>0.059405049669057</v>
      </c>
      <c r="AJ4" s="27" t="n">
        <f aca="false">IF(AI4&gt;0,AH4/AI4,"")</f>
        <v>0.68780776712836</v>
      </c>
      <c r="AK4" s="27" t="n">
        <f aca="false">IF(AI4&gt;0,TDIST(ABS(AJ4),MIN(AH27,AH28)-1,2),"")</f>
        <v>0.500341898202308</v>
      </c>
    </row>
    <row r="5" customFormat="false" ht="15" hidden="false" customHeight="false" outlineLevel="0" collapsed="false">
      <c r="A5" s="7" t="s">
        <v>8</v>
      </c>
      <c r="B5" s="26" t="n">
        <v>-0.595640856978858</v>
      </c>
      <c r="C5" s="26" t="n">
        <v>0.17914607447663</v>
      </c>
      <c r="D5" s="27" t="n">
        <f aca="false">IF(C5&gt;0,B5/C5,"")</f>
        <v>-3.32488924872624</v>
      </c>
      <c r="E5" s="27" t="n">
        <f aca="false">IF(C5&gt;0,TDIST(ABS(D5),MIN(B27,B28)-1,2),"")</f>
        <v>0.00376838217803051</v>
      </c>
      <c r="F5" s="26" t="n">
        <v>-0.536450209479627</v>
      </c>
      <c r="G5" s="26" t="n">
        <v>0.209155800566583</v>
      </c>
      <c r="H5" s="27" t="n">
        <f aca="false">IF(G5&gt;0,F5/G5,"")</f>
        <v>-2.564835438589</v>
      </c>
      <c r="I5" s="27" t="n">
        <f aca="false">IF(G5&gt;0,TDIST(ABS(H5),MIN(F27,F28)-1,2),"")</f>
        <v>0.0194853812031898</v>
      </c>
      <c r="J5" s="26" t="n">
        <v>-0.644086472061161</v>
      </c>
      <c r="K5" s="26" t="n">
        <v>0.318979097682743</v>
      </c>
      <c r="L5" s="27" t="n">
        <f aca="false">IF(K5&gt;0,J5/K5,"")</f>
        <v>-2.01921215759965</v>
      </c>
      <c r="M5" s="27" t="n">
        <f aca="false">IF(K5&gt;0,TDIST(ABS(L5),MIN(J27,J28)-1,2),"")</f>
        <v>0.0586116287995845</v>
      </c>
      <c r="N5" s="26" t="n">
        <v>-0.338412259687653</v>
      </c>
      <c r="O5" s="26" t="n">
        <v>0.179546757964484</v>
      </c>
      <c r="P5" s="27" t="n">
        <f aca="false">IF(O5&gt;0,N5/O5,"")</f>
        <v>-1.88481409257523</v>
      </c>
      <c r="Q5" s="27" t="n">
        <f aca="false">IF(O5&gt;0,TDIST(ABS(P5),MIN(N27,N28)-1,2),"")</f>
        <v>0.0757061170502151</v>
      </c>
      <c r="R5" s="26" t="n">
        <v>-0.388333757237709</v>
      </c>
      <c r="S5" s="26" t="n">
        <v>0.163569146026553</v>
      </c>
      <c r="T5" s="27" t="n">
        <f aca="false">IF(S5&gt;0,R5/S5,"")</f>
        <v>-2.37412596856542</v>
      </c>
      <c r="U5" s="27" t="n">
        <f aca="false">IF(S5&gt;0,TDIST(ABS(T5),MIN(R27,R28)-1,2),"")</f>
        <v>0.0289201100539641</v>
      </c>
      <c r="V5" s="26" t="n">
        <v>-0.218953762819967</v>
      </c>
      <c r="W5" s="26" t="n">
        <v>0.216680017502056</v>
      </c>
      <c r="X5" s="27" t="n">
        <f aca="false">IF(W5&gt;0,V5/W5,"")</f>
        <v>-1.01049356255424</v>
      </c>
      <c r="Y5" s="27" t="n">
        <f aca="false">IF(W5&gt;0,TDIST(ABS(X5),MIN(V27,V28)-1,2),"")</f>
        <v>0.325650423030642</v>
      </c>
      <c r="Z5" s="26" t="n">
        <v>-0.0688919000386695</v>
      </c>
      <c r="AA5" s="26" t="n">
        <v>0.0427174985850398</v>
      </c>
      <c r="AB5" s="27" t="n">
        <f aca="false">IF(AA5&gt;0,Z5/AA5,"")</f>
        <v>-1.61273254101064</v>
      </c>
      <c r="AC5" s="27" t="n">
        <f aca="false">IF(AA5&gt;0,TDIST(ABS(AB5),MIN(Z27,Z28)-1,2),"")</f>
        <v>0.124197069232805</v>
      </c>
      <c r="AD5" s="26" t="n">
        <v>-0.0422963768020696</v>
      </c>
      <c r="AE5" s="26" t="n">
        <v>0.046561044311469</v>
      </c>
      <c r="AF5" s="27" t="n">
        <f aca="false">IF(AE5&gt;0,AD5/AE5,"")</f>
        <v>-0.908406961818316</v>
      </c>
      <c r="AG5" s="27" t="n">
        <f aca="false">IF(AE5&gt;0,TDIST(ABS(AF5),MIN(AD27,AD28)-1,2),"")</f>
        <v>0.375665773770588</v>
      </c>
      <c r="AH5" s="26" t="n">
        <v>0.0309482362194307</v>
      </c>
      <c r="AI5" s="26" t="n">
        <v>0.0612106826837987</v>
      </c>
      <c r="AJ5" s="27" t="n">
        <f aca="false">IF(AI5&gt;0,AH5/AI5,"")</f>
        <v>0.505601879647424</v>
      </c>
      <c r="AK5" s="27" t="n">
        <f aca="false">IF(AI5&gt;0,TDIST(ABS(AJ5),MIN(AH27,AH28)-1,2),"")</f>
        <v>0.619271444431891</v>
      </c>
    </row>
    <row r="6" customFormat="false" ht="15" hidden="false" customHeight="false" outlineLevel="0" collapsed="false">
      <c r="A6" s="7" t="s">
        <v>9</v>
      </c>
      <c r="B6" s="26" t="n">
        <v>0.119369087229027</v>
      </c>
      <c r="C6" s="26" t="n">
        <v>0.0771791463319148</v>
      </c>
      <c r="D6" s="27" t="n">
        <f aca="false">IF(C6&gt;0,B6/C6,"")</f>
        <v>1.54664948891337</v>
      </c>
      <c r="E6" s="27" t="n">
        <f aca="false">IF(C6&gt;0,TDIST(ABS(D6),MIN(B27,B28)-1,2),"")</f>
        <v>0.139348848404993</v>
      </c>
      <c r="F6" s="26" t="n">
        <v>0.0911031855789163</v>
      </c>
      <c r="G6" s="26" t="n">
        <v>0.0782834790692471</v>
      </c>
      <c r="H6" s="27" t="n">
        <f aca="false">IF(G6&gt;0,F6/G6,"")</f>
        <v>1.16376005080624</v>
      </c>
      <c r="I6" s="27" t="n">
        <f aca="false">IF(G6&gt;0,TDIST(ABS(H6),MIN(F27,F28)-1,2),"")</f>
        <v>0.259716026352605</v>
      </c>
      <c r="J6" s="26" t="n">
        <v>0.0295043113134024</v>
      </c>
      <c r="K6" s="26" t="n">
        <v>0.0731285954687898</v>
      </c>
      <c r="L6" s="27" t="n">
        <f aca="false">IF(K6&gt;0,J6/K6,"")</f>
        <v>0.40345792400723</v>
      </c>
      <c r="M6" s="27" t="n">
        <f aca="false">IF(K6&gt;0,TDIST(ABS(L6),MIN(J27,J28)-1,2),"")</f>
        <v>0.691363797047</v>
      </c>
      <c r="N6" s="26" t="n">
        <v>0.065833958867087</v>
      </c>
      <c r="O6" s="26" t="n">
        <v>0.0695829820646149</v>
      </c>
      <c r="P6" s="27" t="n">
        <f aca="false">IF(O6&gt;0,N6/O6,"")</f>
        <v>0.946121550323231</v>
      </c>
      <c r="Q6" s="27" t="n">
        <f aca="false">IF(O6&gt;0,TDIST(ABS(P6),MIN(N27,N28)-1,2),"")</f>
        <v>0.356615469927034</v>
      </c>
      <c r="R6" s="26" t="n">
        <v>0.0363981908373826</v>
      </c>
      <c r="S6" s="26" t="n">
        <v>0.070291474563011</v>
      </c>
      <c r="T6" s="27" t="n">
        <f aca="false">IF(S6&gt;0,R6/S6,"")</f>
        <v>0.517818000883655</v>
      </c>
      <c r="U6" s="27" t="n">
        <f aca="false">IF(S6&gt;0,TDIST(ABS(T6),MIN(R27,R28)-1,2),"")</f>
        <v>0.61089119797807</v>
      </c>
      <c r="V6" s="26" t="n">
        <v>0.0199837516472287</v>
      </c>
      <c r="W6" s="26" t="n">
        <v>0.0618028278470256</v>
      </c>
      <c r="X6" s="27" t="n">
        <f aca="false">IF(W6&gt;0,V6/W6,"")</f>
        <v>0.323346881419285</v>
      </c>
      <c r="Y6" s="27" t="n">
        <f aca="false">IF(W6&gt;0,TDIST(ABS(X6),MIN(V27,V28)-1,2),"")</f>
        <v>0.750158906044139</v>
      </c>
      <c r="Z6" s="26" t="n">
        <v>0.00213500581880474</v>
      </c>
      <c r="AA6" s="26" t="n">
        <v>0.00463631582123252</v>
      </c>
      <c r="AB6" s="27" t="n">
        <f aca="false">IF(AA6&gt;0,Z6/AA6,"")</f>
        <v>0.460496200243141</v>
      </c>
      <c r="AC6" s="27" t="n">
        <f aca="false">IF(AA6&gt;0,TDIST(ABS(AB6),MIN(Z27,Z28)-1,2),"")</f>
        <v>0.650674715677547</v>
      </c>
      <c r="AD6" s="26" t="n">
        <v>0.00121069437208705</v>
      </c>
      <c r="AE6" s="26" t="n">
        <v>0.00544527592208187</v>
      </c>
      <c r="AF6" s="27" t="n">
        <f aca="false">IF(AE6&gt;0,AD6/AE6,"")</f>
        <v>0.222338480071762</v>
      </c>
      <c r="AG6" s="27" t="n">
        <f aca="false">IF(AE6&gt;0,TDIST(ABS(AF6),MIN(AD27,AD28)-1,2),"")</f>
        <v>0.826553658869164</v>
      </c>
      <c r="AH6" s="26" t="n">
        <v>-0.00283354767519695</v>
      </c>
      <c r="AI6" s="26" t="n">
        <v>0.00346710235398975</v>
      </c>
      <c r="AJ6" s="27" t="n">
        <f aca="false">IF(AI6&gt;0,AH6/AI6,"")</f>
        <v>-0.817266808387198</v>
      </c>
      <c r="AK6" s="27" t="n">
        <f aca="false">IF(AI6&gt;0,TDIST(ABS(AJ6),MIN(AH27,AH28)-1,2),"")</f>
        <v>0.424461929616346</v>
      </c>
    </row>
    <row r="7" customFormat="false" ht="15" hidden="false" customHeight="false" outlineLevel="0" collapsed="false">
      <c r="A7" s="7" t="s">
        <v>10</v>
      </c>
      <c r="B7" s="26" t="n">
        <v>0.0133970388720195</v>
      </c>
      <c r="C7" s="26" t="n">
        <v>0.0507683443093952</v>
      </c>
      <c r="D7" s="27" t="n">
        <f aca="false">IF(C7&gt;0,B7/C7,"")</f>
        <v>0.26388567628628</v>
      </c>
      <c r="E7" s="27" t="n">
        <f aca="false">IF(C7&gt;0,TDIST(ABS(D7),MIN(B27,B28)-1,2),"")</f>
        <v>0.794865469260854</v>
      </c>
      <c r="F7" s="26" t="n">
        <v>0.0719726894801447</v>
      </c>
      <c r="G7" s="26" t="n">
        <v>0.0568665276331979</v>
      </c>
      <c r="H7" s="27" t="n">
        <f aca="false">IF(G7&gt;0,F7/G7,"")</f>
        <v>1.26564241700118</v>
      </c>
      <c r="I7" s="27" t="n">
        <f aca="false">IF(G7&gt;0,TDIST(ABS(H7),MIN(F27,F28)-1,2),"")</f>
        <v>0.22177879581112</v>
      </c>
      <c r="J7" s="26" t="n">
        <v>-1.42792651859576</v>
      </c>
      <c r="K7" s="26" t="n">
        <v>0.80598336666306</v>
      </c>
      <c r="L7" s="27" t="n">
        <f aca="false">IF(K7&gt;0,J7/K7,"")</f>
        <v>-1.77165755232354</v>
      </c>
      <c r="M7" s="27" t="n">
        <f aca="false">IF(K7&gt;0,TDIST(ABS(L7),MIN(J27,J28)-1,2),"")</f>
        <v>0.0933799848256768</v>
      </c>
      <c r="N7" s="26" t="n">
        <v>-0.0513021724279231</v>
      </c>
      <c r="O7" s="26" t="n">
        <v>0.0395814584475694</v>
      </c>
      <c r="P7" s="27" t="n">
        <f aca="false">IF(O7&gt;0,N7/O7,"")</f>
        <v>-1.29611627363048</v>
      </c>
      <c r="Q7" s="27" t="n">
        <f aca="false">IF(O7&gt;0,TDIST(ABS(P7),MIN(N27,N28)-1,2),"")</f>
        <v>0.211308505397744</v>
      </c>
      <c r="R7" s="26" t="n">
        <v>-0.00358228636001841</v>
      </c>
      <c r="S7" s="26" t="n">
        <v>0.0454139858384991</v>
      </c>
      <c r="T7" s="27" t="n">
        <f aca="false">IF(S7&gt;0,R7/S7,"")</f>
        <v>-0.0788806860678935</v>
      </c>
      <c r="U7" s="27" t="n">
        <f aca="false">IF(S7&gt;0,TDIST(ABS(T7),MIN(R27,R28)-1,2),"")</f>
        <v>0.937997839113892</v>
      </c>
      <c r="V7" s="26" t="n">
        <v>-0.00152407647938886</v>
      </c>
      <c r="W7" s="26" t="n">
        <v>0.661722145070873</v>
      </c>
      <c r="X7" s="27" t="n">
        <f aca="false">IF(W7&gt;0,V7/W7,"")</f>
        <v>-0.00230319703026657</v>
      </c>
      <c r="Y7" s="27" t="n">
        <f aca="false">IF(W7&gt;0,TDIST(ABS(X7),MIN(V27,V28)-1,2),"")</f>
        <v>0.998187650419435</v>
      </c>
      <c r="Z7" s="26" t="n">
        <v>-0.0257923262058719</v>
      </c>
      <c r="AA7" s="26" t="n">
        <v>0.0144710555300996</v>
      </c>
      <c r="AB7" s="27" t="n">
        <f aca="false">IF(AA7&gt;0,Z7/AA7,"")</f>
        <v>-1.7823389698301</v>
      </c>
      <c r="AC7" s="27" t="n">
        <f aca="false">IF(AA7&gt;0,TDIST(ABS(AB7),MIN(Z27,Z28)-1,2),"")</f>
        <v>0.0915699865551538</v>
      </c>
      <c r="AD7" s="26" t="n">
        <v>-0.0301764858119466</v>
      </c>
      <c r="AE7" s="26" t="n">
        <v>0.014997869333114</v>
      </c>
      <c r="AF7" s="27" t="n">
        <f aca="false">IF(AE7&gt;0,AD7/AE7,"")</f>
        <v>-2.01205152156643</v>
      </c>
      <c r="AG7" s="27" t="n">
        <f aca="false">IF(AE7&gt;0,TDIST(ABS(AF7),MIN(AD27,AD28)-1,2),"")</f>
        <v>0.0594266770074288</v>
      </c>
      <c r="AH7" s="26" t="n">
        <v>0.0245295627595813</v>
      </c>
      <c r="AI7" s="26" t="n">
        <v>0.120573779733909</v>
      </c>
      <c r="AJ7" s="27" t="n">
        <f aca="false">IF(AI7&gt;0,AH7/AI7,"")</f>
        <v>0.203440273778552</v>
      </c>
      <c r="AK7" s="27" t="n">
        <f aca="false">IF(AI7&gt;0,TDIST(ABS(AJ7),MIN(AH27,AH28)-1,2),"")</f>
        <v>0.841073110265333</v>
      </c>
    </row>
    <row r="8" customFormat="false" ht="15" hidden="false" customHeight="false" outlineLevel="0" collapsed="false">
      <c r="A8" s="7" t="s">
        <v>11</v>
      </c>
      <c r="B8" s="26" t="n">
        <v>-0.00425628854883131</v>
      </c>
      <c r="C8" s="26" t="n">
        <v>0.00453669316586315</v>
      </c>
      <c r="D8" s="27" t="n">
        <f aca="false">IF(C8&gt;0,B8/C8,"")</f>
        <v>-0.938191848824652</v>
      </c>
      <c r="E8" s="27" t="n">
        <f aca="false">IF(C8&gt;0,TDIST(ABS(D8),MIN(B27,B28)-1,2),"")</f>
        <v>0.360565174268344</v>
      </c>
      <c r="F8" s="26" t="n">
        <v>-0.00569553553498511</v>
      </c>
      <c r="G8" s="26" t="n">
        <v>0.00570514899588129</v>
      </c>
      <c r="H8" s="27" t="n">
        <f aca="false">IF(G8&gt;0,F8/G8,"")</f>
        <v>-0.998314950073499</v>
      </c>
      <c r="I8" s="27" t="n">
        <f aca="false">IF(G8&gt;0,TDIST(ABS(H8),MIN(F27,F28)-1,2),"")</f>
        <v>0.331358929297442</v>
      </c>
      <c r="J8" s="26" t="n">
        <v>-0.0300789185159567</v>
      </c>
      <c r="K8" s="26" t="n">
        <v>0.0112322458591442</v>
      </c>
      <c r="L8" s="27" t="n">
        <f aca="false">IF(K8&gt;0,J8/K8,"")</f>
        <v>-2.67790777491479</v>
      </c>
      <c r="M8" s="27" t="n">
        <f aca="false">IF(K8&gt;0,TDIST(ABS(L8),MIN(J27,J28)-1,2),"")</f>
        <v>0.0153547069179334</v>
      </c>
      <c r="N8" s="26" t="n">
        <v>0.00517060639958696</v>
      </c>
      <c r="O8" s="26" t="n">
        <v>0.00459125411199918</v>
      </c>
      <c r="P8" s="27" t="n">
        <f aca="false">IF(O8&gt;0,N8/O8,"")</f>
        <v>1.12618606451637</v>
      </c>
      <c r="Q8" s="27" t="n">
        <f aca="false">IF(O8&gt;0,TDIST(ABS(P8),MIN(N27,N28)-1,2),"")</f>
        <v>0.274878171039195</v>
      </c>
      <c r="R8" s="26" t="n">
        <v>0.0050088123031357</v>
      </c>
      <c r="S8" s="26" t="n">
        <v>0.00557116312501262</v>
      </c>
      <c r="T8" s="27" t="n">
        <f aca="false">IF(S8&gt;0,R8/S8,"")</f>
        <v>0.899060427910976</v>
      </c>
      <c r="U8" s="27" t="n">
        <f aca="false">IF(S8&gt;0,TDIST(ABS(T8),MIN(R27,R28)-1,2),"")</f>
        <v>0.380490582099927</v>
      </c>
      <c r="V8" s="26" t="n">
        <v>-0.0168202401100521</v>
      </c>
      <c r="W8" s="26" t="n">
        <v>0.0105581112309817</v>
      </c>
      <c r="X8" s="27" t="n">
        <f aca="false">IF(W8&gt;0,V8/W8,"")</f>
        <v>-1.59311071289861</v>
      </c>
      <c r="Y8" s="27" t="n">
        <f aca="false">IF(W8&gt;0,TDIST(ABS(X8),MIN(V27,V28)-1,2),"")</f>
        <v>0.128543702973981</v>
      </c>
      <c r="Z8" s="26" t="n">
        <v>-0.000642453358264957</v>
      </c>
      <c r="AA8" s="26" t="n">
        <v>0.000925303957454482</v>
      </c>
      <c r="AB8" s="27" t="n">
        <f aca="false">IF(AA8&gt;0,Z8/AA8,"")</f>
        <v>-0.694316017011697</v>
      </c>
      <c r="AC8" s="27" t="n">
        <f aca="false">IF(AA8&gt;0,TDIST(ABS(AB8),MIN(Z27,Z28)-1,2),"")</f>
        <v>0.496348537119561</v>
      </c>
      <c r="AD8" s="26" t="n">
        <v>-0.00124446025572361</v>
      </c>
      <c r="AE8" s="26" t="n">
        <v>0.000913905578511782</v>
      </c>
      <c r="AF8" s="27" t="n">
        <f aca="false">IF(AE8&gt;0,AD8/AE8,"")</f>
        <v>-1.36169456121507</v>
      </c>
      <c r="AG8" s="27" t="n">
        <f aca="false">IF(AE8&gt;0,TDIST(ABS(AF8),MIN(AD27,AD28)-1,2),"")</f>
        <v>0.1900956402287</v>
      </c>
      <c r="AH8" s="26" t="n">
        <v>-0.00232220937980807</v>
      </c>
      <c r="AI8" s="26" t="n">
        <v>0.00085699422376896</v>
      </c>
      <c r="AJ8" s="27" t="n">
        <f aca="false">IF(AI8&gt;0,AH8/AI8,"")</f>
        <v>-2.70971415605961</v>
      </c>
      <c r="AK8" s="27" t="n">
        <f aca="false">IF(AI8&gt;0,TDIST(ABS(AJ8),MIN(AH27,AH28)-1,2),"")</f>
        <v>0.0143523569551403</v>
      </c>
    </row>
    <row r="9" customFormat="false" ht="15" hidden="false" customHeight="false" outlineLevel="0" collapsed="false">
      <c r="A9" s="7" t="s">
        <v>12</v>
      </c>
      <c r="B9" s="26" t="n">
        <v>-0.0728754955493935</v>
      </c>
      <c r="C9" s="26" t="n">
        <v>0.126332455013344</v>
      </c>
      <c r="D9" s="27" t="n">
        <f aca="false">IF(C9&gt;0,B9/C9,"")</f>
        <v>-0.576854898780331</v>
      </c>
      <c r="E9" s="27" t="n">
        <f aca="false">IF(C9&gt;0,TDIST(ABS(D9),MIN(B27,B28)-1,2),"")</f>
        <v>0.571182045749721</v>
      </c>
      <c r="F9" s="26" t="n">
        <v>-0.0121861734884611</v>
      </c>
      <c r="G9" s="26" t="n">
        <v>0.0588977634468579</v>
      </c>
      <c r="H9" s="27" t="n">
        <f aca="false">IF(G9&gt;0,F9/G9,"")</f>
        <v>-0.206903841084839</v>
      </c>
      <c r="I9" s="27" t="n">
        <f aca="false">IF(G9&gt;0,TDIST(ABS(H9),MIN(F27,F28)-1,2),"")</f>
        <v>0.838407496657595</v>
      </c>
      <c r="J9" s="26" t="n">
        <v>-0.0349477945830778</v>
      </c>
      <c r="K9" s="26" t="n">
        <v>0.0863443074287803</v>
      </c>
      <c r="L9" s="27" t="n">
        <f aca="false">IF(K9&gt;0,J9/K9,"")</f>
        <v>-0.404749260533521</v>
      </c>
      <c r="M9" s="27" t="n">
        <f aca="false">IF(K9&gt;0,TDIST(ABS(L9),MIN(J27,J28)-1,2),"")</f>
        <v>0.690431210008758</v>
      </c>
      <c r="N9" s="26" t="n">
        <v>-0.161981101095967</v>
      </c>
      <c r="O9" s="26" t="n">
        <v>0.131221573541714</v>
      </c>
      <c r="P9" s="27" t="n">
        <f aca="false">IF(O9&gt;0,N9/O9,"")</f>
        <v>-1.23440907408777</v>
      </c>
      <c r="Q9" s="27" t="n">
        <f aca="false">IF(O9&gt;0,TDIST(ABS(P9),MIN(N27,N28)-1,2),"")</f>
        <v>0.232923927884792</v>
      </c>
      <c r="R9" s="26" t="n">
        <v>-0.0100999664445219</v>
      </c>
      <c r="S9" s="26" t="n">
        <v>0.117904491092522</v>
      </c>
      <c r="T9" s="27" t="n">
        <f aca="false">IF(S9&gt;0,R9/S9,"")</f>
        <v>-0.085662270800153</v>
      </c>
      <c r="U9" s="27" t="n">
        <f aca="false">IF(S9&gt;0,TDIST(ABS(T9),MIN(R27,R28)-1,2),"")</f>
        <v>0.932680547712827</v>
      </c>
      <c r="V9" s="26" t="n">
        <v>0.0206721386345019</v>
      </c>
      <c r="W9" s="26" t="n">
        <v>0.167664493551222</v>
      </c>
      <c r="X9" s="27" t="n">
        <f aca="false">IF(W9&gt;0,V9/W9,"")</f>
        <v>0.123294671380058</v>
      </c>
      <c r="Y9" s="27" t="n">
        <f aca="false">IF(W9&gt;0,TDIST(ABS(X9),MIN(V27,V28)-1,2),"")</f>
        <v>0.903240041913355</v>
      </c>
      <c r="Z9" s="26" t="n">
        <v>-0.0359902928610501</v>
      </c>
      <c r="AA9" s="26" t="n">
        <v>0.0338325886833314</v>
      </c>
      <c r="AB9" s="27" t="n">
        <f aca="false">IF(AA9&gt;0,Z9/AA9,"")</f>
        <v>-1.06377591138279</v>
      </c>
      <c r="AC9" s="27" t="n">
        <f aca="false">IF(AA9&gt;0,TDIST(ABS(AB9),MIN(Z27,Z28)-1,2),"")</f>
        <v>0.301493622475472</v>
      </c>
      <c r="AD9" s="26" t="n">
        <v>-0.0840994923589605</v>
      </c>
      <c r="AE9" s="26" t="n">
        <v>0.0673169588924655</v>
      </c>
      <c r="AF9" s="27" t="n">
        <f aca="false">IF(AE9&gt;0,AD9/AE9,"")</f>
        <v>-1.24930617399553</v>
      </c>
      <c r="AG9" s="27" t="n">
        <f aca="false">IF(AE9&gt;0,TDIST(ABS(AF9),MIN(AD27,AD28)-1,2),"")</f>
        <v>0.227555410256681</v>
      </c>
      <c r="AH9" s="26" t="n">
        <v>-0.0800102709822906</v>
      </c>
      <c r="AI9" s="26" t="n">
        <v>0.0517824960085528</v>
      </c>
      <c r="AJ9" s="27" t="n">
        <f aca="false">IF(AI9&gt;0,AH9/AI9,"")</f>
        <v>-1.54512194562957</v>
      </c>
      <c r="AK9" s="27" t="n">
        <f aca="false">IF(AI9&gt;0,TDIST(ABS(AJ9),MIN(AH27,AH28)-1,2),"")</f>
        <v>0.139716619885231</v>
      </c>
    </row>
    <row r="10" customFormat="false" ht="15" hidden="false" customHeight="false" outlineLevel="0" collapsed="false">
      <c r="A10" s="7" t="s">
        <v>13</v>
      </c>
      <c r="B10" s="26" t="n">
        <v>-0.0855082878801336</v>
      </c>
      <c r="C10" s="26" t="n">
        <v>0.134378623497692</v>
      </c>
      <c r="D10" s="27" t="n">
        <f aca="false">IF(C10&gt;0,B10/C10,"")</f>
        <v>-0.636323588190367</v>
      </c>
      <c r="E10" s="27" t="n">
        <f aca="false">IF(C10&gt;0,TDIST(ABS(D10),MIN(B27,B28)-1,2),"")</f>
        <v>0.53257438880623</v>
      </c>
      <c r="F10" s="26" t="n">
        <v>-0.0198823358428358</v>
      </c>
      <c r="G10" s="26" t="n">
        <v>0.0761317668594898</v>
      </c>
      <c r="H10" s="27" t="n">
        <f aca="false">IF(G10&gt;0,F10/G10,"")</f>
        <v>-0.261156894986175</v>
      </c>
      <c r="I10" s="27" t="n">
        <f aca="false">IF(G10&gt;0,TDIST(ABS(H10),MIN(F27,F28)-1,2),"")</f>
        <v>0.796936151308702</v>
      </c>
      <c r="J10" s="26" t="n">
        <v>-0.0405082954971502</v>
      </c>
      <c r="K10" s="26" t="n">
        <v>0.0974767007876283</v>
      </c>
      <c r="L10" s="27" t="n">
        <f aca="false">IF(K10&gt;0,J10/K10,"")</f>
        <v>-0.415569004386036</v>
      </c>
      <c r="M10" s="27" t="n">
        <f aca="false">IF(K10&gt;0,TDIST(ABS(L10),MIN(J27,J28)-1,2),"")</f>
        <v>0.682637481388988</v>
      </c>
      <c r="N10" s="26" t="n">
        <v>-0.153775754271147</v>
      </c>
      <c r="O10" s="26" t="n">
        <v>0.129536871026136</v>
      </c>
      <c r="P10" s="27" t="n">
        <f aca="false">IF(O10&gt;0,N10/O10,"")</f>
        <v>-1.18711956721666</v>
      </c>
      <c r="Q10" s="27" t="n">
        <f aca="false">IF(O10&gt;0,TDIST(ABS(P10),MIN(N27,N28)-1,2),"")</f>
        <v>0.250611553879144</v>
      </c>
      <c r="R10" s="26" t="n">
        <v>-0.012045202308425</v>
      </c>
      <c r="S10" s="26" t="n">
        <v>0.120093001689557</v>
      </c>
      <c r="T10" s="27" t="n">
        <f aca="false">IF(S10&gt;0,R10/S10,"")</f>
        <v>-0.100298952802946</v>
      </c>
      <c r="U10" s="27" t="n">
        <f aca="false">IF(S10&gt;0,TDIST(ABS(T10),MIN(R27,R28)-1,2),"")</f>
        <v>0.921215688389058</v>
      </c>
      <c r="V10" s="26" t="n">
        <v>0.00954747868155664</v>
      </c>
      <c r="W10" s="26" t="n">
        <v>0.173096971880446</v>
      </c>
      <c r="X10" s="27" t="n">
        <f aca="false">IF(W10&gt;0,V10/W10,"")</f>
        <v>0.0551568209301251</v>
      </c>
      <c r="Y10" s="27" t="n">
        <f aca="false">IF(W10&gt;0,TDIST(ABS(X10),MIN(V27,V28)-1,2),"")</f>
        <v>0.956621140199803</v>
      </c>
      <c r="Z10" s="26" t="n">
        <v>-0.0404730623646821</v>
      </c>
      <c r="AA10" s="26" t="n">
        <v>0.0341054865015514</v>
      </c>
      <c r="AB10" s="27" t="n">
        <f aca="false">IF(AA10&gt;0,Z10/AA10,"")</f>
        <v>-1.18670239062096</v>
      </c>
      <c r="AC10" s="27" t="n">
        <f aca="false">IF(AA10&gt;0,TDIST(ABS(AB10),MIN(Z27,Z28)-1,2),"")</f>
        <v>0.250772004541056</v>
      </c>
      <c r="AD10" s="26" t="n">
        <v>-0.0880178385934294</v>
      </c>
      <c r="AE10" s="26" t="n">
        <v>0.0673979212544147</v>
      </c>
      <c r="AF10" s="27" t="n">
        <f aca="false">IF(AE10&gt;0,AD10/AE10,"")</f>
        <v>-1.30594292754488</v>
      </c>
      <c r="AG10" s="27" t="n">
        <f aca="false">IF(AE10&gt;0,TDIST(ABS(AF10),MIN(AD27,AD28)-1,2),"")</f>
        <v>0.208016112243476</v>
      </c>
      <c r="AH10" s="26" t="n">
        <v>-0.0855590214765805</v>
      </c>
      <c r="AI10" s="26" t="n">
        <v>0.0520035423239866</v>
      </c>
      <c r="AJ10" s="27" t="n">
        <f aca="false">IF(AI10&gt;0,AH10/AI10,"")</f>
        <v>-1.64525372028583</v>
      </c>
      <c r="AK10" s="27" t="n">
        <f aca="false">IF(AI10&gt;0,TDIST(ABS(AJ10),MIN(AH27,AH28)-1,2),"")</f>
        <v>0.117267076040153</v>
      </c>
    </row>
    <row r="11" customFormat="false" ht="15" hidden="false" customHeight="false" outlineLevel="0" collapsed="false">
      <c r="A11" s="7" t="s">
        <v>14</v>
      </c>
      <c r="B11" s="26" t="n">
        <v>-0.067185170635783</v>
      </c>
      <c r="C11" s="26" t="n">
        <v>0.126582271740219</v>
      </c>
      <c r="D11" s="27" t="n">
        <f aca="false">IF(C11&gt;0,B11/C11,"")</f>
        <v>-0.530762876287013</v>
      </c>
      <c r="E11" s="27" t="n">
        <f aca="false">IF(C11&gt;0,TDIST(ABS(D11),MIN(B27,B28)-1,2),"")</f>
        <v>0.602071014393089</v>
      </c>
      <c r="F11" s="26" t="n">
        <v>-0.00528184222274677</v>
      </c>
      <c r="G11" s="26" t="n">
        <v>0.0566265191548499</v>
      </c>
      <c r="H11" s="27" t="n">
        <f aca="false">IF(G11&gt;0,F11/G11,"")</f>
        <v>-0.0932750644323226</v>
      </c>
      <c r="I11" s="27" t="n">
        <f aca="false">IF(G11&gt;0,TDIST(ABS(H11),MIN(F27,F28)-1,2),"")</f>
        <v>0.926715417862318</v>
      </c>
      <c r="J11" s="26" t="n">
        <v>-0.0817662493986641</v>
      </c>
      <c r="K11" s="26" t="n">
        <v>0.0943789253533714</v>
      </c>
      <c r="L11" s="27" t="n">
        <f aca="false">IF(K11&gt;0,J11/K11,"")</f>
        <v>-0.866361309927155</v>
      </c>
      <c r="M11" s="27" t="n">
        <f aca="false">IF(K11&gt;0,TDIST(ABS(L11),MIN(J27,J28)-1,2),"")</f>
        <v>0.39769365390263</v>
      </c>
      <c r="N11" s="26" t="n">
        <v>-0.191547800306218</v>
      </c>
      <c r="O11" s="26" t="n">
        <v>0.117363707098399</v>
      </c>
      <c r="P11" s="27" t="n">
        <f aca="false">IF(O11&gt;0,N11/O11,"")</f>
        <v>-1.63208716767631</v>
      </c>
      <c r="Q11" s="27" t="n">
        <f aca="false">IF(O11&gt;0,TDIST(ABS(P11),MIN(N27,N28)-1,2),"")</f>
        <v>0.120032117274335</v>
      </c>
      <c r="R11" s="26" t="n">
        <v>-0.0307757281003548</v>
      </c>
      <c r="S11" s="26" t="n">
        <v>0.101304530775671</v>
      </c>
      <c r="T11" s="27" t="n">
        <f aca="false">IF(S11&gt;0,R11/S11,"")</f>
        <v>-0.303794192270675</v>
      </c>
      <c r="U11" s="27" t="n">
        <f aca="false">IF(S11&gt;0,TDIST(ABS(T11),MIN(R27,R28)-1,2),"")</f>
        <v>0.764768399937979</v>
      </c>
      <c r="V11" s="26" t="n">
        <v>-0.0421833299637841</v>
      </c>
      <c r="W11" s="26" t="n">
        <v>0.159818692877581</v>
      </c>
      <c r="X11" s="27" t="n">
        <f aca="false">IF(W11&gt;0,V11/W11,"")</f>
        <v>-0.263944906595476</v>
      </c>
      <c r="Y11" s="27" t="n">
        <f aca="false">IF(W11&gt;0,TDIST(ABS(X11),MIN(V27,V28)-1,2),"")</f>
        <v>0.79482054082955</v>
      </c>
      <c r="Z11" s="26" t="n">
        <v>-0.0336168180916147</v>
      </c>
      <c r="AA11" s="26" t="n">
        <v>0.0349731969006946</v>
      </c>
      <c r="AB11" s="27" t="n">
        <f aca="false">IF(AA11&gt;0,Z11/AA11,"")</f>
        <v>-0.961216619317608</v>
      </c>
      <c r="AC11" s="27" t="n">
        <f aca="false">IF(AA11&gt;0,TDIST(ABS(AB11),MIN(Z27,Z28)-1,2),"")</f>
        <v>0.349178806464682</v>
      </c>
      <c r="AD11" s="26" t="n">
        <v>-0.0804307352959593</v>
      </c>
      <c r="AE11" s="26" t="n">
        <v>0.0674041543621006</v>
      </c>
      <c r="AF11" s="27" t="n">
        <f aca="false">IF(AE11&gt;0,AD11/AE11,"")</f>
        <v>-1.193260802055</v>
      </c>
      <c r="AG11" s="27" t="n">
        <f aca="false">IF(AE11&gt;0,TDIST(ABS(AF11),MIN(AD27,AD28)-1,2),"")</f>
        <v>0.248258559155517</v>
      </c>
      <c r="AH11" s="26" t="n">
        <v>-0.0842246854200789</v>
      </c>
      <c r="AI11" s="26" t="n">
        <v>0.0516133476517687</v>
      </c>
      <c r="AJ11" s="27" t="n">
        <f aca="false">IF(AI11&gt;0,AH11/AI11,"")</f>
        <v>-1.63183922864946</v>
      </c>
      <c r="AK11" s="27" t="n">
        <f aca="false">IF(AI11&gt;0,TDIST(ABS(AJ11),MIN(AH27,AH28)-1,2),"")</f>
        <v>0.12008471261022</v>
      </c>
    </row>
    <row r="12" customFormat="false" ht="15" hidden="false" customHeight="false" outlineLevel="0" collapsed="false">
      <c r="A12" s="7" t="s">
        <v>15</v>
      </c>
      <c r="B12" s="26" t="n">
        <v>-0.0608232656583136</v>
      </c>
      <c r="C12" s="26" t="n">
        <v>0.134474754915346</v>
      </c>
      <c r="D12" s="27" t="n">
        <f aca="false">IF(C12&gt;0,B12/C12,"")</f>
        <v>-0.452302483812687</v>
      </c>
      <c r="E12" s="27" t="n">
        <f aca="false">IF(C12&gt;0,TDIST(ABS(D12),MIN(B27,B28)-1,2),"")</f>
        <v>0.656454620230723</v>
      </c>
      <c r="F12" s="26" t="n">
        <v>0.010896224231871</v>
      </c>
      <c r="G12" s="26" t="n">
        <v>0.0626247915298439</v>
      </c>
      <c r="H12" s="27" t="n">
        <f aca="false">IF(G12&gt;0,F12/G12,"")</f>
        <v>0.173992183697384</v>
      </c>
      <c r="I12" s="27" t="n">
        <f aca="false">IF(G12&gt;0,TDIST(ABS(H12),MIN(F27,F28)-1,2),"")</f>
        <v>0.863813482010913</v>
      </c>
      <c r="J12" s="26" t="n">
        <v>0.0130666140404349</v>
      </c>
      <c r="K12" s="26" t="n">
        <v>0.0956355418363693</v>
      </c>
      <c r="L12" s="27" t="n">
        <f aca="false">IF(K12&gt;0,J12/K12,"")</f>
        <v>0.136629267629305</v>
      </c>
      <c r="M12" s="27" t="n">
        <f aca="false">IF(K12&gt;0,TDIST(ABS(L12),MIN(J27,J28)-1,2),"")</f>
        <v>0.892840403368417</v>
      </c>
      <c r="N12" s="26" t="n">
        <v>-0.149844284974798</v>
      </c>
      <c r="O12" s="26" t="n">
        <v>0.129459032183437</v>
      </c>
      <c r="P12" s="27" t="n">
        <f aca="false">IF(O12&gt;0,N12/O12,"")</f>
        <v>-1.15746489408693</v>
      </c>
      <c r="Q12" s="27" t="n">
        <f aca="false">IF(O12&gt;0,TDIST(ABS(P12),MIN(N27,N28)-1,2),"")</f>
        <v>0.262211614475522</v>
      </c>
      <c r="R12" s="26" t="n">
        <v>0.00615241161674933</v>
      </c>
      <c r="S12" s="26" t="n">
        <v>0.113336370594963</v>
      </c>
      <c r="T12" s="27" t="n">
        <f aca="false">IF(S12&gt;0,R12/S12,"")</f>
        <v>0.0542845300626094</v>
      </c>
      <c r="U12" s="27" t="n">
        <f aca="false">IF(S12&gt;0,TDIST(ABS(T12),MIN(R27,R28)-1,2),"")</f>
        <v>0.957306449009791</v>
      </c>
      <c r="V12" s="26" t="n">
        <v>0.0290124948449669</v>
      </c>
      <c r="W12" s="26" t="n">
        <v>0.17042383384816</v>
      </c>
      <c r="X12" s="27" t="n">
        <f aca="false">IF(W12&gt;0,V12/W12,"")</f>
        <v>0.170237308889646</v>
      </c>
      <c r="Y12" s="27" t="n">
        <f aca="false">IF(W12&gt;0,TDIST(ABS(X12),MIN(V27,V28)-1,2),"")</f>
        <v>0.866722336790555</v>
      </c>
      <c r="Z12" s="26" t="n">
        <v>-0.0304721052242126</v>
      </c>
      <c r="AA12" s="26" t="n">
        <v>0.0334012370860757</v>
      </c>
      <c r="AB12" s="27" t="n">
        <f aca="false">IF(AA12&gt;0,Z12/AA12,"")</f>
        <v>-0.912304689364807</v>
      </c>
      <c r="AC12" s="27" t="n">
        <f aca="false">IF(AA12&gt;0,TDIST(ABS(AB12),MIN(Z27,Z28)-1,2),"")</f>
        <v>0.373665875558652</v>
      </c>
      <c r="AD12" s="26" t="n">
        <v>-0.077130460760604</v>
      </c>
      <c r="AE12" s="26" t="n">
        <v>0.06692504755872</v>
      </c>
      <c r="AF12" s="27" t="n">
        <f aca="false">IF(AE12&gt;0,AD12/AE12,"")</f>
        <v>-1.15249018975937</v>
      </c>
      <c r="AG12" s="27" t="n">
        <f aca="false">IF(AE12&gt;0,TDIST(ABS(AF12),MIN(AD27,AD28)-1,2),"")</f>
        <v>0.264196415634127</v>
      </c>
      <c r="AH12" s="26" t="n">
        <v>-0.0588248954498194</v>
      </c>
      <c r="AI12" s="26" t="n">
        <v>0.0521108071365677</v>
      </c>
      <c r="AJ12" s="27" t="n">
        <f aca="false">IF(AI12&gt;0,AH12/AI12,"")</f>
        <v>-1.12884253156271</v>
      </c>
      <c r="AK12" s="27" t="n">
        <f aca="false">IF(AI12&gt;0,TDIST(ABS(AJ12),MIN(AH27,AH28)-1,2),"")</f>
        <v>0.273785089869973</v>
      </c>
    </row>
    <row r="13" customFormat="false" ht="15" hidden="false" customHeight="false" outlineLevel="0" collapsed="false">
      <c r="A13" s="7" t="s">
        <v>16</v>
      </c>
      <c r="B13" s="26" t="n">
        <v>-0.116858090994728</v>
      </c>
      <c r="C13" s="26" t="n">
        <v>0.12599504164247</v>
      </c>
      <c r="D13" s="27" t="n">
        <f aca="false">IF(C13&gt;0,B13/C13,"")</f>
        <v>-0.927481664924011</v>
      </c>
      <c r="E13" s="27" t="n">
        <f aca="false">IF(C13&gt;0,TDIST(ABS(D13),MIN(B27,B28)-1,2),"")</f>
        <v>0.365946924932567</v>
      </c>
      <c r="F13" s="26" t="n">
        <v>-0.0528967053362386</v>
      </c>
      <c r="G13" s="26" t="n">
        <v>0.060517755835871</v>
      </c>
      <c r="H13" s="27" t="n">
        <f aca="false">IF(G13&gt;0,F13/G13,"")</f>
        <v>-0.874069181938913</v>
      </c>
      <c r="I13" s="27" t="n">
        <f aca="false">IF(G13&gt;0,TDIST(ABS(H13),MIN(F27,F28)-1,2),"")</f>
        <v>0.393593294522577</v>
      </c>
      <c r="J13" s="26" t="n">
        <v>-0.0871809245653603</v>
      </c>
      <c r="K13" s="26" t="n">
        <v>0.0746936463013983</v>
      </c>
      <c r="L13" s="27" t="n">
        <f aca="false">IF(K13&gt;0,J13/K13,"")</f>
        <v>-1.16717992603513</v>
      </c>
      <c r="M13" s="27" t="n">
        <f aca="false">IF(K13&gt;0,TDIST(ABS(L13),MIN(J27,J28)-1,2),"")</f>
        <v>0.258367785237861</v>
      </c>
      <c r="N13" s="26" t="n">
        <v>-0.149792461738485</v>
      </c>
      <c r="O13" s="26" t="n">
        <v>0.12604816160068</v>
      </c>
      <c r="P13" s="27" t="n">
        <f aca="false">IF(O13&gt;0,N13/O13,"")</f>
        <v>-1.18837482305396</v>
      </c>
      <c r="Q13" s="27" t="n">
        <f aca="false">IF(O13&gt;0,TDIST(ABS(P13),MIN(N27,N28)-1,2),"")</f>
        <v>0.250129237792174</v>
      </c>
      <c r="R13" s="26" t="n">
        <v>-0.000657401476167006</v>
      </c>
      <c r="S13" s="26" t="n">
        <v>0.117542222187398</v>
      </c>
      <c r="T13" s="27" t="n">
        <f aca="false">IF(S13&gt;0,R13/S13,"")</f>
        <v>-0.00559289644123716</v>
      </c>
      <c r="U13" s="27" t="n">
        <f aca="false">IF(S13&gt;0,TDIST(ABS(T13),MIN(R27,R28)-1,2),"")</f>
        <v>0.99559905771537</v>
      </c>
      <c r="V13" s="26" t="n">
        <v>0.0127252220475003</v>
      </c>
      <c r="W13" s="26" t="n">
        <v>0.165163934422857</v>
      </c>
      <c r="X13" s="27" t="n">
        <f aca="false">IF(W13&gt;0,V13/W13,"")</f>
        <v>0.0770460094206814</v>
      </c>
      <c r="Y13" s="27" t="n">
        <f aca="false">IF(W13&gt;0,TDIST(ABS(X13),MIN(V27,V28)-1,2),"")</f>
        <v>0.939436895397649</v>
      </c>
      <c r="Z13" s="26" t="n">
        <v>-0.0187676457148226</v>
      </c>
      <c r="AA13" s="26" t="n">
        <v>0.0338276519359473</v>
      </c>
      <c r="AB13" s="27" t="n">
        <f aca="false">IF(AA13&gt;0,Z13/AA13,"")</f>
        <v>-0.554801904381634</v>
      </c>
      <c r="AC13" s="27" t="n">
        <f aca="false">IF(AA13&gt;0,TDIST(ABS(AB13),MIN(Z27,Z28)-1,2),"")</f>
        <v>0.585858916872643</v>
      </c>
      <c r="AD13" s="26" t="n">
        <v>-0.0659567086620184</v>
      </c>
      <c r="AE13" s="26" t="n">
        <v>0.068223258074457</v>
      </c>
      <c r="AF13" s="27" t="n">
        <f aca="false">IF(AE13&gt;0,AD13/AE13,"")</f>
        <v>-0.966777467444241</v>
      </c>
      <c r="AG13" s="27" t="n">
        <f aca="false">IF(AE13&gt;0,TDIST(ABS(AF13),MIN(AD27,AD28)-1,2),"")</f>
        <v>0.346466336207821</v>
      </c>
      <c r="AH13" s="26" t="n">
        <v>-0.0628929905095407</v>
      </c>
      <c r="AI13" s="26" t="n">
        <v>0.0509762336977257</v>
      </c>
      <c r="AJ13" s="27" t="n">
        <f aca="false">IF(AI13&gt;0,AH13/AI13,"")</f>
        <v>-1.23377083686641</v>
      </c>
      <c r="AK13" s="27" t="n">
        <f aca="false">IF(AI13&gt;0,TDIST(ABS(AJ13),MIN(AH27,AH28)-1,2),"")</f>
        <v>0.233156091734272</v>
      </c>
    </row>
    <row r="14" customFormat="false" ht="15" hidden="false" customHeight="false" outlineLevel="0" collapsed="false">
      <c r="A14" s="7" t="s">
        <v>17</v>
      </c>
      <c r="B14" s="26" t="n">
        <v>-0.0942653097243561</v>
      </c>
      <c r="C14" s="26" t="n">
        <v>0.130645028178561</v>
      </c>
      <c r="D14" s="27" t="n">
        <f aca="false">IF(C14&gt;0,B14/C14,"")</f>
        <v>-0.721537673791287</v>
      </c>
      <c r="E14" s="27" t="n">
        <f aca="false">IF(C14&gt;0,TDIST(ABS(D14),MIN(B27,B28)-1,2),"")</f>
        <v>0.479847224334466</v>
      </c>
      <c r="F14" s="26" t="n">
        <v>-0.0316285729878156</v>
      </c>
      <c r="G14" s="26" t="n">
        <v>0.0574754108661005</v>
      </c>
      <c r="H14" s="27" t="n">
        <f aca="false">IF(G14&gt;0,F14/G14,"")</f>
        <v>-0.550297466537477</v>
      </c>
      <c r="I14" s="27" t="n">
        <f aca="false">IF(G14&gt;0,TDIST(ABS(H14),MIN(F27,F28)-1,2),"")</f>
        <v>0.588879966348445</v>
      </c>
      <c r="J14" s="26" t="n">
        <v>-0.0811166773427241</v>
      </c>
      <c r="K14" s="26" t="n">
        <v>0.0901493699378817</v>
      </c>
      <c r="L14" s="27" t="n">
        <f aca="false">IF(K14&gt;0,J14/K14,"")</f>
        <v>-0.899803042424128</v>
      </c>
      <c r="M14" s="27" t="n">
        <f aca="false">IF(K14&gt;0,TDIST(ABS(L14),MIN(J27,J28)-1,2),"")</f>
        <v>0.380105729653951</v>
      </c>
      <c r="N14" s="26" t="n">
        <v>-0.178424446038559</v>
      </c>
      <c r="O14" s="26" t="n">
        <v>0.122011739716928</v>
      </c>
      <c r="P14" s="27" t="n">
        <f aca="false">IF(O14&gt;0,N14/O14,"")</f>
        <v>-1.46235474104796</v>
      </c>
      <c r="Q14" s="27" t="n">
        <f aca="false">IF(O14&gt;0,TDIST(ABS(P14),MIN(N27,N28)-1,2),"")</f>
        <v>0.16088509264079</v>
      </c>
      <c r="R14" s="26" t="n">
        <v>-0.0171699144748473</v>
      </c>
      <c r="S14" s="26" t="n">
        <v>0.113591491315665</v>
      </c>
      <c r="T14" s="27" t="n">
        <f aca="false">IF(S14&gt;0,R14/S14,"")</f>
        <v>-0.151154934898538</v>
      </c>
      <c r="U14" s="27" t="n">
        <f aca="false">IF(S14&gt;0,TDIST(ABS(T14),MIN(R27,R28)-1,2),"")</f>
        <v>0.88153462735471</v>
      </c>
      <c r="V14" s="26" t="n">
        <v>0.0250510241724625</v>
      </c>
      <c r="W14" s="26" t="n">
        <v>0.175273533547883</v>
      </c>
      <c r="X14" s="27" t="n">
        <f aca="false">IF(W14&gt;0,V14/W14,"")</f>
        <v>0.142925310315712</v>
      </c>
      <c r="Y14" s="27" t="n">
        <f aca="false">IF(W14&gt;0,TDIST(ABS(X14),MIN(V27,V28)-1,2),"")</f>
        <v>0.88793694620858</v>
      </c>
      <c r="Z14" s="26" t="n">
        <v>-0.0333436151398046</v>
      </c>
      <c r="AA14" s="26" t="n">
        <v>0.0330824446916428</v>
      </c>
      <c r="AB14" s="27" t="n">
        <f aca="false">IF(AA14&gt;0,Z14/AA14,"")</f>
        <v>-1.00789453290396</v>
      </c>
      <c r="AC14" s="27" t="n">
        <f aca="false">IF(AA14&gt;0,TDIST(ABS(AB14),MIN(Z27,Z28)-1,2),"")</f>
        <v>0.32686281427898</v>
      </c>
      <c r="AD14" s="26" t="n">
        <v>-0.0788686987180572</v>
      </c>
      <c r="AE14" s="26" t="n">
        <v>0.0663325595022598</v>
      </c>
      <c r="AF14" s="27" t="n">
        <f aca="false">IF(AE14&gt;0,AD14/AE14,"")</f>
        <v>-1.18898922806334</v>
      </c>
      <c r="AG14" s="27" t="n">
        <f aca="false">IF(AE14&gt;0,TDIST(ABS(AF14),MIN(AD27,AD28)-1,2),"")</f>
        <v>0.249893417016069</v>
      </c>
      <c r="AH14" s="26" t="n">
        <v>-0.0679227353893228</v>
      </c>
      <c r="AI14" s="26" t="n">
        <v>0.0515647208760175</v>
      </c>
      <c r="AJ14" s="27" t="n">
        <f aca="false">IF(AI14&gt;0,AH14/AI14,"")</f>
        <v>-1.31723267837785</v>
      </c>
      <c r="AK14" s="27" t="n">
        <f aca="false">IF(AI14&gt;0,TDIST(ABS(AJ14),MIN(AH27,AH28)-1,2),"")</f>
        <v>0.204283475685017</v>
      </c>
    </row>
    <row r="15" customFormat="false" ht="15" hidden="false" customHeight="false" outlineLevel="0" collapsed="false">
      <c r="A15" s="7" t="s">
        <v>18</v>
      </c>
      <c r="B15" s="26" t="n">
        <v>-0.133689982930674</v>
      </c>
      <c r="C15" s="26" t="n">
        <v>0.131098016117985</v>
      </c>
      <c r="D15" s="27" t="n">
        <f aca="false">IF(C15&gt;0,B15/C15,"")</f>
        <v>-1.01977121309262</v>
      </c>
      <c r="E15" s="27" t="n">
        <f aca="false">IF(C15&gt;0,TDIST(ABS(D15),MIN(B27,B28)-1,2),"")</f>
        <v>0.321348498682682</v>
      </c>
      <c r="F15" s="26" t="n">
        <v>-0.0648383333888101</v>
      </c>
      <c r="G15" s="26" t="n">
        <v>0.0570537444637657</v>
      </c>
      <c r="H15" s="27" t="n">
        <f aca="false">IF(G15&gt;0,F15/G15,"")</f>
        <v>-1.13644308534365</v>
      </c>
      <c r="I15" s="27" t="n">
        <f aca="false">IF(G15&gt;0,TDIST(ABS(H15),MIN(F27,F28)-1,2),"")</f>
        <v>0.27067543099704</v>
      </c>
      <c r="J15" s="26" t="n">
        <v>-0.134532213096061</v>
      </c>
      <c r="K15" s="26" t="n">
        <v>0.100414919779388</v>
      </c>
      <c r="L15" s="27" t="n">
        <f aca="false">IF(K15&gt;0,J15/K15,"")</f>
        <v>-1.33976318849459</v>
      </c>
      <c r="M15" s="27" t="n">
        <f aca="false">IF(K15&gt;0,TDIST(ABS(L15),MIN(J27,J28)-1,2),"")</f>
        <v>0.196992619660393</v>
      </c>
      <c r="N15" s="26" t="n">
        <v>-0.194166714854697</v>
      </c>
      <c r="O15" s="26" t="n">
        <v>0.133020160018933</v>
      </c>
      <c r="P15" s="27" t="n">
        <f aca="false">IF(O15&gt;0,N15/O15,"")</f>
        <v>-1.45967885489734</v>
      </c>
      <c r="Q15" s="27" t="n">
        <f aca="false">IF(O15&gt;0,TDIST(ABS(P15),MIN(N27,N28)-1,2),"")</f>
        <v>0.161611224407327</v>
      </c>
      <c r="R15" s="26" t="n">
        <v>-0.0290306164162024</v>
      </c>
      <c r="S15" s="26" t="n">
        <v>0.11638210661881</v>
      </c>
      <c r="T15" s="27" t="n">
        <f aca="false">IF(S15&gt;0,R15/S15,"")</f>
        <v>-0.249442266166288</v>
      </c>
      <c r="U15" s="27" t="n">
        <f aca="false">IF(S15&gt;0,TDIST(ABS(T15),MIN(R27,R28)-1,2),"")</f>
        <v>0.805843016965211</v>
      </c>
      <c r="V15" s="26" t="n">
        <v>-0.0104735057890929</v>
      </c>
      <c r="W15" s="26" t="n">
        <v>0.169458556918757</v>
      </c>
      <c r="X15" s="27" t="n">
        <f aca="false">IF(W15&gt;0,V15/W15,"")</f>
        <v>-0.061805706241876</v>
      </c>
      <c r="Y15" s="27" t="n">
        <f aca="false">IF(W15&gt;0,TDIST(ABS(X15),MIN(V27,V28)-1,2),"")</f>
        <v>0.951398676312382</v>
      </c>
      <c r="Z15" s="26" t="n">
        <v>-0.0305490479041235</v>
      </c>
      <c r="AA15" s="26" t="n">
        <v>0.034167464070919</v>
      </c>
      <c r="AB15" s="27" t="n">
        <f aca="false">IF(AA15&gt;0,Z15/AA15,"")</f>
        <v>-0.894097608201619</v>
      </c>
      <c r="AC15" s="27" t="n">
        <f aca="false">IF(AA15&gt;0,TDIST(ABS(AB15),MIN(Z27,Z28)-1,2),"")</f>
        <v>0.383069177954553</v>
      </c>
      <c r="AD15" s="26" t="n">
        <v>-0.0764635124732676</v>
      </c>
      <c r="AE15" s="26" t="n">
        <v>0.0661171572043009</v>
      </c>
      <c r="AF15" s="27" t="n">
        <f aca="false">IF(AE15&gt;0,AD15/AE15,"")</f>
        <v>-1.15648518034429</v>
      </c>
      <c r="AG15" s="27" t="n">
        <f aca="false">IF(AE15&gt;0,TDIST(ABS(AF15),MIN(AD27,AD28)-1,2),"")</f>
        <v>0.262601613365412</v>
      </c>
      <c r="AH15" s="26" t="n">
        <v>-0.0782834674232164</v>
      </c>
      <c r="AI15" s="26" t="n">
        <v>0.0508115780804411</v>
      </c>
      <c r="AJ15" s="27" t="n">
        <f aca="false">IF(AI15&gt;0,AH15/AI15,"")</f>
        <v>-1.54066199832022</v>
      </c>
      <c r="AK15" s="27" t="n">
        <f aca="false">IF(AI15&gt;0,TDIST(ABS(AJ15),MIN(AH27,AH28)-1,2),"")</f>
        <v>0.140795035595745</v>
      </c>
    </row>
    <row r="16" customFormat="false" ht="15" hidden="false" customHeight="false" outlineLevel="0" collapsed="false">
      <c r="A16" s="7" t="s">
        <v>19</v>
      </c>
      <c r="B16" s="26" t="n">
        <v>-0.0936037419542527</v>
      </c>
      <c r="C16" s="26" t="n">
        <v>0.13985950576584</v>
      </c>
      <c r="D16" s="27" t="n">
        <f aca="false">IF(C16&gt;0,B16/C16,"")</f>
        <v>-0.669269789291042</v>
      </c>
      <c r="E16" s="27" t="n">
        <f aca="false">IF(C16&gt;0,TDIST(ABS(D16),MIN(B27,B28)-1,2),"")</f>
        <v>0.511817237952077</v>
      </c>
      <c r="F16" s="26" t="n">
        <v>-0.0387157786634645</v>
      </c>
      <c r="G16" s="26" t="n">
        <v>0.0750605115200178</v>
      </c>
      <c r="H16" s="27" t="n">
        <f aca="false">IF(G16&gt;0,F16/G16,"")</f>
        <v>-0.515794228942064</v>
      </c>
      <c r="I16" s="27" t="n">
        <f aca="false">IF(G16&gt;0,TDIST(ABS(H16),MIN(F27,F28)-1,2),"")</f>
        <v>0.612275729745645</v>
      </c>
      <c r="J16" s="26" t="n">
        <v>-0.0558620864074217</v>
      </c>
      <c r="K16" s="26" t="n">
        <v>0.118694903454702</v>
      </c>
      <c r="L16" s="27" t="n">
        <f aca="false">IF(K16&gt;0,J16/K16,"")</f>
        <v>-0.470635931126906</v>
      </c>
      <c r="M16" s="27" t="n">
        <f aca="false">IF(K16&gt;0,TDIST(ABS(L16),MIN(J27,J28)-1,2),"")</f>
        <v>0.643553549440395</v>
      </c>
      <c r="N16" s="26" t="n">
        <v>-0.124837074875606</v>
      </c>
      <c r="O16" s="26" t="n">
        <v>0.140856782788012</v>
      </c>
      <c r="P16" s="27" t="n">
        <f aca="false">IF(O16&gt;0,N16/O16,"")</f>
        <v>-0.886269531396899</v>
      </c>
      <c r="Q16" s="27" t="n">
        <f aca="false">IF(O16&gt;0,TDIST(ABS(P16),MIN(N27,N28)-1,2),"")</f>
        <v>0.387160067907783</v>
      </c>
      <c r="R16" s="26" t="n">
        <v>0.0096882079843414</v>
      </c>
      <c r="S16" s="26" t="n">
        <v>0.128163491809761</v>
      </c>
      <c r="T16" s="27" t="n">
        <f aca="false">IF(S16&gt;0,R16/S16,"")</f>
        <v>0.0755925720151421</v>
      </c>
      <c r="U16" s="27" t="n">
        <f aca="false">IF(S16&gt;0,TDIST(ABS(T16),MIN(R27,R28)-1,2),"")</f>
        <v>0.940577073573443</v>
      </c>
      <c r="V16" s="26" t="n">
        <v>0.0397241159718419</v>
      </c>
      <c r="W16" s="26" t="n">
        <v>0.181074310446604</v>
      </c>
      <c r="X16" s="27" t="n">
        <f aca="false">IF(W16&gt;0,V16/W16,"")</f>
        <v>0.21938018636584</v>
      </c>
      <c r="Y16" s="27" t="n">
        <f aca="false">IF(W16&gt;0,TDIST(ABS(X16),MIN(V27,V28)-1,2),"")</f>
        <v>0.828822410177162</v>
      </c>
      <c r="Z16" s="26" t="n">
        <v>-0.0335629090552339</v>
      </c>
      <c r="AA16" s="26" t="n">
        <v>0.0333011770439004</v>
      </c>
      <c r="AB16" s="27" t="n">
        <f aca="false">IF(AA16&gt;0,Z16/AA16,"")</f>
        <v>-1.00785954235157</v>
      </c>
      <c r="AC16" s="27" t="n">
        <f aca="false">IF(AA16&gt;0,TDIST(ABS(AB16),MIN(Z27,Z28)-1,2),"")</f>
        <v>0.326879158291058</v>
      </c>
      <c r="AD16" s="26" t="n">
        <v>-0.0823371818823801</v>
      </c>
      <c r="AE16" s="26" t="n">
        <v>0.0676320481172775</v>
      </c>
      <c r="AF16" s="27" t="n">
        <f aca="false">IF(AE16&gt;0,AD16/AE16,"")</f>
        <v>-1.21742848508156</v>
      </c>
      <c r="AG16" s="27" t="n">
        <f aca="false">IF(AE16&gt;0,TDIST(ABS(AF16),MIN(AD27,AD28)-1,2),"")</f>
        <v>0.239161542383188</v>
      </c>
      <c r="AH16" s="26" t="n">
        <v>-0.0741903973979549</v>
      </c>
      <c r="AI16" s="26" t="n">
        <v>0.0518626073236297</v>
      </c>
      <c r="AJ16" s="27" t="n">
        <f aca="false">IF(AI16&gt;0,AH16/AI16,"")</f>
        <v>-1.43051807895035</v>
      </c>
      <c r="AK16" s="27" t="n">
        <f aca="false">IF(AI16&gt;0,TDIST(ABS(AJ16),MIN(AH27,AH28)-1,2),"")</f>
        <v>0.169699466597945</v>
      </c>
    </row>
    <row r="17" customFormat="false" ht="15" hidden="false" customHeight="false" outlineLevel="0" collapsed="false">
      <c r="A17" s="7" t="s">
        <v>20</v>
      </c>
      <c r="B17" s="26" t="n">
        <v>0.0654433894136932</v>
      </c>
      <c r="C17" s="26" t="n">
        <v>0.142749079029314</v>
      </c>
      <c r="D17" s="27" t="n">
        <f aca="false">IF(C17&gt;0,B17/C17,"")</f>
        <v>0.45845051932177</v>
      </c>
      <c r="E17" s="27" t="n">
        <f aca="false">IF(C17&gt;0,TDIST(ABS(D17),MIN(B27,B28)-1,2),"")</f>
        <v>0.652115638248413</v>
      </c>
      <c r="F17" s="26" t="n">
        <v>0.0890484668165232</v>
      </c>
      <c r="G17" s="26" t="n">
        <v>0.154133349714903</v>
      </c>
      <c r="H17" s="27" t="n">
        <f aca="false">IF(G17&gt;0,F17/G17,"")</f>
        <v>0.577736531264869</v>
      </c>
      <c r="I17" s="27" t="n">
        <f aca="false">IF(G17&gt;0,TDIST(ABS(H17),MIN(F27,F28)-1,2),"")</f>
        <v>0.570599260966425</v>
      </c>
      <c r="N17" s="26" t="n">
        <v>-0.170769271844293</v>
      </c>
      <c r="O17" s="26" t="n">
        <v>0.10487853567844</v>
      </c>
      <c r="P17" s="27" t="n">
        <f aca="false">IF(O17&gt;0,N17/O17,"")</f>
        <v>-1.62825759093239</v>
      </c>
      <c r="Q17" s="27" t="n">
        <f aca="false">IF(O17&gt;0,TDIST(ABS(P17),MIN(N27,N28)-1,2),"")</f>
        <v>0.120846671750792</v>
      </c>
      <c r="R17" s="26" t="n">
        <v>-0.179278672343084</v>
      </c>
      <c r="S17" s="26" t="n">
        <v>0.0916121948665644</v>
      </c>
      <c r="T17" s="27" t="n">
        <f aca="false">IF(S17&gt;0,R17/S17,"")</f>
        <v>-1.95693021659625</v>
      </c>
      <c r="U17" s="27" t="n">
        <f aca="false">IF(S17&gt;0,TDIST(ABS(T17),MIN(R27,R28)-1,2),"")</f>
        <v>0.0660494712983643</v>
      </c>
      <c r="Z17" s="26" t="n">
        <v>-0.0270458963252939</v>
      </c>
      <c r="AA17" s="26" t="n">
        <v>0.0410347559609752</v>
      </c>
      <c r="AB17" s="27" t="n">
        <f aca="false">IF(AA17&gt;0,Z17/AA17,"")</f>
        <v>-0.659097286968516</v>
      </c>
      <c r="AC17" s="27" t="n">
        <f aca="false">IF(AA17&gt;0,TDIST(ABS(AB17),MIN(Z27,Z28)-1,2),"")</f>
        <v>0.518177034250376</v>
      </c>
      <c r="AD17" s="26" t="n">
        <v>0.0273337096910947</v>
      </c>
      <c r="AE17" s="26" t="n">
        <v>0.0367290918008137</v>
      </c>
      <c r="AF17" s="27" t="n">
        <f aca="false">IF(AE17&gt;0,AD17/AE17,"")</f>
        <v>0.744197810262467</v>
      </c>
      <c r="AG17" s="27" t="n">
        <f aca="false">IF(AE17&gt;0,TDIST(ABS(AF17),MIN(AD27,AD28)-1,2),"")</f>
        <v>0.466361852409756</v>
      </c>
    </row>
    <row r="18" customFormat="false" ht="15" hidden="false" customHeight="false" outlineLevel="0" collapsed="false">
      <c r="A18" s="7" t="s">
        <v>21</v>
      </c>
      <c r="F18" s="26" t="n">
        <v>-0.269650919703196</v>
      </c>
      <c r="G18" s="26" t="n">
        <v>0.537336532234935</v>
      </c>
      <c r="H18" s="27" t="n">
        <f aca="false">IF(G18&gt;0,F18/G18,"")</f>
        <v>-0.501828748887855</v>
      </c>
      <c r="I18" s="27" t="n">
        <f aca="false">IF(G18&gt;0,TDIST(ABS(H18),MIN(F27,F28)-1,2),"")</f>
        <v>0.621870775134955</v>
      </c>
      <c r="J18" s="26" t="n">
        <v>0.793242094427103</v>
      </c>
      <c r="K18" s="26" t="n">
        <v>0.829369086845507</v>
      </c>
      <c r="L18" s="27" t="n">
        <f aca="false">IF(K18&gt;0,J18/K18,"")</f>
        <v>0.956440391869665</v>
      </c>
      <c r="M18" s="27" t="n">
        <f aca="false">IF(K18&gt;0,TDIST(ABS(L18),MIN(J27,J28)-1,2),"")</f>
        <v>0.351520206517626</v>
      </c>
      <c r="R18" s="26" t="n">
        <v>-1.15956882542299</v>
      </c>
      <c r="S18" s="26" t="n">
        <v>0.503026262795471</v>
      </c>
      <c r="T18" s="27" t="n">
        <f aca="false">IF(S18&gt;0,R18/S18,"")</f>
        <v>-2.30518545687637</v>
      </c>
      <c r="U18" s="27" t="n">
        <f aca="false">IF(S18&gt;0,TDIST(ABS(T18),MIN(R27,R28)-1,2),"")</f>
        <v>0.0332769369147518</v>
      </c>
      <c r="V18" s="26" t="n">
        <v>0.035668690116733</v>
      </c>
      <c r="W18" s="26" t="n">
        <v>0.845015613324544</v>
      </c>
      <c r="X18" s="27" t="n">
        <f aca="false">IF(W18&gt;0,V18/W18,"")</f>
        <v>0.0422106876539259</v>
      </c>
      <c r="Y18" s="27" t="n">
        <f aca="false">IF(W18&gt;0,TDIST(ABS(X18),MIN(V27,V28)-1,2),"")</f>
        <v>0.966795449770942</v>
      </c>
      <c r="AD18" s="26" t="n">
        <v>0.0643482306793065</v>
      </c>
      <c r="AE18" s="26" t="n">
        <v>0.10092795710848</v>
      </c>
      <c r="AF18" s="27" t="n">
        <f aca="false">IF(AE18&gt;0,AD18/AE18,"")</f>
        <v>0.637565968071098</v>
      </c>
      <c r="AG18" s="27" t="n">
        <f aca="false">IF(AE18&gt;0,TDIST(ABS(AF18),MIN(AD27,AD28)-1,2),"")</f>
        <v>0.531783332204305</v>
      </c>
      <c r="AH18" s="26" t="n">
        <v>-0.188076245436725</v>
      </c>
      <c r="AI18" s="26" t="n">
        <v>0.10539502103858</v>
      </c>
      <c r="AJ18" s="27" t="n">
        <f aca="false">IF(AI18&gt;0,AH18/AI18,"")</f>
        <v>-1.78448890263876</v>
      </c>
      <c r="AK18" s="27" t="n">
        <f aca="false">IF(AI18&gt;0,TDIST(ABS(AJ18),MIN(AH27,AH28)-1,2),"")</f>
        <v>0.0912093926004254</v>
      </c>
    </row>
    <row r="19" customFormat="false" ht="15" hidden="false" customHeight="false" outlineLevel="0" collapsed="false">
      <c r="A19" s="7" t="s">
        <v>22</v>
      </c>
      <c r="F19" s="26" t="n">
        <v>0.0661254514092539</v>
      </c>
      <c r="G19" s="26" t="n">
        <v>0.0840549424804948</v>
      </c>
      <c r="H19" s="27" t="n">
        <f aca="false">IF(G19&gt;0,F19/G19,"")</f>
        <v>0.78669319682895</v>
      </c>
      <c r="I19" s="27" t="n">
        <f aca="false">IF(G19&gt;0,TDIST(ABS(H19),MIN(F27,F28)-1,2),"")</f>
        <v>0.441696637770846</v>
      </c>
      <c r="J19" s="26" t="n">
        <v>0.00779146674636148</v>
      </c>
      <c r="K19" s="26" t="n">
        <v>0.122921708287283</v>
      </c>
      <c r="L19" s="27" t="n">
        <f aca="false">IF(K19&gt;0,J19/K19,"")</f>
        <v>0.0633856041778386</v>
      </c>
      <c r="M19" s="27" t="n">
        <f aca="false">IF(K19&gt;0,TDIST(ABS(L19),MIN(J27,J28)-1,2),"")</f>
        <v>0.950158046340279</v>
      </c>
      <c r="R19" s="26" t="n">
        <v>-0.010380150079454</v>
      </c>
      <c r="S19" s="26" t="n">
        <v>0.111646428092303</v>
      </c>
      <c r="T19" s="27" t="n">
        <f aca="false">IF(S19&gt;0,R19/S19,"")</f>
        <v>-0.0929734184677394</v>
      </c>
      <c r="U19" s="27" t="n">
        <f aca="false">IF(S19&gt;0,TDIST(ABS(T19),MIN(R27,R28)-1,2),"")</f>
        <v>0.926951694910013</v>
      </c>
      <c r="V19" s="26" t="n">
        <v>-0.202650858101154</v>
      </c>
      <c r="W19" s="26" t="n">
        <v>0.137669667285301</v>
      </c>
      <c r="X19" s="27" t="n">
        <f aca="false">IF(W19&gt;0,V19/W19,"")</f>
        <v>-1.4720080472134</v>
      </c>
      <c r="Y19" s="27" t="n">
        <f aca="false">IF(W19&gt;0,TDIST(ABS(X19),MIN(V27,V28)-1,2),"")</f>
        <v>0.158287754546489</v>
      </c>
      <c r="AD19" s="26" t="n">
        <v>-0.00417916309792448</v>
      </c>
      <c r="AE19" s="26" t="n">
        <v>0.0131583908670861</v>
      </c>
      <c r="AF19" s="27" t="n">
        <f aca="false">IF(AE19&gt;0,AD19/AE19,"")</f>
        <v>-0.317604419882228</v>
      </c>
      <c r="AG19" s="27" t="n">
        <f aca="false">IF(AE19&gt;0,TDIST(ABS(AF19),MIN(AD27,AD28)-1,2),"")</f>
        <v>0.754439802297769</v>
      </c>
      <c r="AH19" s="26" t="n">
        <v>0.0190346976577597</v>
      </c>
      <c r="AI19" s="26" t="n">
        <v>0.0114582251407991</v>
      </c>
      <c r="AJ19" s="27" t="n">
        <f aca="false">IF(AI19&gt;0,AH19/AI19,"")</f>
        <v>1.66122566312502</v>
      </c>
      <c r="AK19" s="27" t="n">
        <f aca="false">IF(AI19&gt;0,TDIST(ABS(AJ19),MIN(AH27,AH28)-1,2),"")</f>
        <v>0.113985860081012</v>
      </c>
    </row>
    <row r="20" customFormat="false" ht="15" hidden="false" customHeight="false" outlineLevel="0" collapsed="false">
      <c r="A20" s="7" t="s">
        <v>23</v>
      </c>
      <c r="F20" s="26" t="n">
        <v>0.0622197824548369</v>
      </c>
      <c r="G20" s="26" t="n">
        <v>0.111356142378816</v>
      </c>
      <c r="H20" s="27" t="n">
        <f aca="false">IF(G20&gt;0,F20/G20,"")</f>
        <v>0.55874585025741</v>
      </c>
      <c r="I20" s="27" t="n">
        <f aca="false">IF(G20&gt;0,TDIST(ABS(H20),MIN(F27,F28)-1,2),"")</f>
        <v>0.583220203531082</v>
      </c>
      <c r="J20" s="26" t="n">
        <v>0.00853512622952379</v>
      </c>
      <c r="K20" s="26" t="n">
        <v>0.197946809670348</v>
      </c>
      <c r="L20" s="27" t="n">
        <f aca="false">IF(K20&gt;0,J20/K20,"")</f>
        <v>0.0431182813390013</v>
      </c>
      <c r="M20" s="27" t="n">
        <f aca="false">IF(K20&gt;0,TDIST(ABS(L20),MIN(J27,J28)-1,2),"")</f>
        <v>0.966081963644501</v>
      </c>
      <c r="R20" s="26" t="n">
        <v>0.0788684687898678</v>
      </c>
      <c r="S20" s="26" t="n">
        <v>0.14633002392011</v>
      </c>
      <c r="T20" s="27" t="n">
        <f aca="false">IF(S20&gt;0,R20/S20,"")</f>
        <v>0.538976668471855</v>
      </c>
      <c r="U20" s="27" t="n">
        <f aca="false">IF(S20&gt;0,TDIST(ABS(T20),MIN(R27,R28)-1,2),"")</f>
        <v>0.596506903001762</v>
      </c>
      <c r="V20" s="26" t="n">
        <v>0.0605152543079015</v>
      </c>
      <c r="W20" s="26" t="n">
        <v>0.205665657591007</v>
      </c>
      <c r="X20" s="27" t="n">
        <f aca="false">IF(W20&gt;0,V20/W20,"")</f>
        <v>0.294240929753299</v>
      </c>
      <c r="Y20" s="27" t="n">
        <f aca="false">IF(W20&gt;0,TDIST(ABS(X20),MIN(V27,V28)-1,2),"")</f>
        <v>0.771940033272848</v>
      </c>
      <c r="AD20" s="26" t="n">
        <v>-0.0702053961929016</v>
      </c>
      <c r="AE20" s="26" t="n">
        <v>0.0431750658370186</v>
      </c>
      <c r="AF20" s="27" t="n">
        <f aca="false">IF(AE20&gt;0,AD20/AE20,"")</f>
        <v>-1.62606344268055</v>
      </c>
      <c r="AG20" s="27" t="n">
        <f aca="false">IF(AE20&gt;0,TDIST(ABS(AF20),MIN(AD27,AD28)-1,2),"")</f>
        <v>0.12131547966514</v>
      </c>
      <c r="AH20" s="26" t="n">
        <v>-0.069146330681079</v>
      </c>
      <c r="AI20" s="26" t="n">
        <v>0.0565915209992743</v>
      </c>
      <c r="AJ20" s="27" t="n">
        <f aca="false">IF(AI20&gt;0,AH20/AI20,"")</f>
        <v>-1.22184965980974</v>
      </c>
      <c r="AK20" s="27" t="n">
        <f aca="false">IF(AI20&gt;0,TDIST(ABS(AJ20),MIN(AH27,AH28)-1,2),"")</f>
        <v>0.237525288722843</v>
      </c>
    </row>
    <row r="21" customFormat="false" ht="15" hidden="false" customHeight="false" outlineLevel="0" collapsed="false">
      <c r="A21" s="7" t="s">
        <v>24</v>
      </c>
      <c r="F21" s="26" t="n">
        <v>-0.182784965630654</v>
      </c>
      <c r="G21" s="26" t="n">
        <v>0.139668017985469</v>
      </c>
      <c r="H21" s="27" t="n">
        <f aca="false">IF(G21&gt;0,F21/G21,"")</f>
        <v>-1.30871024209473</v>
      </c>
      <c r="I21" s="27" t="n">
        <f aca="false">IF(G21&gt;0,TDIST(ABS(H21),MIN(F27,F28)-1,2),"")</f>
        <v>0.207096248291224</v>
      </c>
      <c r="J21" s="26" t="n">
        <v>0.287169776824378</v>
      </c>
      <c r="K21" s="26" t="n">
        <v>0.258469427036346</v>
      </c>
      <c r="L21" s="27" t="n">
        <f aca="false">IF(K21&gt;0,J21/K21,"")</f>
        <v>1.11103963094249</v>
      </c>
      <c r="M21" s="27" t="n">
        <f aca="false">IF(K21&gt;0,TDIST(ABS(L21),MIN(J27,J28)-1,2),"")</f>
        <v>0.281172399627359</v>
      </c>
      <c r="R21" s="26" t="n">
        <v>-0.176025896431677</v>
      </c>
      <c r="S21" s="26" t="n">
        <v>0.173818806841002</v>
      </c>
      <c r="T21" s="27" t="n">
        <f aca="false">IF(S21&gt;0,R21/S21,"")</f>
        <v>-1.012697645501</v>
      </c>
      <c r="U21" s="27" t="n">
        <f aca="false">IF(S21&gt;0,TDIST(ABS(T21),MIN(R27,R28)-1,2),"")</f>
        <v>0.324624754991035</v>
      </c>
      <c r="V21" s="26" t="n">
        <v>0.0222465626753139</v>
      </c>
      <c r="W21" s="26" t="n">
        <v>0.201741665368656</v>
      </c>
      <c r="X21" s="27" t="n">
        <f aca="false">IF(W21&gt;0,V21/W21,"")</f>
        <v>0.110272524194055</v>
      </c>
      <c r="Y21" s="27" t="n">
        <f aca="false">IF(W21&gt;0,TDIST(ABS(X21),MIN(V27,V28)-1,2),"")</f>
        <v>0.913413434649813</v>
      </c>
      <c r="AD21" s="26" t="n">
        <v>0.0260179476492816</v>
      </c>
      <c r="AE21" s="26" t="n">
        <v>0.0397190528586581</v>
      </c>
      <c r="AF21" s="27" t="n">
        <f aca="false">IF(AE21&gt;0,AD21/AE21,"")</f>
        <v>0.655049548685553</v>
      </c>
      <c r="AG21" s="27" t="n">
        <f aca="false">IF(AE21&gt;0,TDIST(ABS(AF21),MIN(AD27,AD28)-1,2),"")</f>
        <v>0.520719943951952</v>
      </c>
      <c r="AH21" s="26" t="n">
        <v>-0.0680546110313868</v>
      </c>
      <c r="AI21" s="26" t="n">
        <v>0.0359038050060855</v>
      </c>
      <c r="AJ21" s="27" t="n">
        <f aca="false">IF(AI21&gt;0,AH21/AI21,"")</f>
        <v>-1.89547071737527</v>
      </c>
      <c r="AK21" s="27" t="n">
        <f aca="false">IF(AI21&gt;0,TDIST(ABS(AJ21),MIN(AH27,AH28)-1,2),"")</f>
        <v>0.0742045551040325</v>
      </c>
    </row>
    <row r="22" customFormat="false" ht="15" hidden="false" customHeight="false" outlineLevel="0" collapsed="false">
      <c r="A22" s="7" t="s">
        <v>25</v>
      </c>
      <c r="F22" s="26" t="n">
        <v>0.281070877367968</v>
      </c>
      <c r="G22" s="26" t="n">
        <v>0.121862700342912</v>
      </c>
      <c r="H22" s="27" t="n">
        <f aca="false">IF(G22&gt;0,F22/G22,"")</f>
        <v>2.30645535161339</v>
      </c>
      <c r="I22" s="27" t="n">
        <f aca="false">IF(G22&gt;0,TDIST(ABS(H22),MIN(F27,F28)-1,2),"")</f>
        <v>0.033191447660973</v>
      </c>
      <c r="J22" s="26" t="n">
        <v>0.257923877208016</v>
      </c>
      <c r="K22" s="26" t="n">
        <v>0.922438495282027</v>
      </c>
      <c r="L22" s="27" t="n">
        <f aca="false">IF(K22&gt;0,J22/K22,"")</f>
        <v>0.279610920974366</v>
      </c>
      <c r="M22" s="27" t="n">
        <f aca="false">IF(K22&gt;0,TDIST(ABS(L22),MIN(J27,J28)-1,2),"")</f>
        <v>0.782963674715594</v>
      </c>
      <c r="R22" s="26" t="n">
        <v>0.283777044652202</v>
      </c>
      <c r="S22" s="26" t="n">
        <v>0.172607721855256</v>
      </c>
      <c r="T22" s="27" t="n">
        <f aca="false">IF(S22&gt;0,R22/S22,"")</f>
        <v>1.64405764471053</v>
      </c>
      <c r="U22" s="27" t="n">
        <f aca="false">IF(S22&gt;0,TDIST(ABS(T22),MIN(R27,R28)-1,2),"")</f>
        <v>0.117515999296751</v>
      </c>
      <c r="V22" s="26" t="n">
        <v>0.768028036130036</v>
      </c>
      <c r="W22" s="26" t="n">
        <v>0.584950618522123</v>
      </c>
      <c r="X22" s="27" t="n">
        <f aca="false">IF(W22&gt;0,V22/W22,"")</f>
        <v>1.31297927006293</v>
      </c>
      <c r="Y22" s="27" t="n">
        <f aca="false">IF(W22&gt;0,TDIST(ABS(X22),MIN(V27,V28)-1,2),"")</f>
        <v>0.205683494569074</v>
      </c>
      <c r="AD22" s="26" t="n">
        <v>-0.0195263761109487</v>
      </c>
      <c r="AE22" s="26" t="n">
        <v>0.0421265471007668</v>
      </c>
      <c r="AF22" s="27" t="n">
        <f aca="false">IF(AE22&gt;0,AD22/AE22,"")</f>
        <v>-0.463517127673474</v>
      </c>
      <c r="AG22" s="27" t="n">
        <f aca="false">IF(AE22&gt;0,TDIST(ABS(AF22),MIN(AD27,AD28)-1,2),"")</f>
        <v>0.648549445534142</v>
      </c>
      <c r="AH22" s="26" t="n">
        <v>-0.274860091361849</v>
      </c>
      <c r="AI22" s="26" t="n">
        <v>0.0807047261103391</v>
      </c>
      <c r="AJ22" s="27" t="n">
        <f aca="false">IF(AI22&gt;0,AH22/AI22,"")</f>
        <v>-3.40574963337415</v>
      </c>
      <c r="AK22" s="27" t="n">
        <f aca="false">IF(AI22&gt;0,TDIST(ABS(AJ22),MIN(AH27,AH28)-1,2),"")</f>
        <v>0.00315112407340551</v>
      </c>
    </row>
    <row r="23" customFormat="false" ht="15" hidden="false" customHeight="false" outlineLevel="0" collapsed="false">
      <c r="A23" s="7" t="s">
        <v>26</v>
      </c>
      <c r="F23" s="26" t="n">
        <v>-0.162031774562987</v>
      </c>
      <c r="G23" s="26" t="n">
        <v>0.285575336827714</v>
      </c>
      <c r="H23" s="27" t="n">
        <f aca="false">IF(G23&gt;0,F23/G23,"")</f>
        <v>-0.567387143311819</v>
      </c>
      <c r="I23" s="27" t="n">
        <f aca="false">IF(G23&gt;0,TDIST(ABS(H23),MIN(F27,F28)-1,2),"")</f>
        <v>0.5774598152253</v>
      </c>
      <c r="J23" s="26" t="n">
        <v>0.139807478042934</v>
      </c>
      <c r="K23" s="26" t="n">
        <v>1.37745176591862</v>
      </c>
      <c r="L23" s="27" t="n">
        <f aca="false">IF(K23&gt;0,J23/K23,"")</f>
        <v>0.101497185964763</v>
      </c>
      <c r="M23" s="27" t="n">
        <f aca="false">IF(K23&gt;0,TDIST(ABS(L23),MIN(J27,J28)-1,2),"")</f>
        <v>0.920277867745478</v>
      </c>
      <c r="R23" s="26" t="n">
        <v>-0.0636383434767797</v>
      </c>
      <c r="S23" s="26" t="n">
        <v>0.217857655013109</v>
      </c>
      <c r="T23" s="27" t="n">
        <f aca="false">IF(S23&gt;0,R23/S23,"")</f>
        <v>-0.292109742358837</v>
      </c>
      <c r="U23" s="27" t="n">
        <f aca="false">IF(S23&gt;0,TDIST(ABS(T23),MIN(R27,R28)-1,2),"")</f>
        <v>0.7735428307248</v>
      </c>
      <c r="V23" s="26" t="n">
        <v>-0.228314741218805</v>
      </c>
      <c r="W23" s="26" t="n">
        <v>1.38539575149848</v>
      </c>
      <c r="X23" s="27" t="n">
        <f aca="false">IF(W23&gt;0,V23/W23,"")</f>
        <v>-0.164801098149647</v>
      </c>
      <c r="Y23" s="27" t="n">
        <f aca="false">IF(W23&gt;0,TDIST(ABS(X23),MIN(V27,V28)-1,2),"")</f>
        <v>0.870937163834052</v>
      </c>
      <c r="AD23" s="26" t="n">
        <v>-0.0937580224291029</v>
      </c>
      <c r="AE23" s="26" t="n">
        <v>0.052521672627427</v>
      </c>
      <c r="AF23" s="27" t="n">
        <f aca="false">IF(AE23&gt;0,AD23/AE23,"")</f>
        <v>-1.78513017081909</v>
      </c>
      <c r="AG23" s="27" t="n">
        <f aca="false">IF(AE23&gt;0,TDIST(ABS(AF23),MIN(AD27,AD28)-1,2),"")</f>
        <v>0.0911020769194691</v>
      </c>
      <c r="AH23" s="26" t="n">
        <v>-0.184737168292628</v>
      </c>
      <c r="AI23" s="26" t="n">
        <v>0.17883025673773</v>
      </c>
      <c r="AJ23" s="27" t="n">
        <f aca="false">IF(AI23&gt;0,AH23/AI23,"")</f>
        <v>-1.03303082857819</v>
      </c>
      <c r="AK23" s="27" t="n">
        <f aca="false">IF(AI23&gt;0,TDIST(ABS(AJ23),MIN(AH27,AH28)-1,2),"")</f>
        <v>0.315270347916308</v>
      </c>
    </row>
    <row r="24" customFormat="false" ht="15" hidden="false" customHeight="false" outlineLevel="0" collapsed="false">
      <c r="A24" s="7" t="s">
        <v>103</v>
      </c>
      <c r="B24" s="26" t="n">
        <v>0.121438037266182</v>
      </c>
      <c r="C24" s="26" t="n">
        <v>0.229074600999129</v>
      </c>
      <c r="D24" s="27" t="n">
        <f aca="false">IF(C24&gt;0,B24/C24,"")</f>
        <v>0.530124408103384</v>
      </c>
      <c r="E24" s="27" t="n">
        <f aca="false">IF(C24&gt;0,TDIST(ABS(D24),MIN(B27,B28)-1,2),"")</f>
        <v>0.602504581393224</v>
      </c>
      <c r="F24" s="26" t="n">
        <v>0.0391630609238155</v>
      </c>
      <c r="G24" s="26" t="n">
        <v>0.199439215013443</v>
      </c>
      <c r="H24" s="27" t="n">
        <f aca="false">IF(G24&gt;0,F24/G24,"")</f>
        <v>0.196365899861649</v>
      </c>
      <c r="I24" s="27" t="n">
        <f aca="false">IF(G24&gt;0,TDIST(ABS(H24),MIN(F27,F28)-1,2),"")</f>
        <v>0.846523768890903</v>
      </c>
      <c r="J24" s="26" t="n">
        <v>-0.20075324099092</v>
      </c>
      <c r="K24" s="26" t="n">
        <v>0.233441040173578</v>
      </c>
      <c r="L24" s="27" t="n">
        <f aca="false">IF(K24&gt;0,J24/K24,"")</f>
        <v>-0.859974068148632</v>
      </c>
      <c r="M24" s="27" t="n">
        <f aca="false">IF(K24&gt;0,TDIST(ABS(L24),MIN(J27,J28)-1,2),"")</f>
        <v>0.401112572209475</v>
      </c>
      <c r="N24" s="26" t="n">
        <v>-0.187590140125455</v>
      </c>
      <c r="O24" s="26" t="n">
        <v>0.248798396604666</v>
      </c>
      <c r="P24" s="27" t="n">
        <f aca="false">IF(O24&gt;0,N24/O24,"")</f>
        <v>-0.75398452194823</v>
      </c>
      <c r="Q24" s="27" t="n">
        <f aca="false">IF(O24&gt;0,TDIST(ABS(P24),MIN(N27,N28)-1,2),"")</f>
        <v>0.460608875545186</v>
      </c>
      <c r="R24" s="26" t="n">
        <v>-0.18672117781845</v>
      </c>
      <c r="S24" s="26" t="n">
        <v>0.210056584985628</v>
      </c>
      <c r="T24" s="27" t="n">
        <f aca="false">IF(S24&gt;0,R24/S24,"")</f>
        <v>-0.888908947230696</v>
      </c>
      <c r="U24" s="27" t="n">
        <f aca="false">IF(S24&gt;0,TDIST(ABS(T24),MIN(R27,R28)-1,2),"")</f>
        <v>0.38577750994583</v>
      </c>
      <c r="V24" s="26" t="n">
        <v>-0.426877929547074</v>
      </c>
      <c r="W24" s="26" t="n">
        <v>0.247597634735766</v>
      </c>
      <c r="X24" s="27" t="n">
        <f aca="false">IF(W24&gt;0,V24/W24,"")</f>
        <v>-1.7240791900239</v>
      </c>
      <c r="Y24" s="27" t="n">
        <f aca="false">IF(W24&gt;0,TDIST(ABS(X24),MIN(V27,V28)-1,2),"")</f>
        <v>0.101825026641493</v>
      </c>
      <c r="Z24" s="26" t="n">
        <v>0.0036313088453282</v>
      </c>
      <c r="AA24" s="26" t="n">
        <v>0.0409418802572786</v>
      </c>
      <c r="AB24" s="27" t="n">
        <f aca="false">IF(AA24&gt;0,Z24/AA24,"")</f>
        <v>0.0886942373557118</v>
      </c>
      <c r="AC24" s="27" t="n">
        <f aca="false">IF(AA24&gt;0,TDIST(ABS(AB24),MIN(Z27,Z28)-1,2),"")</f>
        <v>0.93030428818711</v>
      </c>
      <c r="AD24" s="26" t="n">
        <v>0.0154449661576609</v>
      </c>
      <c r="AE24" s="26" t="n">
        <v>0.0424544675941356</v>
      </c>
      <c r="AF24" s="27" t="n">
        <f aca="false">IF(AE24&gt;0,AD24/AE24,"")</f>
        <v>0.363800726588181</v>
      </c>
      <c r="AG24" s="27" t="n">
        <f aca="false">IF(AE24&gt;0,TDIST(ABS(AF24),MIN(AD27,AD28)-1,2),"")</f>
        <v>0.720244810397075</v>
      </c>
      <c r="AH24" s="26" t="n">
        <v>0.00991101834959271</v>
      </c>
      <c r="AI24" s="26" t="n">
        <v>0.0375473815614811</v>
      </c>
      <c r="AJ24" s="27" t="n">
        <f aca="false">IF(AI24&gt;0,AH24/AI24,"")</f>
        <v>0.263960306615899</v>
      </c>
      <c r="AK24" s="27" t="n">
        <f aca="false">IF(AI24&gt;0,TDIST(ABS(AJ24),MIN(AH27,AH28)-1,2),"")</f>
        <v>0.794808859452155</v>
      </c>
    </row>
    <row r="26" customFormat="false" ht="15" hidden="false" customHeight="false" outlineLevel="0" collapsed="false">
      <c r="A26" s="7" t="s">
        <v>27</v>
      </c>
      <c r="B26" s="20" t="n">
        <v>1723</v>
      </c>
      <c r="F26" s="20" t="n">
        <v>1478</v>
      </c>
      <c r="J26" s="20" t="n">
        <v>1477</v>
      </c>
      <c r="N26" s="20" t="n">
        <v>1532</v>
      </c>
      <c r="R26" s="20" t="n">
        <v>1313</v>
      </c>
      <c r="V26" s="20" t="n">
        <v>1312</v>
      </c>
      <c r="Z26" s="20" t="n">
        <v>1480</v>
      </c>
      <c r="AD26" s="20" t="n">
        <v>1293</v>
      </c>
      <c r="AH26" s="20" t="n">
        <v>1291</v>
      </c>
    </row>
    <row r="27" customFormat="false" ht="15" hidden="false" customHeight="false" outlineLevel="0" collapsed="false">
      <c r="A27" s="7" t="s">
        <v>104</v>
      </c>
      <c r="B27" s="20" t="n">
        <v>19</v>
      </c>
      <c r="F27" s="20" t="n">
        <v>19</v>
      </c>
      <c r="J27" s="20" t="n">
        <v>19</v>
      </c>
      <c r="N27" s="20" t="n">
        <v>19</v>
      </c>
      <c r="R27" s="20" t="n">
        <v>19</v>
      </c>
      <c r="V27" s="20" t="n">
        <v>19</v>
      </c>
      <c r="Z27" s="20" t="n">
        <v>19</v>
      </c>
      <c r="AD27" s="20" t="n">
        <v>19</v>
      </c>
      <c r="AH27" s="20" t="n">
        <v>19</v>
      </c>
    </row>
    <row r="28" customFormat="false" ht="15" hidden="false" customHeight="false" outlineLevel="0" collapsed="false">
      <c r="A28" s="7" t="s">
        <v>105</v>
      </c>
      <c r="B28" s="20" t="n">
        <v>19</v>
      </c>
      <c r="F28" s="20" t="n">
        <v>19</v>
      </c>
      <c r="J28" s="20" t="n">
        <v>19</v>
      </c>
      <c r="N28" s="20" t="n">
        <v>19</v>
      </c>
      <c r="R28" s="20" t="n">
        <v>19</v>
      </c>
      <c r="V28" s="20" t="n">
        <v>19</v>
      </c>
      <c r="Z28" s="20" t="n">
        <v>19</v>
      </c>
      <c r="AD28" s="20" t="n">
        <v>19</v>
      </c>
      <c r="AH28" s="20" t="n">
        <v>19</v>
      </c>
    </row>
    <row r="29" customFormat="false" ht="15" hidden="false" customHeight="false" outlineLevel="0" collapsed="false">
      <c r="A29" s="7" t="s">
        <v>28</v>
      </c>
      <c r="B29" s="20" t="n">
        <v>0.0582207133665683</v>
      </c>
      <c r="F29" s="20" t="n">
        <v>0.0695212787954275</v>
      </c>
      <c r="J29" s="20" t="n">
        <v>0.0886447221475494</v>
      </c>
      <c r="N29" s="20" t="n">
        <v>0.151539532879013</v>
      </c>
      <c r="R29" s="20" t="n">
        <v>0.167793351571681</v>
      </c>
      <c r="V29" s="20" t="n">
        <v>0.163011116809502</v>
      </c>
      <c r="Z29" s="20" t="n">
        <v>0.352137370057059</v>
      </c>
      <c r="AD29" s="20" t="n">
        <v>0.363485663777401</v>
      </c>
      <c r="AH29" s="20" t="n">
        <v>0.65835333952877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I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61" min="2" style="0" width="9"/>
  </cols>
  <sheetData>
    <row r="1" customFormat="false" ht="15" hidden="false" customHeight="false" outlineLevel="0" collapsed="false">
      <c r="A1" s="16" t="s">
        <v>106</v>
      </c>
    </row>
    <row r="3" customFormat="false" ht="23.85" hidden="false" customHeight="false" outlineLevel="0" collapsed="false">
      <c r="A3" s="1" t="s">
        <v>66</v>
      </c>
      <c r="B3" s="25" t="s">
        <v>107</v>
      </c>
      <c r="C3" s="25" t="s">
        <v>108</v>
      </c>
      <c r="D3" s="25" t="s">
        <v>109</v>
      </c>
      <c r="E3" s="25" t="s">
        <v>110</v>
      </c>
      <c r="F3" s="25" t="s">
        <v>111</v>
      </c>
      <c r="G3" s="25" t="s">
        <v>112</v>
      </c>
      <c r="H3" s="25" t="s">
        <v>113</v>
      </c>
      <c r="I3" s="25" t="s">
        <v>114</v>
      </c>
      <c r="J3" s="25" t="s">
        <v>115</v>
      </c>
      <c r="K3" s="25" t="s">
        <v>116</v>
      </c>
      <c r="L3" s="25" t="s">
        <v>117</v>
      </c>
      <c r="M3" s="25" t="s">
        <v>118</v>
      </c>
      <c r="N3" s="25" t="s">
        <v>119</v>
      </c>
      <c r="O3" s="25" t="s">
        <v>120</v>
      </c>
      <c r="P3" s="25" t="s">
        <v>121</v>
      </c>
      <c r="Q3" s="25" t="s">
        <v>122</v>
      </c>
      <c r="R3" s="25" t="s">
        <v>123</v>
      </c>
      <c r="S3" s="25" t="s">
        <v>124</v>
      </c>
      <c r="T3" s="25" t="s">
        <v>125</v>
      </c>
      <c r="U3" s="25" t="s">
        <v>126</v>
      </c>
      <c r="V3" s="25" t="s">
        <v>127</v>
      </c>
      <c r="W3" s="25" t="s">
        <v>128</v>
      </c>
      <c r="X3" s="25" t="s">
        <v>129</v>
      </c>
      <c r="Y3" s="25" t="s">
        <v>130</v>
      </c>
      <c r="Z3" s="25" t="s">
        <v>131</v>
      </c>
      <c r="AA3" s="25" t="s">
        <v>132</v>
      </c>
      <c r="AB3" s="25" t="s">
        <v>133</v>
      </c>
      <c r="AC3" s="25" t="s">
        <v>134</v>
      </c>
      <c r="AD3" s="25" t="s">
        <v>135</v>
      </c>
      <c r="AE3" s="25" t="s">
        <v>136</v>
      </c>
      <c r="AF3" s="25" t="s">
        <v>137</v>
      </c>
      <c r="AG3" s="25" t="s">
        <v>138</v>
      </c>
      <c r="AH3" s="25" t="s">
        <v>139</v>
      </c>
      <c r="AI3" s="25" t="s">
        <v>140</v>
      </c>
      <c r="AJ3" s="25" t="s">
        <v>141</v>
      </c>
      <c r="AK3" s="25" t="s">
        <v>142</v>
      </c>
      <c r="AL3" s="25" t="s">
        <v>143</v>
      </c>
      <c r="AM3" s="25" t="s">
        <v>144</v>
      </c>
      <c r="AN3" s="25" t="s">
        <v>145</v>
      </c>
      <c r="AO3" s="25" t="s">
        <v>146</v>
      </c>
      <c r="AP3" s="25" t="s">
        <v>147</v>
      </c>
      <c r="AQ3" s="25" t="s">
        <v>148</v>
      </c>
      <c r="AR3" s="25" t="s">
        <v>149</v>
      </c>
      <c r="AS3" s="25" t="s">
        <v>150</v>
      </c>
      <c r="AT3" s="25" t="s">
        <v>151</v>
      </c>
      <c r="AU3" s="25" t="s">
        <v>152</v>
      </c>
      <c r="AV3" s="25" t="s">
        <v>153</v>
      </c>
      <c r="AW3" s="25" t="s">
        <v>154</v>
      </c>
      <c r="AX3" s="25" t="s">
        <v>155</v>
      </c>
      <c r="AY3" s="25" t="s">
        <v>156</v>
      </c>
      <c r="AZ3" s="25" t="s">
        <v>157</v>
      </c>
      <c r="BA3" s="25" t="s">
        <v>158</v>
      </c>
      <c r="BB3" s="25" t="s">
        <v>159</v>
      </c>
      <c r="BC3" s="25" t="s">
        <v>160</v>
      </c>
      <c r="BD3" s="25" t="s">
        <v>161</v>
      </c>
      <c r="BE3" s="25" t="s">
        <v>162</v>
      </c>
      <c r="BF3" s="25" t="s">
        <v>163</v>
      </c>
      <c r="BG3" s="25" t="s">
        <v>164</v>
      </c>
      <c r="BH3" s="25" t="s">
        <v>165</v>
      </c>
      <c r="BI3" s="25" t="s">
        <v>166</v>
      </c>
    </row>
    <row r="4" customFormat="false" ht="15" hidden="false" customHeight="false" outlineLevel="0" collapsed="false">
      <c r="A4" s="7" t="s">
        <v>43</v>
      </c>
      <c r="B4" s="26" t="n">
        <v>-0.214285790100921</v>
      </c>
      <c r="C4" s="26" t="n">
        <v>0.185620242515233</v>
      </c>
      <c r="D4" s="27" t="n">
        <f aca="false">IF(C4&gt;0,B4/C4,"")</f>
        <v>-1.15443115038133</v>
      </c>
      <c r="E4" s="27" t="n">
        <f aca="false">IF(C4&gt;0,TDIST(ABS(D4),MIN(B25,B26)-1,2),"")</f>
        <v>0.264294400960366</v>
      </c>
      <c r="F4" s="26" t="n">
        <v>-0.080963521494807</v>
      </c>
      <c r="G4" s="26" t="n">
        <v>0.239503783469857</v>
      </c>
      <c r="H4" s="27" t="n">
        <f aca="false">IF(G4&gt;0,F4/G4,"")</f>
        <v>-0.338046941563229</v>
      </c>
      <c r="I4" s="27" t="n">
        <f aca="false">IF(G4&gt;0,TDIST(ABS(H4),MIN(F25,F26)-1,2),"")</f>
        <v>0.739466532242309</v>
      </c>
      <c r="J4" s="26" t="n">
        <v>-0.0884135642041054</v>
      </c>
      <c r="K4" s="26" t="n">
        <v>0.295674420239986</v>
      </c>
      <c r="L4" s="27" t="n">
        <f aca="false">IF(K4&gt;0,J4/K4,"")</f>
        <v>-0.299023378932624</v>
      </c>
      <c r="M4" s="27" t="n">
        <f aca="false">IF(K4&gt;0,TDIST(ABS(L4),MIN(J25,J26)-1,2),"")</f>
        <v>0.768546835360477</v>
      </c>
      <c r="N4" s="26" t="n">
        <v>-0.964740507933469</v>
      </c>
      <c r="O4" s="26" t="n">
        <v>0.511862331117627</v>
      </c>
      <c r="P4" s="27" t="n">
        <f aca="false">IF(O4&gt;0,N4/O4,"")</f>
        <v>-1.88476558887817</v>
      </c>
      <c r="Q4" s="27" t="n">
        <f aca="false">IF(O4&gt;0,TDIST(ABS(P4),MIN(N25,N26)-1,2),"")</f>
        <v>0.0766755675282759</v>
      </c>
      <c r="R4" s="26" t="n">
        <v>-0.266887682984163</v>
      </c>
      <c r="S4" s="26" t="n">
        <v>1.00210967665799</v>
      </c>
      <c r="T4" s="27" t="n">
        <f aca="false">IF(S4&gt;0,R4/S4,"")</f>
        <v>-0.266325821614883</v>
      </c>
      <c r="U4" s="27" t="n">
        <f aca="false">IF(S4&gt;0,TDIST(ABS(T4),MIN(R25,R26)-1,2),"")</f>
        <v>0.793191625630041</v>
      </c>
      <c r="V4" s="26" t="n">
        <v>0.0968531103518031</v>
      </c>
      <c r="W4" s="26" t="n">
        <v>0.245286392829798</v>
      </c>
      <c r="X4" s="27" t="n">
        <f aca="false">IF(W4&gt;0,V4/W4,"")</f>
        <v>0.394857249252341</v>
      </c>
      <c r="Y4" s="27" t="n">
        <f aca="false">IF(W4&gt;0,TDIST(ABS(X4),MIN(V25,V26)-1,2),"")</f>
        <v>0.697858384635167</v>
      </c>
      <c r="Z4" s="26" t="n">
        <v>0.358953178007032</v>
      </c>
      <c r="AA4" s="26" t="n">
        <v>0.293450918181858</v>
      </c>
      <c r="AB4" s="27" t="n">
        <f aca="false">IF(AA4&gt;0,Z4/AA4,"")</f>
        <v>1.22321368163033</v>
      </c>
      <c r="AC4" s="27" t="n">
        <f aca="false">IF(AA4&gt;0,TDIST(ABS(AB4),MIN(Z25,Z26)-1,2),"")</f>
        <v>0.237934980550896</v>
      </c>
      <c r="AD4" s="26" t="n">
        <v>0.565257978461345</v>
      </c>
      <c r="AE4" s="26" t="n">
        <v>0.281832517457375</v>
      </c>
      <c r="AF4" s="27" t="n">
        <f aca="false">IF(AE4&gt;0,AD4/AE4,"")</f>
        <v>2.00565209281373</v>
      </c>
      <c r="AG4" s="27" t="n">
        <f aca="false">IF(AE4&gt;0,TDIST(ABS(AF4),MIN(AD25,AD26)-1,2),"")</f>
        <v>0.0610783245553277</v>
      </c>
      <c r="AH4" s="26" t="n">
        <v>-0.164261621350611</v>
      </c>
      <c r="AI4" s="26" t="n">
        <v>0.357963300069628</v>
      </c>
      <c r="AJ4" s="27" t="n">
        <f aca="false">IF(AI4&gt;0,AH4/AI4,"")</f>
        <v>-0.458878385909001</v>
      </c>
      <c r="AK4" s="27" t="n">
        <f aca="false">IF(AI4&gt;0,TDIST(ABS(AJ4),MIN(AH25,AH26)-1,2),"")</f>
        <v>0.652134101613509</v>
      </c>
      <c r="AL4" s="26" t="n">
        <v>0.00192078148768114</v>
      </c>
      <c r="AM4" s="26" t="n">
        <v>0.398854335258949</v>
      </c>
      <c r="AN4" s="27" t="n">
        <f aca="false">IF(AM4&gt;0,AL4/AM4,"")</f>
        <v>0.00481574679747207</v>
      </c>
      <c r="AO4" s="27" t="n">
        <f aca="false">IF(AM4&gt;0,TDIST(ABS(AN4),MIN(AL25,AL26)-1,2),"")</f>
        <v>0.996213666071349</v>
      </c>
      <c r="AP4" s="26" t="n">
        <v>-0.0646279617802549</v>
      </c>
      <c r="AQ4" s="26" t="n">
        <v>0.0399820870265561</v>
      </c>
      <c r="AR4" s="27" t="n">
        <f aca="false">IF(AQ4&gt;0,AP4/AQ4,"")</f>
        <v>-1.61642291802649</v>
      </c>
      <c r="AS4" s="27" t="n">
        <f aca="false">IF(AQ4&gt;0,TDIST(ABS(AR4),MIN(AP25,AP26)-1,2),"")</f>
        <v>0.124407229099273</v>
      </c>
      <c r="AT4" s="26" t="n">
        <v>-0.0823872687779552</v>
      </c>
      <c r="AU4" s="26" t="n">
        <v>0.0585000469358259</v>
      </c>
      <c r="AV4" s="27" t="n">
        <f aca="false">IF(AU4&gt;0,AT4/AU4,"")</f>
        <v>-1.40832825088728</v>
      </c>
      <c r="AW4" s="27" t="n">
        <f aca="false">IF(AU4&gt;0,TDIST(ABS(AV4),MIN(AT25,AT26)-1,2),"")</f>
        <v>0.177059771120025</v>
      </c>
      <c r="AX4" s="26" t="n">
        <v>-0.0588744071432799</v>
      </c>
      <c r="AY4" s="26" t="n">
        <v>0.0426873541898045</v>
      </c>
      <c r="AZ4" s="27" t="n">
        <f aca="false">IF(AY4&gt;0,AX4/AY4,"")</f>
        <v>-1.37920019314155</v>
      </c>
      <c r="BA4" s="27" t="n">
        <f aca="false">IF(AY4&gt;0,TDIST(ABS(AZ4),MIN(AX25,AX26)-1,2),"")</f>
        <v>0.185708898512879</v>
      </c>
      <c r="BB4" s="26" t="n">
        <v>-0.0662759412655459</v>
      </c>
      <c r="BC4" s="26" t="n">
        <v>0.0547807882558599</v>
      </c>
      <c r="BD4" s="27" t="n">
        <f aca="false">IF(BC4&gt;0,BB4/BC4,"")</f>
        <v>-1.20983913112014</v>
      </c>
      <c r="BE4" s="27" t="n">
        <f aca="false">IF(BC4&gt;0,TDIST(ABS(BD4),MIN(BB25,BB26)-1,2),"")</f>
        <v>0.242896036899808</v>
      </c>
      <c r="BF4" s="26" t="n">
        <v>-0.0382735212880629</v>
      </c>
      <c r="BG4" s="26" t="n">
        <v>0.0703789055693251</v>
      </c>
      <c r="BH4" s="27" t="n">
        <f aca="false">IF(BG4&gt;0,BF4/BG4,"")</f>
        <v>-0.543820921602177</v>
      </c>
      <c r="BI4" s="27" t="n">
        <f aca="false">IF(BG4&gt;0,TDIST(ABS(BH4),MIN(BF25,BF26)-1,2),"")</f>
        <v>0.59362574202334</v>
      </c>
    </row>
    <row r="5" customFormat="false" ht="15" hidden="false" customHeight="false" outlineLevel="0" collapsed="false">
      <c r="A5" s="7" t="s">
        <v>9</v>
      </c>
      <c r="B5" s="26" t="n">
        <v>0.16777102776331</v>
      </c>
      <c r="C5" s="26" t="n">
        <v>0.152169638662664</v>
      </c>
      <c r="D5" s="27" t="n">
        <f aca="false">IF(C5&gt;0,B5/C5,"")</f>
        <v>1.10252629392931</v>
      </c>
      <c r="E5" s="27" t="n">
        <f aca="false">IF(C5&gt;0,TDIST(ABS(D5),MIN(B25,B26)-1,2),"")</f>
        <v>0.285597179379129</v>
      </c>
      <c r="F5" s="26" t="n">
        <v>0.117815778389405</v>
      </c>
      <c r="G5" s="26" t="n">
        <v>0.163849072346658</v>
      </c>
      <c r="H5" s="27" t="n">
        <f aca="false">IF(G5&gt;0,F5/G5,"")</f>
        <v>0.71905062813014</v>
      </c>
      <c r="I5" s="27" t="n">
        <f aca="false">IF(G5&gt;0,TDIST(ABS(H5),MIN(F25,F26)-1,2),"")</f>
        <v>0.481877693203769</v>
      </c>
      <c r="J5" s="26" t="n">
        <v>0.0835787137631356</v>
      </c>
      <c r="K5" s="26" t="n">
        <v>0.1483219075244</v>
      </c>
      <c r="L5" s="27" t="n">
        <f aca="false">IF(K5&gt;0,J5/K5,"")</f>
        <v>0.563495407779772</v>
      </c>
      <c r="M5" s="27" t="n">
        <f aca="false">IF(K5&gt;0,TDIST(ABS(L5),MIN(J25,J26)-1,2),"")</f>
        <v>0.580455177989187</v>
      </c>
      <c r="N5" s="26" t="n">
        <v>0.0994170819207975</v>
      </c>
      <c r="O5" s="26" t="n">
        <v>0.131804695696165</v>
      </c>
      <c r="P5" s="27" t="n">
        <f aca="false">IF(O5&gt;0,N5/O5,"")</f>
        <v>0.754275721329176</v>
      </c>
      <c r="Q5" s="27" t="n">
        <f aca="false">IF(O5&gt;0,TDIST(ABS(P5),MIN(N25,N26)-1,2),"")</f>
        <v>0.461004981575826</v>
      </c>
      <c r="R5" s="26" t="n">
        <v>0.223460081754119</v>
      </c>
      <c r="S5" s="26" t="n">
        <v>0.134348304367435</v>
      </c>
      <c r="T5" s="27" t="n">
        <f aca="false">IF(S5&gt;0,R5/S5,"")</f>
        <v>1.66328918557072</v>
      </c>
      <c r="U5" s="27" t="n">
        <f aca="false">IF(S5&gt;0,TDIST(ABS(T5),MIN(R25,R26)-1,2),"")</f>
        <v>0.114578840944302</v>
      </c>
      <c r="V5" s="26" t="n">
        <v>0.135919027343734</v>
      </c>
      <c r="W5" s="26" t="n">
        <v>0.217199344545992</v>
      </c>
      <c r="X5" s="27" t="n">
        <f aca="false">IF(W5&gt;0,V5/W5,"")</f>
        <v>0.625780099050683</v>
      </c>
      <c r="Y5" s="27" t="n">
        <f aca="false">IF(W5&gt;0,TDIST(ABS(X5),MIN(V25,V26)-1,2),"")</f>
        <v>0.539770525886485</v>
      </c>
      <c r="Z5" s="26" t="n">
        <v>0.0503099761995831</v>
      </c>
      <c r="AA5" s="26" t="n">
        <v>0.208755688174826</v>
      </c>
      <c r="AB5" s="27" t="n">
        <f aca="false">IF(AA5&gt;0,Z5/AA5,"")</f>
        <v>0.240999307082115</v>
      </c>
      <c r="AC5" s="27" t="n">
        <f aca="false">IF(AA5&gt;0,TDIST(ABS(AB5),MIN(Z25,Z26)-1,2),"")</f>
        <v>0.81243826493065</v>
      </c>
      <c r="AD5" s="26" t="n">
        <v>0.0151725215122947</v>
      </c>
      <c r="AE5" s="26" t="n">
        <v>0.185297264190685</v>
      </c>
      <c r="AF5" s="27" t="n">
        <f aca="false">IF(AE5&gt;0,AD5/AE5,"")</f>
        <v>0.0818820589638122</v>
      </c>
      <c r="AG5" s="27" t="n">
        <f aca="false">IF(AE5&gt;0,TDIST(ABS(AF5),MIN(AD25,AD26)-1,2),"")</f>
        <v>0.935696848665062</v>
      </c>
      <c r="AH5" s="26" t="n">
        <v>-0.132131428714121</v>
      </c>
      <c r="AI5" s="26" t="n">
        <v>0.106549965004565</v>
      </c>
      <c r="AJ5" s="27" t="n">
        <f aca="false">IF(AI5&gt;0,AH5/AI5,"")</f>
        <v>-1.24008889827847</v>
      </c>
      <c r="AK5" s="27" t="n">
        <f aca="false">IF(AI5&gt;0,TDIST(ABS(AJ5),MIN(AH25,AH26)-1,2),"")</f>
        <v>0.231787153187961</v>
      </c>
      <c r="AL5" s="26" t="n">
        <v>0.0602832044600242</v>
      </c>
      <c r="AM5" s="26" t="n">
        <v>0.131745537846873</v>
      </c>
      <c r="AN5" s="27" t="n">
        <f aca="false">IF(AM5&gt;0,AL5/AM5,"")</f>
        <v>0.457573026344854</v>
      </c>
      <c r="AO5" s="27" t="n">
        <f aca="false">IF(AM5&gt;0,TDIST(ABS(AN5),MIN(AL25,AL26)-1,2),"")</f>
        <v>0.653053082055852</v>
      </c>
      <c r="AP5" s="26" t="n">
        <v>0.000168165031965262</v>
      </c>
      <c r="AQ5" s="26" t="n">
        <v>0.00671415330956463</v>
      </c>
      <c r="AR5" s="27" t="n">
        <f aca="false">IF(AQ5&gt;0,AP5/AQ5,"")</f>
        <v>0.0250463497349254</v>
      </c>
      <c r="AS5" s="27" t="n">
        <f aca="false">IF(AQ5&gt;0,TDIST(ABS(AR5),MIN(AP25,AP26)-1,2),"")</f>
        <v>0.980309651113545</v>
      </c>
      <c r="AT5" s="26" t="n">
        <v>0.00364141444146817</v>
      </c>
      <c r="AU5" s="26" t="n">
        <v>0.00630966232721048</v>
      </c>
      <c r="AV5" s="27" t="n">
        <f aca="false">IF(AU5&gt;0,AT5/AU5,"")</f>
        <v>0.577117166122272</v>
      </c>
      <c r="AW5" s="27" t="n">
        <f aca="false">IF(AU5&gt;0,TDIST(ABS(AV5),MIN(AT25,AT26)-1,2),"")</f>
        <v>0.571424654910941</v>
      </c>
      <c r="AX5" s="26" t="n">
        <v>0.0071016859294214</v>
      </c>
      <c r="AY5" s="26" t="n">
        <v>0.00555717352875416</v>
      </c>
      <c r="AZ5" s="27" t="n">
        <f aca="false">IF(AY5&gt;0,AX5/AY5,"")</f>
        <v>1.27793128875238</v>
      </c>
      <c r="BA5" s="27" t="n">
        <f aca="false">IF(AY5&gt;0,TDIST(ABS(AZ5),MIN(AX25,AX26)-1,2),"")</f>
        <v>0.21844861787537</v>
      </c>
      <c r="BB5" s="26" t="n">
        <v>0.0050312989659884</v>
      </c>
      <c r="BC5" s="26" t="n">
        <v>0.00423154528460726</v>
      </c>
      <c r="BD5" s="27" t="n">
        <f aca="false">IF(BC5&gt;0,BB5/BC5,"")</f>
        <v>1.18899802024815</v>
      </c>
      <c r="BE5" s="27" t="n">
        <f aca="false">IF(BC5&gt;0,TDIST(ABS(BD5),MIN(BB25,BB26)-1,2),"")</f>
        <v>0.250784092668291</v>
      </c>
      <c r="BF5" s="26" t="n">
        <v>0.00690715354644197</v>
      </c>
      <c r="BG5" s="26" t="n">
        <v>0.0034486284726111</v>
      </c>
      <c r="BH5" s="27" t="n">
        <f aca="false">IF(BG5&gt;0,BF5/BG5,"")</f>
        <v>2.00286972090452</v>
      </c>
      <c r="BI5" s="27" t="n">
        <f aca="false">IF(BG5&gt;0,TDIST(ABS(BH5),MIN(BF25,BF26)-1,2),"")</f>
        <v>0.0614025632549385</v>
      </c>
    </row>
    <row r="6" customFormat="false" ht="15" hidden="false" customHeight="false" outlineLevel="0" collapsed="false">
      <c r="A6" s="7" t="s">
        <v>10</v>
      </c>
      <c r="B6" s="26" t="n">
        <v>-0.0753927884890014</v>
      </c>
      <c r="C6" s="26" t="n">
        <v>0.109147098432992</v>
      </c>
      <c r="D6" s="27" t="n">
        <f aca="false">IF(C6&gt;0,B6/C6,"")</f>
        <v>-0.690744779947465</v>
      </c>
      <c r="E6" s="27" t="n">
        <f aca="false">IF(C6&gt;0,TDIST(ABS(D6),MIN(B25,B26)-1,2),"")</f>
        <v>0.499049712786057</v>
      </c>
      <c r="F6" s="26" t="n">
        <v>-0.0815954118376418</v>
      </c>
      <c r="G6" s="26" t="n">
        <v>0.117306310883396</v>
      </c>
      <c r="H6" s="27" t="n">
        <f aca="false">IF(G6&gt;0,F6/G6,"")</f>
        <v>-0.695575636324876</v>
      </c>
      <c r="I6" s="27" t="n">
        <f aca="false">IF(G6&gt;0,TDIST(ABS(H6),MIN(F25,F26)-1,2),"")</f>
        <v>0.496094130330869</v>
      </c>
      <c r="J6" s="26" t="n">
        <v>-0.0803629272840095</v>
      </c>
      <c r="K6" s="26" t="n">
        <v>0.917380189003263</v>
      </c>
      <c r="L6" s="27" t="n">
        <f aca="false">IF(K6&gt;0,J6/K6,"")</f>
        <v>-0.0876004607984004</v>
      </c>
      <c r="M6" s="27" t="n">
        <f aca="false">IF(K6&gt;0,TDIST(ABS(L6),MIN(J25,J26)-1,2),"")</f>
        <v>0.931217855855332</v>
      </c>
      <c r="N6" s="26" t="n">
        <v>1.08546764904445</v>
      </c>
      <c r="O6" s="26" t="n">
        <v>1.82550529585621</v>
      </c>
      <c r="P6" s="27" t="n">
        <f aca="false">IF(O6&gt;0,N6/O6,"")</f>
        <v>0.594612161086797</v>
      </c>
      <c r="Q6" s="27" t="n">
        <f aca="false">IF(O6&gt;0,TDIST(ABS(P6),MIN(N25,N26)-1,2),"")</f>
        <v>0.559934227959498</v>
      </c>
      <c r="R6" s="26" t="n">
        <v>0.656389477088533</v>
      </c>
      <c r="S6" s="26" t="n">
        <v>2.05167373657684</v>
      </c>
      <c r="T6" s="27" t="n">
        <f aca="false">IF(S6&gt;0,R6/S6,"")</f>
        <v>0.31992878077374</v>
      </c>
      <c r="U6" s="27" t="n">
        <f aca="false">IF(S6&gt;0,TDIST(ABS(T6),MIN(R25,R26)-1,2),"")</f>
        <v>0.752920784889814</v>
      </c>
      <c r="V6" s="26" t="n">
        <v>0.0352979196948432</v>
      </c>
      <c r="W6" s="26" t="n">
        <v>0.0782229894065091</v>
      </c>
      <c r="X6" s="27" t="n">
        <f aca="false">IF(W6&gt;0,V6/W6,"")</f>
        <v>0.451247388557435</v>
      </c>
      <c r="Y6" s="27" t="n">
        <f aca="false">IF(W6&gt;0,TDIST(ABS(X6),MIN(V25,V26)-1,2),"")</f>
        <v>0.657514478479801</v>
      </c>
      <c r="Z6" s="26" t="n">
        <v>-0.0104693086429566</v>
      </c>
      <c r="AA6" s="26" t="n">
        <v>0.105859367562886</v>
      </c>
      <c r="AB6" s="27" t="n">
        <f aca="false">IF(AA6&gt;0,Z6/AA6,"")</f>
        <v>-0.0988982730955506</v>
      </c>
      <c r="AC6" s="27" t="n">
        <f aca="false">IF(AA6&gt;0,TDIST(ABS(AB6),MIN(Z25,Z26)-1,2),"")</f>
        <v>0.922375861547933</v>
      </c>
      <c r="AD6" s="26" t="n">
        <v>0.335881271722915</v>
      </c>
      <c r="AE6" s="26" t="n">
        <v>0.80569547391474</v>
      </c>
      <c r="AF6" s="27" t="n">
        <f aca="false">IF(AE6&gt;0,AD6/AE6,"")</f>
        <v>0.416883652195443</v>
      </c>
      <c r="AG6" s="27" t="n">
        <f aca="false">IF(AE6&gt;0,TDIST(ABS(AF6),MIN(AD25,AD26)-1,2),"")</f>
        <v>0.681980212569046</v>
      </c>
      <c r="AH6" s="26" t="n">
        <v>0.35623374316093</v>
      </c>
      <c r="AI6" s="26" t="n">
        <v>0.888152759575279</v>
      </c>
      <c r="AJ6" s="27" t="n">
        <f aca="false">IF(AI6&gt;0,AH6/AI6,"")</f>
        <v>0.401095126170957</v>
      </c>
      <c r="AK6" s="27" t="n">
        <f aca="false">IF(AI6&gt;0,TDIST(ABS(AJ6),MIN(AH25,AH26)-1,2),"")</f>
        <v>0.693346626062219</v>
      </c>
      <c r="AL6" s="26" t="n">
        <v>1.44271717139828</v>
      </c>
      <c r="AM6" s="26" t="n">
        <v>0.870012832312681</v>
      </c>
      <c r="AN6" s="27" t="n">
        <f aca="false">IF(AM6&gt;0,AL6/AM6,"")</f>
        <v>1.65827114016609</v>
      </c>
      <c r="AO6" s="27" t="n">
        <f aca="false">IF(AM6&gt;0,TDIST(ABS(AN6),MIN(AL25,AL26)-1,2),"")</f>
        <v>0.115598389946557</v>
      </c>
      <c r="AP6" s="26" t="n">
        <v>-0.0338433265239119</v>
      </c>
      <c r="AQ6" s="26" t="n">
        <v>0.0193155368905052</v>
      </c>
      <c r="AR6" s="27" t="n">
        <f aca="false">IF(AQ6&gt;0,AP6/AQ6,"")</f>
        <v>-1.7521297345117</v>
      </c>
      <c r="AS6" s="27" t="n">
        <f aca="false">IF(AQ6&gt;0,TDIST(ABS(AR6),MIN(AP25,AP26)-1,2),"")</f>
        <v>0.0977681714222864</v>
      </c>
      <c r="AT6" s="26" t="n">
        <v>-0.0437279645441018</v>
      </c>
      <c r="AU6" s="26" t="n">
        <v>0.0216415748855</v>
      </c>
      <c r="AV6" s="27" t="n">
        <f aca="false">IF(AU6&gt;0,AT6/AU6,"")</f>
        <v>-2.02055371549692</v>
      </c>
      <c r="AW6" s="27" t="n">
        <f aca="false">IF(AU6&gt;0,TDIST(ABS(AV6),MIN(AT25,AT26)-1,2),"")</f>
        <v>0.059367946396743</v>
      </c>
      <c r="AX6" s="26" t="n">
        <v>-0.347811751719642</v>
      </c>
      <c r="AY6" s="26" t="n">
        <v>0.148035914834663</v>
      </c>
      <c r="AZ6" s="27" t="n">
        <f aca="false">IF(AY6&gt;0,AX6/AY6,"")</f>
        <v>-2.34950925326535</v>
      </c>
      <c r="BA6" s="27" t="n">
        <f aca="false">IF(AY6&gt;0,TDIST(ABS(AZ6),MIN(AX25,AX26)-1,2),"")</f>
        <v>0.0311406077167956</v>
      </c>
      <c r="BB6" s="26" t="n">
        <v>-0.242637828929505</v>
      </c>
      <c r="BC6" s="26" t="n">
        <v>0.237966664706159</v>
      </c>
      <c r="BD6" s="27" t="n">
        <f aca="false">IF(BC6&gt;0,BB6/BC6,"")</f>
        <v>-1.01962948982419</v>
      </c>
      <c r="BE6" s="27" t="n">
        <f aca="false">IF(BC6&gt;0,TDIST(ABS(BD6),MIN(BB25,BB26)-1,2),"")</f>
        <v>0.32219639242491</v>
      </c>
      <c r="BF6" s="26" t="n">
        <v>-0.0896367221717583</v>
      </c>
      <c r="BG6" s="26" t="n">
        <v>0.217990423562433</v>
      </c>
      <c r="BH6" s="27" t="n">
        <f aca="false">IF(BG6&gt;0,BF6/BG6,"")</f>
        <v>-0.411195687897207</v>
      </c>
      <c r="BI6" s="27" t="n">
        <f aca="false">IF(BG6&gt;0,TDIST(ABS(BH6),MIN(BF25,BF26)-1,2),"")</f>
        <v>0.686066188434987</v>
      </c>
    </row>
    <row r="7" customFormat="false" ht="15" hidden="false" customHeight="false" outlineLevel="0" collapsed="false">
      <c r="A7" s="7" t="s">
        <v>11</v>
      </c>
      <c r="B7" s="26" t="n">
        <v>-0.0161399367907852</v>
      </c>
      <c r="C7" s="26" t="n">
        <v>0.00987629037719242</v>
      </c>
      <c r="D7" s="27" t="n">
        <f aca="false">IF(C7&gt;0,B7/C7,"")</f>
        <v>-1.63421043472532</v>
      </c>
      <c r="E7" s="27" t="n">
        <f aca="false">IF(C7&gt;0,TDIST(ABS(D7),MIN(B25,B26)-1,2),"")</f>
        <v>0.120595526938554</v>
      </c>
      <c r="F7" s="26" t="n">
        <v>-0.013544646443086</v>
      </c>
      <c r="G7" s="26" t="n">
        <v>0.00658475057684359</v>
      </c>
      <c r="H7" s="27" t="n">
        <f aca="false">IF(G7&gt;0,F7/G7,"")</f>
        <v>-2.0569718298394</v>
      </c>
      <c r="I7" s="27" t="n">
        <f aca="false">IF(G7&gt;0,TDIST(ABS(H7),MIN(F25,F26)-1,2),"")</f>
        <v>0.0553687724792865</v>
      </c>
      <c r="J7" s="26" t="n">
        <v>-0.0266292322225243</v>
      </c>
      <c r="K7" s="26" t="n">
        <v>0.0273959551098829</v>
      </c>
      <c r="L7" s="27" t="n">
        <f aca="false">IF(K7&gt;0,J7/K7,"")</f>
        <v>-0.972013281366416</v>
      </c>
      <c r="M7" s="27" t="n">
        <f aca="false">IF(K7&gt;0,TDIST(ABS(L7),MIN(J25,J26)-1,2),"")</f>
        <v>0.344672193439616</v>
      </c>
      <c r="N7" s="26" t="n">
        <v>-0.0705912829995146</v>
      </c>
      <c r="O7" s="26" t="n">
        <v>0.0270870167707847</v>
      </c>
      <c r="P7" s="27" t="n">
        <f aca="false">IF(O7&gt;0,N7/O7,"")</f>
        <v>-2.60609293363204</v>
      </c>
      <c r="Q7" s="27" t="n">
        <f aca="false">IF(O7&gt;0,TDIST(ABS(P7),MIN(N25,N26)-1,2),"")</f>
        <v>0.0184460671139572</v>
      </c>
      <c r="R7" s="26" t="n">
        <v>-0.0769347472422317</v>
      </c>
      <c r="S7" s="26" t="n">
        <v>0.0341259646669265</v>
      </c>
      <c r="T7" s="27" t="n">
        <f aca="false">IF(S7&gt;0,R7/S7,"")</f>
        <v>-2.2544343579185</v>
      </c>
      <c r="U7" s="27" t="n">
        <f aca="false">IF(S7&gt;0,TDIST(ABS(T7),MIN(R25,R26)-1,2),"")</f>
        <v>0.0376505469099056</v>
      </c>
      <c r="V7" s="26" t="n">
        <v>-0.0075991214849692</v>
      </c>
      <c r="W7" s="26" t="n">
        <v>0.00897704613387852</v>
      </c>
      <c r="X7" s="27" t="n">
        <f aca="false">IF(W7&gt;0,V7/W7,"")</f>
        <v>-0.846505785047805</v>
      </c>
      <c r="Y7" s="27" t="n">
        <f aca="false">IF(W7&gt;0,TDIST(ABS(X7),MIN(V25,V26)-1,2),"")</f>
        <v>0.409029197913189</v>
      </c>
      <c r="Z7" s="26" t="n">
        <v>-0.00732438213969</v>
      </c>
      <c r="AA7" s="26" t="n">
        <v>0.00681359318044127</v>
      </c>
      <c r="AB7" s="27" t="n">
        <f aca="false">IF(AA7&gt;0,Z7/AA7,"")</f>
        <v>-1.07496616626819</v>
      </c>
      <c r="AC7" s="27" t="n">
        <f aca="false">IF(AA7&gt;0,TDIST(ABS(AB7),MIN(Z25,Z26)-1,2),"")</f>
        <v>0.297410820483003</v>
      </c>
      <c r="AD7" s="26" t="n">
        <v>-0.0101851756068517</v>
      </c>
      <c r="AE7" s="26" t="n">
        <v>0.0231321995960782</v>
      </c>
      <c r="AF7" s="27" t="n">
        <f aca="false">IF(AE7&gt;0,AD7/AE7,"")</f>
        <v>-0.440302945016023</v>
      </c>
      <c r="AG7" s="27" t="n">
        <f aca="false">IF(AE7&gt;0,TDIST(ABS(AF7),MIN(AD25,AD26)-1,2),"")</f>
        <v>0.665264897218489</v>
      </c>
      <c r="AH7" s="26" t="n">
        <v>-0.00957902782189856</v>
      </c>
      <c r="AI7" s="26" t="n">
        <v>0.0255722424900216</v>
      </c>
      <c r="AJ7" s="27" t="n">
        <f aca="false">IF(AI7&gt;0,AH7/AI7,"")</f>
        <v>-0.374586930560992</v>
      </c>
      <c r="AK7" s="27" t="n">
        <f aca="false">IF(AI7&gt;0,TDIST(ABS(AJ7),MIN(AH25,AH26)-1,2),"")</f>
        <v>0.712599408771967</v>
      </c>
      <c r="AL7" s="26" t="n">
        <v>-0.0413271570938257</v>
      </c>
      <c r="AM7" s="26" t="n">
        <v>0.0324056441143572</v>
      </c>
      <c r="AN7" s="27" t="n">
        <f aca="false">IF(AM7&gt;0,AL7/AM7,"")</f>
        <v>-1.27530738003495</v>
      </c>
      <c r="AO7" s="27" t="n">
        <f aca="false">IF(AM7&gt;0,TDIST(ABS(AN7),MIN(AL25,AL26)-1,2),"")</f>
        <v>0.219353686386765</v>
      </c>
      <c r="AP7" s="26" t="n">
        <v>-0.00250137791403365</v>
      </c>
      <c r="AQ7" s="26" t="n">
        <v>0.000825276354222747</v>
      </c>
      <c r="AR7" s="27" t="n">
        <f aca="false">IF(AQ7&gt;0,AP7/AQ7,"")</f>
        <v>-3.03095793455693</v>
      </c>
      <c r="AS7" s="27" t="n">
        <f aca="false">IF(AQ7&gt;0,TDIST(ABS(AR7),MIN(AP25,AP26)-1,2),"")</f>
        <v>0.00753981491883997</v>
      </c>
      <c r="AT7" s="26" t="n">
        <v>-0.00236571373479321</v>
      </c>
      <c r="AU7" s="26" t="n">
        <v>0.000747075807104183</v>
      </c>
      <c r="AV7" s="27" t="n">
        <f aca="false">IF(AU7&gt;0,AT7/AU7,"")</f>
        <v>-3.16663143458385</v>
      </c>
      <c r="AW7" s="27" t="n">
        <f aca="false">IF(AU7&gt;0,TDIST(ABS(AV7),MIN(AT25,AT26)-1,2),"")</f>
        <v>0.00563792015438629</v>
      </c>
      <c r="AX7" s="26" t="n">
        <v>-0.000175387050795949</v>
      </c>
      <c r="AY7" s="26" t="n">
        <v>0.00257968516991878</v>
      </c>
      <c r="AZ7" s="27" t="n">
        <f aca="false">IF(AY7&gt;0,AX7/AY7,"")</f>
        <v>-0.0679877734078189</v>
      </c>
      <c r="BA7" s="27" t="n">
        <f aca="false">IF(AY7&gt;0,TDIST(ABS(AZ7),MIN(AX25,AX26)-1,2),"")</f>
        <v>0.946588625803287</v>
      </c>
      <c r="BB7" s="26" t="n">
        <v>0.000104352170514299</v>
      </c>
      <c r="BC7" s="26" t="n">
        <v>0.00216255720622354</v>
      </c>
      <c r="BD7" s="27" t="n">
        <f aca="false">IF(BC7&gt;0,BB7/BC7,"")</f>
        <v>0.0482540624654868</v>
      </c>
      <c r="BE7" s="27" t="n">
        <f aca="false">IF(BC7&gt;0,TDIST(ABS(BD7),MIN(BB25,BB26)-1,2),"")</f>
        <v>0.962076142022257</v>
      </c>
      <c r="BF7" s="26" t="n">
        <v>-0.000745916037062972</v>
      </c>
      <c r="BG7" s="26" t="n">
        <v>0.00201423730764419</v>
      </c>
      <c r="BH7" s="27" t="n">
        <f aca="false">IF(BG7&gt;0,BF7/BG7,"")</f>
        <v>-0.370321825651904</v>
      </c>
      <c r="BI7" s="27" t="n">
        <f aca="false">IF(BG7&gt;0,TDIST(ABS(BH7),MIN(BF25,BF26)-1,2),"")</f>
        <v>0.715716293905546</v>
      </c>
    </row>
    <row r="8" customFormat="false" ht="15" hidden="false" customHeight="false" outlineLevel="0" collapsed="false">
      <c r="A8" s="7" t="s">
        <v>12</v>
      </c>
      <c r="B8" s="26" t="n">
        <v>0.0240578874606725</v>
      </c>
      <c r="C8" s="26" t="n">
        <v>0.114817235790706</v>
      </c>
      <c r="D8" s="27" t="n">
        <f aca="false">IF(C8&gt;0,B8/C8,"")</f>
        <v>0.209532020998366</v>
      </c>
      <c r="E8" s="27" t="n">
        <f aca="false">IF(C8&gt;0,TDIST(ABS(D8),MIN(B25,B26)-1,2),"")</f>
        <v>0.836523378030521</v>
      </c>
      <c r="F8" s="26" t="n">
        <v>0.0507609689897971</v>
      </c>
      <c r="G8" s="26" t="n">
        <v>0.11682860947088</v>
      </c>
      <c r="H8" s="27" t="n">
        <f aca="false">IF(G8&gt;0,F8/G8,"")</f>
        <v>0.434490911256196</v>
      </c>
      <c r="I8" s="27" t="n">
        <f aca="false">IF(G8&gt;0,TDIST(ABS(H8),MIN(F25,F26)-1,2),"")</f>
        <v>0.669396731005697</v>
      </c>
      <c r="J8" s="26" t="n">
        <v>-0.605369901736572</v>
      </c>
      <c r="K8" s="26" t="n">
        <v>0.380037827128729</v>
      </c>
      <c r="L8" s="27" t="n">
        <f aca="false">IF(K8&gt;0,J8/K8,"")</f>
        <v>-1.59292012142654</v>
      </c>
      <c r="M8" s="27" t="n">
        <f aca="false">IF(K8&gt;0,TDIST(ABS(L8),MIN(J25,J26)-1,2),"")</f>
        <v>0.129600270521076</v>
      </c>
      <c r="N8" s="26" t="n">
        <v>-1.64425998277915</v>
      </c>
      <c r="O8" s="26" t="n">
        <v>0.417573735534721</v>
      </c>
      <c r="P8" s="27" t="n">
        <f aca="false">IF(O8&gt;0,N8/O8,"")</f>
        <v>-3.93765182734398</v>
      </c>
      <c r="Q8" s="27" t="n">
        <f aca="false">IF(O8&gt;0,TDIST(ABS(P8),MIN(N25,N26)-1,2),"")</f>
        <v>0.00106137862749095</v>
      </c>
      <c r="R8" s="26" t="n">
        <v>-2.00632897048928</v>
      </c>
      <c r="S8" s="26" t="n">
        <v>0.47520254174175</v>
      </c>
      <c r="T8" s="27" t="n">
        <f aca="false">IF(S8&gt;0,R8/S8,"")</f>
        <v>-4.22205016651535</v>
      </c>
      <c r="U8" s="27" t="n">
        <f aca="false">IF(S8&gt;0,TDIST(ABS(T8),MIN(R25,R26)-1,2),"")</f>
        <v>0.00057367199077794</v>
      </c>
      <c r="V8" s="26" t="n">
        <v>-0.344226666927012</v>
      </c>
      <c r="W8" s="26" t="n">
        <v>0.232860461434686</v>
      </c>
      <c r="X8" s="27" t="n">
        <f aca="false">IF(W8&gt;0,V8/W8,"")</f>
        <v>-1.47825296233711</v>
      </c>
      <c r="Y8" s="27" t="n">
        <f aca="false">IF(W8&gt;0,TDIST(ABS(X8),MIN(V25,V26)-1,2),"")</f>
        <v>0.157629051053434</v>
      </c>
      <c r="Z8" s="26" t="n">
        <v>-0.198447763456084</v>
      </c>
      <c r="AA8" s="26" t="n">
        <v>0.247901034199595</v>
      </c>
      <c r="AB8" s="27" t="n">
        <f aca="false">IF(AA8&gt;0,Z8/AA8,"")</f>
        <v>-0.800512043432244</v>
      </c>
      <c r="AC8" s="27" t="n">
        <f aca="false">IF(AA8&gt;0,TDIST(ABS(AB8),MIN(Z25,Z26)-1,2),"")</f>
        <v>0.434459524090446</v>
      </c>
      <c r="AD8" s="26" t="n">
        <v>-0.560263205416785</v>
      </c>
      <c r="AE8" s="26" t="n">
        <v>0.512721730167616</v>
      </c>
      <c r="AF8" s="27" t="n">
        <f aca="false">IF(AE8&gt;0,AD8/AE8,"")</f>
        <v>-1.09272373775464</v>
      </c>
      <c r="AG8" s="27" t="n">
        <f aca="false">IF(AE8&gt;0,TDIST(ABS(AF8),MIN(AD25,AD26)-1,2),"")</f>
        <v>0.289758854505298</v>
      </c>
      <c r="AH8" s="26" t="n">
        <v>-0.887393166245549</v>
      </c>
      <c r="AI8" s="26" t="n">
        <v>0.451237718929582</v>
      </c>
      <c r="AJ8" s="27" t="n">
        <f aca="false">IF(AI8&gt;0,AH8/AI8,"")</f>
        <v>-1.96657577374207</v>
      </c>
      <c r="AK8" s="27" t="n">
        <f aca="false">IF(AI8&gt;0,TDIST(ABS(AJ8),MIN(AH25,AH26)-1,2),"")</f>
        <v>0.065776389137314</v>
      </c>
      <c r="AL8" s="26" t="n">
        <v>-1.11099456712941</v>
      </c>
      <c r="AM8" s="26" t="n">
        <v>0.616781618635582</v>
      </c>
      <c r="AN8" s="27" t="n">
        <f aca="false">IF(AM8&gt;0,AL8/AM8,"")</f>
        <v>-1.8012770380335</v>
      </c>
      <c r="AO8" s="27" t="n">
        <f aca="false">IF(AM8&gt;0,TDIST(ABS(AN8),MIN(AL25,AL26)-1,2),"")</f>
        <v>0.0894234812453651</v>
      </c>
      <c r="AP8" s="26" t="n">
        <v>-0.0896020131765267</v>
      </c>
      <c r="AQ8" s="26" t="n">
        <v>0.0686839871973986</v>
      </c>
      <c r="AR8" s="27" t="n">
        <f aca="false">IF(AQ8&gt;0,AP8/AQ8,"")</f>
        <v>-1.30455462521431</v>
      </c>
      <c r="AS8" s="27" t="n">
        <f aca="false">IF(AQ8&gt;0,TDIST(ABS(AR8),MIN(AP25,AP26)-1,2),"")</f>
        <v>0.20943011958898</v>
      </c>
      <c r="AT8" s="26" t="n">
        <v>-0.0423708493540484</v>
      </c>
      <c r="AU8" s="26" t="n">
        <v>0.0601192410703735</v>
      </c>
      <c r="AV8" s="27" t="n">
        <f aca="false">IF(AU8&gt;0,AT8/AU8,"")</f>
        <v>-0.704780176856368</v>
      </c>
      <c r="AW8" s="27" t="n">
        <f aca="false">IF(AU8&gt;0,TDIST(ABS(AV8),MIN(AT25,AT26)-1,2),"")</f>
        <v>0.490490947343359</v>
      </c>
      <c r="AX8" s="26" t="n">
        <v>-0.057553574886152</v>
      </c>
      <c r="AY8" s="26" t="n">
        <v>0.028378305588427</v>
      </c>
      <c r="AZ8" s="27" t="n">
        <f aca="false">IF(AY8&gt;0,AX8/AY8,"")</f>
        <v>-2.02808355512328</v>
      </c>
      <c r="BA8" s="27" t="n">
        <f aca="false">IF(AY8&gt;0,TDIST(ABS(AZ8),MIN(AX25,AX26)-1,2),"")</f>
        <v>0.0585202529324259</v>
      </c>
      <c r="BB8" s="26" t="n">
        <v>-0.0576285640012363</v>
      </c>
      <c r="BC8" s="26" t="n">
        <v>0.0470076523953941</v>
      </c>
      <c r="BD8" s="27" t="n">
        <f aca="false">IF(BC8&gt;0,BB8/BC8,"")</f>
        <v>-1.22594005581276</v>
      </c>
      <c r="BE8" s="27" t="n">
        <f aca="false">IF(BC8&gt;0,TDIST(ABS(BD8),MIN(BB25,BB26)-1,2),"")</f>
        <v>0.236933311477593</v>
      </c>
      <c r="BF8" s="26" t="n">
        <v>0.0114487961834668</v>
      </c>
      <c r="BG8" s="26" t="n">
        <v>0.066914173080234</v>
      </c>
      <c r="BH8" s="27" t="n">
        <f aca="false">IF(BG8&gt;0,BF8/BG8,"")</f>
        <v>0.171096729682948</v>
      </c>
      <c r="BI8" s="27" t="n">
        <f aca="false">IF(BG8&gt;0,TDIST(ABS(BH8),MIN(BF25,BF26)-1,2),"")</f>
        <v>0.866167692766454</v>
      </c>
    </row>
    <row r="9" customFormat="false" ht="15" hidden="false" customHeight="false" outlineLevel="0" collapsed="false">
      <c r="A9" s="7" t="s">
        <v>13</v>
      </c>
      <c r="B9" s="26" t="n">
        <v>-0.00637766624503738</v>
      </c>
      <c r="C9" s="26" t="n">
        <v>0.119709094309758</v>
      </c>
      <c r="D9" s="27" t="n">
        <f aca="false">IF(C9&gt;0,B9/C9,"")</f>
        <v>-0.0532763720401611</v>
      </c>
      <c r="E9" s="27" t="n">
        <f aca="false">IF(C9&gt;0,TDIST(ABS(D9),MIN(B25,B26)-1,2),"")</f>
        <v>0.958132771749574</v>
      </c>
      <c r="F9" s="26" t="n">
        <v>0.00746816293057711</v>
      </c>
      <c r="G9" s="26" t="n">
        <v>0.109538015990007</v>
      </c>
      <c r="H9" s="27" t="n">
        <f aca="false">IF(G9&gt;0,F9/G9,"")</f>
        <v>0.0681787310376194</v>
      </c>
      <c r="I9" s="27" t="n">
        <f aca="false">IF(G9&gt;0,TDIST(ABS(H9),MIN(F25,F26)-1,2),"")</f>
        <v>0.946438854555391</v>
      </c>
      <c r="J9" s="26" t="n">
        <v>-0.639987024808838</v>
      </c>
      <c r="K9" s="26" t="n">
        <v>0.375885721075545</v>
      </c>
      <c r="L9" s="27" t="n">
        <f aca="false">IF(K9&gt;0,J9/K9,"")</f>
        <v>-1.70261063117163</v>
      </c>
      <c r="M9" s="27" t="n">
        <f aca="false">IF(K9&gt;0,TDIST(ABS(L9),MIN(J25,J26)-1,2),"")</f>
        <v>0.106853597433335</v>
      </c>
      <c r="N9" s="26" t="n">
        <v>-1.70932963130828</v>
      </c>
      <c r="O9" s="26" t="n">
        <v>0.434312143336203</v>
      </c>
      <c r="P9" s="27" t="n">
        <f aca="false">IF(O9&gt;0,N9/O9,"")</f>
        <v>-3.93571687445332</v>
      </c>
      <c r="Q9" s="27" t="n">
        <f aca="false">IF(O9&gt;0,TDIST(ABS(P9),MIN(N25,N26)-1,2),"")</f>
        <v>0.00106584156130204</v>
      </c>
      <c r="R9" s="26" t="n">
        <v>-2.09046682616953</v>
      </c>
      <c r="S9" s="26" t="n">
        <v>0.482932749760798</v>
      </c>
      <c r="T9" s="27" t="n">
        <f aca="false">IF(S9&gt;0,R9/S9,"")</f>
        <v>-4.32869136997846</v>
      </c>
      <c r="U9" s="27" t="n">
        <f aca="false">IF(S9&gt;0,TDIST(ABS(T9),MIN(R25,R26)-1,2),"")</f>
        <v>0.000455943589546052</v>
      </c>
      <c r="V9" s="26" t="n">
        <v>-0.324689441416449</v>
      </c>
      <c r="W9" s="26" t="n">
        <v>0.223434317357872</v>
      </c>
      <c r="X9" s="27" t="n">
        <f aca="false">IF(W9&gt;0,V9/W9,"")</f>
        <v>-1.45317624103552</v>
      </c>
      <c r="Y9" s="27" t="n">
        <f aca="false">IF(W9&gt;0,TDIST(ABS(X9),MIN(V25,V26)-1,2),"")</f>
        <v>0.164385297003258</v>
      </c>
      <c r="Z9" s="26" t="n">
        <v>-0.183134644754641</v>
      </c>
      <c r="AA9" s="26" t="n">
        <v>0.219077575099602</v>
      </c>
      <c r="AB9" s="27" t="n">
        <f aca="false">IF(AA9&gt;0,Z9/AA9,"")</f>
        <v>-0.835935146129767</v>
      </c>
      <c r="AC9" s="27" t="n">
        <f aca="false">IF(AA9&gt;0,TDIST(ABS(AB9),MIN(Z25,Z26)-1,2),"")</f>
        <v>0.414786902604839</v>
      </c>
      <c r="AD9" s="26" t="n">
        <v>-0.509753199631986</v>
      </c>
      <c r="AE9" s="26" t="n">
        <v>0.481464385909627</v>
      </c>
      <c r="AF9" s="27" t="n">
        <f aca="false">IF(AE9&gt;0,AD9/AE9,"")</f>
        <v>-1.05875577623236</v>
      </c>
      <c r="AG9" s="27" t="n">
        <f aca="false">IF(AE9&gt;0,TDIST(ABS(AF9),MIN(AD25,AD26)-1,2),"")</f>
        <v>0.304523708671067</v>
      </c>
      <c r="AH9" s="26" t="n">
        <v>-0.856246360830023</v>
      </c>
      <c r="AI9" s="26" t="n">
        <v>0.434714367258365</v>
      </c>
      <c r="AJ9" s="27" t="n">
        <f aca="false">IF(AI9&gt;0,AH9/AI9,"")</f>
        <v>-1.96967578097351</v>
      </c>
      <c r="AK9" s="27" t="n">
        <f aca="false">IF(AI9&gt;0,TDIST(ABS(AJ9),MIN(AH25,AH26)-1,2),"")</f>
        <v>0.0653921519506823</v>
      </c>
      <c r="AL9" s="26" t="n">
        <v>-1.08228707532434</v>
      </c>
      <c r="AM9" s="26" t="n">
        <v>0.614319132373308</v>
      </c>
      <c r="AN9" s="27" t="n">
        <f aca="false">IF(AM9&gt;0,AL9/AM9,"")</f>
        <v>-1.76176683793507</v>
      </c>
      <c r="AO9" s="27" t="n">
        <f aca="false">IF(AM9&gt;0,TDIST(ABS(AN9),MIN(AL25,AL26)-1,2),"")</f>
        <v>0.0960803088218432</v>
      </c>
      <c r="AP9" s="26" t="n">
        <v>-0.0984048913236976</v>
      </c>
      <c r="AQ9" s="26" t="n">
        <v>0.0694670284090132</v>
      </c>
      <c r="AR9" s="27" t="n">
        <f aca="false">IF(AQ9&gt;0,AP9/AQ9,"")</f>
        <v>-1.41656975370102</v>
      </c>
      <c r="AS9" s="27" t="n">
        <f aca="false">IF(AQ9&gt;0,TDIST(ABS(AR9),MIN(AP25,AP26)-1,2),"")</f>
        <v>0.174672790772944</v>
      </c>
      <c r="AT9" s="26" t="n">
        <v>-0.0518225324171763</v>
      </c>
      <c r="AU9" s="26" t="n">
        <v>0.0598729227254337</v>
      </c>
      <c r="AV9" s="27" t="n">
        <f aca="false">IF(AU9&gt;0,AT9/AU9,"")</f>
        <v>-0.865542052370234</v>
      </c>
      <c r="AW9" s="27" t="n">
        <f aca="false">IF(AU9&gt;0,TDIST(ABS(AV9),MIN(AT25,AT26)-1,2),"")</f>
        <v>0.398791855822068</v>
      </c>
      <c r="AX9" s="26" t="n">
        <v>-0.0649487048537516</v>
      </c>
      <c r="AY9" s="26" t="n">
        <v>0.0289612467133212</v>
      </c>
      <c r="AZ9" s="27" t="n">
        <f aca="false">IF(AY9&gt;0,AX9/AY9,"")</f>
        <v>-2.2426073537738</v>
      </c>
      <c r="BA9" s="27" t="n">
        <f aca="false">IF(AY9&gt;0,TDIST(ABS(AZ9),MIN(AX25,AX26)-1,2),"")</f>
        <v>0.0385433712027272</v>
      </c>
      <c r="BB9" s="26" t="n">
        <v>-0.0667436523636298</v>
      </c>
      <c r="BC9" s="26" t="n">
        <v>0.0489078276853766</v>
      </c>
      <c r="BD9" s="27" t="n">
        <f aca="false">IF(BC9&gt;0,BB9/BC9,"")</f>
        <v>-1.36468241429554</v>
      </c>
      <c r="BE9" s="27" t="n">
        <f aca="false">IF(BC9&gt;0,TDIST(ABS(BD9),MIN(BB25,BB26)-1,2),"")</f>
        <v>0.190145220282278</v>
      </c>
      <c r="BF9" s="26" t="n">
        <v>0.00496328323245585</v>
      </c>
      <c r="BG9" s="26" t="n">
        <v>0.0699482136755692</v>
      </c>
      <c r="BH9" s="27" t="n">
        <f aca="false">IF(BG9&gt;0,BF9/BG9,"")</f>
        <v>0.0709565401552116</v>
      </c>
      <c r="BI9" s="27" t="n">
        <f aca="false">IF(BG9&gt;0,TDIST(ABS(BH9),MIN(BF25,BF26)-1,2),"")</f>
        <v>0.944260408952418</v>
      </c>
    </row>
    <row r="10" customFormat="false" ht="15" hidden="false" customHeight="false" outlineLevel="0" collapsed="false">
      <c r="A10" s="7" t="s">
        <v>14</v>
      </c>
      <c r="B10" s="26" t="n">
        <v>0.074458086577685</v>
      </c>
      <c r="C10" s="26" t="n">
        <v>0.132438742453389</v>
      </c>
      <c r="D10" s="27" t="n">
        <f aca="false">IF(C10&gt;0,B10/C10,"")</f>
        <v>0.562207743733975</v>
      </c>
      <c r="E10" s="27" t="n">
        <f aca="false">IF(C10&gt;0,TDIST(ABS(D10),MIN(B25,B26)-1,2),"")</f>
        <v>0.581312592225478</v>
      </c>
      <c r="F10" s="26" t="n">
        <v>0.0995539410478602</v>
      </c>
      <c r="G10" s="26" t="n">
        <v>0.11151514146505</v>
      </c>
      <c r="H10" s="27" t="n">
        <f aca="false">IF(G10&gt;0,F10/G10,"")</f>
        <v>0.892739225722645</v>
      </c>
      <c r="I10" s="27" t="n">
        <f aca="false">IF(G10&gt;0,TDIST(ABS(H10),MIN(F25,F26)-1,2),"")</f>
        <v>0.384460171055139</v>
      </c>
      <c r="J10" s="26" t="n">
        <v>-0.659560177381239</v>
      </c>
      <c r="K10" s="26" t="n">
        <v>0.397244599453703</v>
      </c>
      <c r="L10" s="27" t="n">
        <f aca="false">IF(K10&gt;0,J10/K10,"")</f>
        <v>-1.66033768184206</v>
      </c>
      <c r="M10" s="27" t="n">
        <f aca="false">IF(K10&gt;0,TDIST(ABS(L10),MIN(J25,J26)-1,2),"")</f>
        <v>0.115177579558859</v>
      </c>
      <c r="N10" s="26" t="n">
        <v>-2.00669625537775</v>
      </c>
      <c r="O10" s="26" t="n">
        <v>0.62563934527869</v>
      </c>
      <c r="P10" s="27" t="n">
        <f aca="false">IF(O10&gt;0,N10/O10,"")</f>
        <v>-3.20743295721574</v>
      </c>
      <c r="Q10" s="27" t="n">
        <f aca="false">IF(O10&gt;0,TDIST(ABS(P10),MIN(N25,N26)-1,2),"")</f>
        <v>0.00516428722969712</v>
      </c>
      <c r="R10" s="26" t="n">
        <v>-2.53893186377132</v>
      </c>
      <c r="S10" s="26" t="n">
        <v>0.665826493199625</v>
      </c>
      <c r="T10" s="27" t="n">
        <f aca="false">IF(S10&gt;0,R10/S10,"")</f>
        <v>-3.81320342416911</v>
      </c>
      <c r="U10" s="27" t="n">
        <f aca="false">IF(S10&gt;0,TDIST(ABS(T10),MIN(R25,R26)-1,2),"")</f>
        <v>0.00139041488279509</v>
      </c>
      <c r="V10" s="26" t="n">
        <v>-0.333818998252359</v>
      </c>
      <c r="W10" s="26" t="n">
        <v>0.237961305645014</v>
      </c>
      <c r="X10" s="27" t="n">
        <f aca="false">IF(W10&gt;0,V10/W10,"")</f>
        <v>-1.40282890677337</v>
      </c>
      <c r="Y10" s="27" t="n">
        <f aca="false">IF(W10&gt;0,TDIST(ABS(X10),MIN(V25,V26)-1,2),"")</f>
        <v>0.178667225325083</v>
      </c>
      <c r="Z10" s="26" t="n">
        <v>-0.174621034732978</v>
      </c>
      <c r="AA10" s="26" t="n">
        <v>0.232464768573737</v>
      </c>
      <c r="AB10" s="27" t="n">
        <f aca="false">IF(AA10&gt;0,Z10/AA10,"")</f>
        <v>-0.751172041270371</v>
      </c>
      <c r="AC10" s="27" t="n">
        <f aca="false">IF(AA10&gt;0,TDIST(ABS(AB10),MIN(Z25,Z26)-1,2),"")</f>
        <v>0.462821694533812</v>
      </c>
      <c r="AD10" s="26" t="n">
        <v>-0.470562712702155</v>
      </c>
      <c r="AE10" s="26" t="n">
        <v>0.467118759652518</v>
      </c>
      <c r="AF10" s="27" t="n">
        <f aca="false">IF(AE10&gt;0,AD10/AE10,"")</f>
        <v>-1.00737275688135</v>
      </c>
      <c r="AG10" s="27" t="n">
        <f aca="false">IF(AE10&gt;0,TDIST(ABS(AF10),MIN(AD25,AD26)-1,2),"")</f>
        <v>0.327879963598686</v>
      </c>
      <c r="AH10" s="26" t="n">
        <v>-1.0174583573613</v>
      </c>
      <c r="AI10" s="26" t="n">
        <v>0.49812979707791</v>
      </c>
      <c r="AJ10" s="27" t="n">
        <f aca="false">IF(AI10&gt;0,AH10/AI10,"")</f>
        <v>-2.04255670576189</v>
      </c>
      <c r="AK10" s="27" t="n">
        <f aca="false">IF(AI10&gt;0,TDIST(ABS(AJ10),MIN(AH25,AH26)-1,2),"")</f>
        <v>0.0569215874295446</v>
      </c>
      <c r="AL10" s="26" t="n">
        <v>-1.35170343689585</v>
      </c>
      <c r="AM10" s="26" t="n">
        <v>0.715601979727215</v>
      </c>
      <c r="AN10" s="27" t="n">
        <f aca="false">IF(AM10&gt;0,AL10/AM10,"")</f>
        <v>-1.88890399298659</v>
      </c>
      <c r="AO10" s="27" t="n">
        <f aca="false">IF(AM10&gt;0,TDIST(ABS(AN10),MIN(AL25,AL26)-1,2),"")</f>
        <v>0.0760878140009736</v>
      </c>
      <c r="AP10" s="26" t="n">
        <v>-0.0846901740089121</v>
      </c>
      <c r="AQ10" s="26" t="n">
        <v>0.0718486934883279</v>
      </c>
      <c r="AR10" s="27" t="n">
        <f aca="false">IF(AQ10&gt;0,AP10/AQ10,"")</f>
        <v>-1.17872949245306</v>
      </c>
      <c r="AS10" s="27" t="n">
        <f aca="false">IF(AQ10&gt;0,TDIST(ABS(AR10),MIN(AP25,AP26)-1,2),"")</f>
        <v>0.254741587632181</v>
      </c>
      <c r="AT10" s="26" t="n">
        <v>-0.0363645546733122</v>
      </c>
      <c r="AU10" s="26" t="n">
        <v>0.0623488890221458</v>
      </c>
      <c r="AV10" s="27" t="n">
        <f aca="false">IF(AU10&gt;0,AT10/AU10,"")</f>
        <v>-0.58324302555569</v>
      </c>
      <c r="AW10" s="27" t="n">
        <f aca="false">IF(AU10&gt;0,TDIST(ABS(AV10),MIN(AT25,AT26)-1,2),"")</f>
        <v>0.567387396418619</v>
      </c>
      <c r="AX10" s="26" t="n">
        <v>-0.0771390659336302</v>
      </c>
      <c r="AY10" s="26" t="n">
        <v>0.0389270358844434</v>
      </c>
      <c r="AZ10" s="27" t="n">
        <f aca="false">IF(AY10&gt;0,AX10/AY10,"")</f>
        <v>-1.98163215310359</v>
      </c>
      <c r="BA10" s="27" t="n">
        <f aca="false">IF(AY10&gt;0,TDIST(ABS(AZ10),MIN(AX25,AX26)-1,2),"")</f>
        <v>0.0639290106723221</v>
      </c>
      <c r="BB10" s="26" t="n">
        <v>-0.0804428304902392</v>
      </c>
      <c r="BC10" s="26" t="n">
        <v>0.0653191877615559</v>
      </c>
      <c r="BD10" s="27" t="n">
        <f aca="false">IF(BC10&gt;0,BB10/BC10,"")</f>
        <v>-1.2315344578976</v>
      </c>
      <c r="BE10" s="27" t="n">
        <f aca="false">IF(BC10&gt;0,TDIST(ABS(BD10),MIN(BB25,BB26)-1,2),"")</f>
        <v>0.234888106545842</v>
      </c>
      <c r="BF10" s="26" t="n">
        <v>-0.00657078273109947</v>
      </c>
      <c r="BG10" s="26" t="n">
        <v>0.0882126688629134</v>
      </c>
      <c r="BH10" s="27" t="n">
        <f aca="false">IF(BG10&gt;0,BF10/BG10,"")</f>
        <v>-0.0744879711247686</v>
      </c>
      <c r="BI10" s="27" t="n">
        <f aca="false">IF(BG10&gt;0,TDIST(ABS(BH10),MIN(BF25,BF26)-1,2),"")</f>
        <v>0.941491607731352</v>
      </c>
    </row>
    <row r="11" customFormat="false" ht="15" hidden="false" customHeight="false" outlineLevel="0" collapsed="false">
      <c r="A11" s="7" t="s">
        <v>15</v>
      </c>
      <c r="B11" s="26" t="n">
        <v>0.0185356993192613</v>
      </c>
      <c r="C11" s="26" t="n">
        <v>0.132628772875559</v>
      </c>
      <c r="D11" s="27" t="n">
        <f aca="false">IF(C11&gt;0,B11/C11,"")</f>
        <v>0.139756245325837</v>
      </c>
      <c r="E11" s="27" t="n">
        <f aca="false">IF(C11&gt;0,TDIST(ABS(D11),MIN(B25,B26)-1,2),"")</f>
        <v>0.890495006228906</v>
      </c>
      <c r="F11" s="26" t="n">
        <v>0.0430859941171074</v>
      </c>
      <c r="G11" s="26" t="n">
        <v>0.118242233912321</v>
      </c>
      <c r="H11" s="27" t="n">
        <f aca="false">IF(G11&gt;0,F11/G11,"")</f>
        <v>0.364387517822578</v>
      </c>
      <c r="I11" s="27" t="n">
        <f aca="false">IF(G11&gt;0,TDIST(ABS(H11),MIN(F25,F26)-1,2),"")</f>
        <v>0.720061610218882</v>
      </c>
      <c r="J11" s="26" t="n">
        <v>-0.54543590502221</v>
      </c>
      <c r="K11" s="26" t="n">
        <v>0.411264878271706</v>
      </c>
      <c r="L11" s="27" t="n">
        <f aca="false">IF(K11&gt;0,J11/K11,"")</f>
        <v>-1.32623993401611</v>
      </c>
      <c r="M11" s="27" t="n">
        <f aca="false">IF(K11&gt;0,TDIST(ABS(L11),MIN(J25,J26)-1,2),"")</f>
        <v>0.202303664723985</v>
      </c>
      <c r="N11" s="26" t="n">
        <v>-1.50414583184576</v>
      </c>
      <c r="O11" s="26" t="n">
        <v>0.39561146815671</v>
      </c>
      <c r="P11" s="27" t="n">
        <f aca="false">IF(O11&gt;0,N11/O11,"")</f>
        <v>-3.80207843532467</v>
      </c>
      <c r="Q11" s="27" t="n">
        <f aca="false">IF(O11&gt;0,TDIST(ABS(P11),MIN(N25,N26)-1,2),"")</f>
        <v>0.00142440436534373</v>
      </c>
      <c r="R11" s="26" t="n">
        <v>-1.73898974743443</v>
      </c>
      <c r="S11" s="26" t="n">
        <v>0.453518543135865</v>
      </c>
      <c r="T11" s="27" t="n">
        <f aca="false">IF(S11&gt;0,R11/S11,"")</f>
        <v>-3.83444023128611</v>
      </c>
      <c r="U11" s="27" t="n">
        <f aca="false">IF(S11&gt;0,TDIST(ABS(T11),MIN(R25,R26)-1,2),"")</f>
        <v>0.00132777244402799</v>
      </c>
      <c r="V11" s="26" t="n">
        <v>-0.342813018334766</v>
      </c>
      <c r="W11" s="26" t="n">
        <v>0.237669609877799</v>
      </c>
      <c r="X11" s="27" t="n">
        <f aca="false">IF(W11&gt;0,V11/W11,"")</f>
        <v>-1.44239315456035</v>
      </c>
      <c r="Y11" s="27" t="n">
        <f aca="false">IF(W11&gt;0,TDIST(ABS(X11),MIN(V25,V26)-1,2),"")</f>
        <v>0.167362748254439</v>
      </c>
      <c r="Z11" s="26" t="n">
        <v>-0.191287229487799</v>
      </c>
      <c r="AA11" s="26" t="n">
        <v>0.237663038848037</v>
      </c>
      <c r="AB11" s="27" t="n">
        <f aca="false">IF(AA11&gt;0,Z11/AA11,"")</f>
        <v>-0.804867388782778</v>
      </c>
      <c r="AC11" s="27" t="n">
        <f aca="false">IF(AA11&gt;0,TDIST(ABS(AB11),MIN(Z25,Z26)-1,2),"")</f>
        <v>0.43200945938935</v>
      </c>
      <c r="AD11" s="26" t="n">
        <v>-0.485142606080133</v>
      </c>
      <c r="AE11" s="26" t="n">
        <v>0.472897465881111</v>
      </c>
      <c r="AF11" s="27" t="n">
        <f aca="false">IF(AE11&gt;0,AD11/AE11,"")</f>
        <v>-1.02589385878016</v>
      </c>
      <c r="AG11" s="27" t="n">
        <f aca="false">IF(AE11&gt;0,TDIST(ABS(AF11),MIN(AD25,AD26)-1,2),"")</f>
        <v>0.319318747357255</v>
      </c>
      <c r="AH11" s="26" t="n">
        <v>-0.852098328630112</v>
      </c>
      <c r="AI11" s="26" t="n">
        <v>0.396465469580687</v>
      </c>
      <c r="AJ11" s="27" t="n">
        <f aca="false">IF(AI11&gt;0,AH11/AI11,"")</f>
        <v>-2.14923718207115</v>
      </c>
      <c r="AK11" s="27" t="n">
        <f aca="false">IF(AI11&gt;0,TDIST(ABS(AJ11),MIN(AH25,AH26)-1,2),"")</f>
        <v>0.046309165767749</v>
      </c>
      <c r="AL11" s="26" t="n">
        <v>-0.930666384531451</v>
      </c>
      <c r="AM11" s="26" t="n">
        <v>0.52868125300661</v>
      </c>
      <c r="AN11" s="27" t="n">
        <f aca="false">IF(AM11&gt;0,AL11/AM11,"")</f>
        <v>-1.76035442762298</v>
      </c>
      <c r="AO11" s="27" t="n">
        <f aca="false">IF(AM11&gt;0,TDIST(ABS(AN11),MIN(AL25,AL26)-1,2),"")</f>
        <v>0.0963260818724124</v>
      </c>
      <c r="AP11" s="26" t="n">
        <v>-0.0899465413369919</v>
      </c>
      <c r="AQ11" s="26" t="n">
        <v>0.0691568359636484</v>
      </c>
      <c r="AR11" s="27" t="n">
        <f aca="false">IF(AQ11&gt;0,AP11/AQ11,"")</f>
        <v>-1.30061678044773</v>
      </c>
      <c r="AS11" s="27" t="n">
        <f aca="false">IF(AQ11&gt;0,TDIST(ABS(AR11),MIN(AP25,AP26)-1,2),"")</f>
        <v>0.210745239473729</v>
      </c>
      <c r="AT11" s="26" t="n">
        <v>-0.0438204378632554</v>
      </c>
      <c r="AU11" s="26" t="n">
        <v>0.0596346629834003</v>
      </c>
      <c r="AV11" s="27" t="n">
        <f aca="false">IF(AU11&gt;0,AT11/AU11,"")</f>
        <v>-0.734814882335347</v>
      </c>
      <c r="AW11" s="27" t="n">
        <f aca="false">IF(AU11&gt;0,TDIST(ABS(AV11),MIN(AT25,AT26)-1,2),"")</f>
        <v>0.472467869381677</v>
      </c>
      <c r="AX11" s="26" t="n">
        <v>-0.0309870375065928</v>
      </c>
      <c r="AY11" s="26" t="n">
        <v>0.0283364412818163</v>
      </c>
      <c r="AZ11" s="27" t="n">
        <f aca="false">IF(AY11&gt;0,AX11/AY11,"")</f>
        <v>-1.09354019435311</v>
      </c>
      <c r="BA11" s="27" t="n">
        <f aca="false">IF(AY11&gt;0,TDIST(ABS(AZ11),MIN(AX25,AX26)-1,2),"")</f>
        <v>0.289410536974173</v>
      </c>
      <c r="BB11" s="26" t="n">
        <v>-0.038892183988413</v>
      </c>
      <c r="BC11" s="26" t="n">
        <v>0.0441657604983478</v>
      </c>
      <c r="BD11" s="27" t="n">
        <f aca="false">IF(BC11&gt;0,BB11/BC11,"")</f>
        <v>-0.880595817881771</v>
      </c>
      <c r="BE11" s="27" t="n">
        <f aca="false">IF(BC11&gt;0,TDIST(ABS(BD11),MIN(BB25,BB26)-1,2),"")</f>
        <v>0.390816313378365</v>
      </c>
      <c r="BF11" s="26" t="n">
        <v>0.0252299426241297</v>
      </c>
      <c r="BG11" s="26" t="n">
        <v>0.0644339580547947</v>
      </c>
      <c r="BH11" s="27" t="n">
        <f aca="false">IF(BG11&gt;0,BF11/BG11,"")</f>
        <v>0.391562824724723</v>
      </c>
      <c r="BI11" s="27" t="n">
        <f aca="false">IF(BG11&gt;0,TDIST(ABS(BH11),MIN(BF25,BF26)-1,2),"")</f>
        <v>0.700245910849803</v>
      </c>
    </row>
    <row r="12" customFormat="false" ht="15" hidden="false" customHeight="false" outlineLevel="0" collapsed="false">
      <c r="A12" s="7" t="s">
        <v>16</v>
      </c>
      <c r="B12" s="26" t="n">
        <v>-0.00980437755299288</v>
      </c>
      <c r="C12" s="26" t="n">
        <v>0.108661729075574</v>
      </c>
      <c r="D12" s="27" t="n">
        <f aca="false">IF(C12&gt;0,B12/C12,"")</f>
        <v>-0.0902284331052188</v>
      </c>
      <c r="E12" s="27" t="n">
        <f aca="false">IF(C12&gt;0,TDIST(ABS(D12),MIN(B25,B26)-1,2),"")</f>
        <v>0.929160258370426</v>
      </c>
      <c r="F12" s="26" t="n">
        <v>0.00265958162416834</v>
      </c>
      <c r="G12" s="26" t="n">
        <v>0.0961575032919793</v>
      </c>
      <c r="H12" s="27" t="n">
        <f aca="false">IF(G12&gt;0,F12/G12,"")</f>
        <v>0.0276585969177319</v>
      </c>
      <c r="I12" s="27" t="n">
        <f aca="false">IF(G12&gt;0,TDIST(ABS(H12),MIN(F25,F26)-1,2),"")</f>
        <v>0.978256544419027</v>
      </c>
      <c r="J12" s="26" t="n">
        <v>-0.647479974161355</v>
      </c>
      <c r="K12" s="26" t="n">
        <v>0.31990989283648</v>
      </c>
      <c r="L12" s="27" t="n">
        <f aca="false">IF(K12&gt;0,J12/K12,"")</f>
        <v>-2.02394483152889</v>
      </c>
      <c r="M12" s="27" t="n">
        <f aca="false">IF(K12&gt;0,TDIST(ABS(L12),MIN(J25,J26)-1,2),"")</f>
        <v>0.0589848170591687</v>
      </c>
      <c r="N12" s="26" t="n">
        <v>-1.69880131039014</v>
      </c>
      <c r="O12" s="26" t="n">
        <v>0.454717420173268</v>
      </c>
      <c r="P12" s="27" t="n">
        <f aca="false">IF(O12&gt;0,N12/O12,"")</f>
        <v>-3.73594948208234</v>
      </c>
      <c r="Q12" s="27" t="n">
        <f aca="false">IF(O12&gt;0,TDIST(ABS(P12),MIN(N25,N26)-1,2),"")</f>
        <v>0.0016443335005053</v>
      </c>
      <c r="R12" s="26" t="n">
        <v>-2.05541271776283</v>
      </c>
      <c r="S12" s="26" t="n">
        <v>0.509371609194752</v>
      </c>
      <c r="T12" s="27" t="n">
        <f aca="false">IF(S12&gt;0,R12/S12,"")</f>
        <v>-4.0351929331361</v>
      </c>
      <c r="U12" s="27" t="n">
        <f aca="false">IF(S12&gt;0,TDIST(ABS(T12),MIN(R25,R26)-1,2),"")</f>
        <v>0.000859151116390048</v>
      </c>
      <c r="V12" s="26" t="n">
        <v>-0.308831400293383</v>
      </c>
      <c r="W12" s="26" t="n">
        <v>0.233327754204188</v>
      </c>
      <c r="X12" s="27" t="n">
        <f aca="false">IF(W12&gt;0,V12/W12,"")</f>
        <v>-1.32359479199856</v>
      </c>
      <c r="Y12" s="27" t="n">
        <f aca="false">IF(W12&gt;0,TDIST(ABS(X12),MIN(V25,V26)-1,2),"")</f>
        <v>0.203162496701502</v>
      </c>
      <c r="Z12" s="26" t="n">
        <v>-0.171258088968061</v>
      </c>
      <c r="AA12" s="26" t="n">
        <v>0.231889702673571</v>
      </c>
      <c r="AB12" s="27" t="n">
        <f aca="false">IF(AA12&gt;0,Z12/AA12,"")</f>
        <v>-0.738532530740012</v>
      </c>
      <c r="AC12" s="27" t="n">
        <f aca="false">IF(AA12&gt;0,TDIST(ABS(AB12),MIN(Z25,Z26)-1,2),"")</f>
        <v>0.47026494156755</v>
      </c>
      <c r="AD12" s="26" t="n">
        <v>-0.559872605487361</v>
      </c>
      <c r="AE12" s="26" t="n">
        <v>0.488300700338796</v>
      </c>
      <c r="AF12" s="27" t="n">
        <f aca="false">IF(AE12&gt;0,AD12/AE12,"")</f>
        <v>-1.14657342309545</v>
      </c>
      <c r="AG12" s="27" t="n">
        <f aca="false">IF(AE12&gt;0,TDIST(ABS(AF12),MIN(AD25,AD26)-1,2),"")</f>
        <v>0.267440596515656</v>
      </c>
      <c r="AH12" s="26" t="n">
        <v>-0.852453045204164</v>
      </c>
      <c r="AI12" s="26" t="n">
        <v>0.447744074972052</v>
      </c>
      <c r="AJ12" s="27" t="n">
        <f aca="false">IF(AI12&gt;0,AH12/AI12,"")</f>
        <v>-1.90388459134244</v>
      </c>
      <c r="AK12" s="27" t="n">
        <f aca="false">IF(AI12&gt;0,TDIST(ABS(AJ12),MIN(AH25,AH26)-1,2),"")</f>
        <v>0.0739935553610217</v>
      </c>
      <c r="AL12" s="26" t="n">
        <v>-1.19783543043287</v>
      </c>
      <c r="AM12" s="26" t="n">
        <v>0.619000026153234</v>
      </c>
      <c r="AN12" s="27" t="n">
        <f aca="false">IF(AM12&gt;0,AL12/AM12,"")</f>
        <v>-1.93511369923002</v>
      </c>
      <c r="AO12" s="27" t="n">
        <f aca="false">IF(AM12&gt;0,TDIST(ABS(AN12),MIN(AL25,AL26)-1,2),"")</f>
        <v>0.0697921423616331</v>
      </c>
      <c r="AP12" s="26" t="n">
        <v>-0.092521067569633</v>
      </c>
      <c r="AQ12" s="26" t="n">
        <v>0.0649355513258482</v>
      </c>
      <c r="AR12" s="27" t="n">
        <f aca="false">IF(AQ12&gt;0,AP12/AQ12,"")</f>
        <v>-1.42481376812157</v>
      </c>
      <c r="AS12" s="27" t="n">
        <f aca="false">IF(AQ12&gt;0,TDIST(ABS(AR12),MIN(AP25,AP26)-1,2),"")</f>
        <v>0.172311340697045</v>
      </c>
      <c r="AT12" s="26" t="n">
        <v>-0.0507649844842282</v>
      </c>
      <c r="AU12" s="26" t="n">
        <v>0.0567883385644487</v>
      </c>
      <c r="AV12" s="27" t="n">
        <f aca="false">IF(AU12&gt;0,AT12/AU12,"")</f>
        <v>-0.89393325755807</v>
      </c>
      <c r="AW12" s="27" t="n">
        <f aca="false">IF(AU12&gt;0,TDIST(ABS(AV12),MIN(AT25,AT26)-1,2),"")</f>
        <v>0.383838928040754</v>
      </c>
      <c r="AX12" s="26" t="n">
        <v>-0.0546694980295713</v>
      </c>
      <c r="AY12" s="26" t="n">
        <v>0.0275694397696295</v>
      </c>
      <c r="AZ12" s="27" t="n">
        <f aca="false">IF(AY12&gt;0,AX12/AY12,"")</f>
        <v>-1.98297457207655</v>
      </c>
      <c r="BA12" s="27" t="n">
        <f aca="false">IF(AY12&gt;0,TDIST(ABS(AZ12),MIN(AX25,AX26)-1,2),"")</f>
        <v>0.0637665864313001</v>
      </c>
      <c r="BB12" s="26" t="n">
        <v>-0.0591756559772108</v>
      </c>
      <c r="BC12" s="26" t="n">
        <v>0.0456625802857567</v>
      </c>
      <c r="BD12" s="27" t="n">
        <f aca="false">IF(BC12&gt;0,BB12/BC12,"")</f>
        <v>-1.2959332478999</v>
      </c>
      <c r="BE12" s="27" t="n">
        <f aca="false">IF(BC12&gt;0,TDIST(ABS(BD12),MIN(BB25,BB26)-1,2),"")</f>
        <v>0.21231786350974</v>
      </c>
      <c r="BF12" s="26" t="n">
        <v>-0.00173801187487253</v>
      </c>
      <c r="BG12" s="26" t="n">
        <v>0.0665340600753432</v>
      </c>
      <c r="BH12" s="27" t="n">
        <f aca="false">IF(BG12&gt;0,BF12/BG12,"")</f>
        <v>-0.0261221376375409</v>
      </c>
      <c r="BI12" s="27" t="n">
        <f aca="false">IF(BG12&gt;0,TDIST(ABS(BH12),MIN(BF25,BF26)-1,2),"")</f>
        <v>0.979464113001905</v>
      </c>
    </row>
    <row r="13" customFormat="false" ht="15" hidden="false" customHeight="false" outlineLevel="0" collapsed="false">
      <c r="A13" s="7" t="s">
        <v>17</v>
      </c>
      <c r="B13" s="26" t="n">
        <v>0.0773249171111305</v>
      </c>
      <c r="C13" s="26" t="n">
        <v>0.132135236504233</v>
      </c>
      <c r="D13" s="27" t="n">
        <f aca="false">IF(C13&gt;0,B13/C13,"")</f>
        <v>0.585195282930102</v>
      </c>
      <c r="E13" s="27" t="n">
        <f aca="false">IF(C13&gt;0,TDIST(ABS(D13),MIN(B25,B26)-1,2),"")</f>
        <v>0.566103893695698</v>
      </c>
      <c r="F13" s="26" t="n">
        <v>0.105394171406608</v>
      </c>
      <c r="G13" s="26" t="n">
        <v>0.0925544211238324</v>
      </c>
      <c r="H13" s="27" t="n">
        <f aca="false">IF(G13&gt;0,F13/G13,"")</f>
        <v>1.13872649330923</v>
      </c>
      <c r="I13" s="27" t="n">
        <f aca="false">IF(G13&gt;0,TDIST(ABS(H13),MIN(F25,F26)-1,2),"")</f>
        <v>0.270610393230489</v>
      </c>
      <c r="J13" s="26" t="n">
        <v>-0.253493960606946</v>
      </c>
      <c r="K13" s="26" t="n">
        <v>1.13781562249264</v>
      </c>
      <c r="L13" s="27" t="n">
        <f aca="false">IF(K13&gt;0,J13/K13,"")</f>
        <v>-0.222790015882899</v>
      </c>
      <c r="M13" s="27" t="n">
        <f aca="false">IF(K13&gt;0,TDIST(ABS(L13),MIN(J25,J26)-1,2),"")</f>
        <v>0.826353791858539</v>
      </c>
      <c r="N13" s="26" t="n">
        <v>-1.52670250672316</v>
      </c>
      <c r="O13" s="26" t="n">
        <v>1.10119265429862</v>
      </c>
      <c r="P13" s="27" t="n">
        <f aca="false">IF(O13&gt;0,N13/O13,"")</f>
        <v>-1.38640818276758</v>
      </c>
      <c r="Q13" s="27" t="n">
        <f aca="false">IF(O13&gt;0,TDIST(ABS(P13),MIN(N25,N26)-1,2),"")</f>
        <v>0.183537473657699</v>
      </c>
      <c r="R13" s="26" t="n">
        <v>-2.01658340797137</v>
      </c>
      <c r="S13" s="26" t="n">
        <v>1.08676335971882</v>
      </c>
      <c r="T13" s="27" t="n">
        <f aca="false">IF(S13&gt;0,R13/S13,"")</f>
        <v>-1.85558648986208</v>
      </c>
      <c r="U13" s="27" t="n">
        <f aca="false">IF(S13&gt;0,TDIST(ABS(T13),MIN(R25,R26)-1,2),"")</f>
        <v>0.0809353033036816</v>
      </c>
      <c r="V13" s="26" t="n">
        <v>-0.312004154501583</v>
      </c>
      <c r="W13" s="26" t="n">
        <v>0.235504562798885</v>
      </c>
      <c r="X13" s="27" t="n">
        <f aca="false">IF(W13&gt;0,V13/W13,"")</f>
        <v>-1.32483273696921</v>
      </c>
      <c r="Y13" s="27" t="n">
        <f aca="false">IF(W13&gt;0,TDIST(ABS(X13),MIN(V25,V26)-1,2),"")</f>
        <v>0.202760197720261</v>
      </c>
      <c r="Z13" s="26" t="n">
        <v>-0.18150229512131</v>
      </c>
      <c r="AA13" s="26" t="n">
        <v>0.265291212421582</v>
      </c>
      <c r="AB13" s="27" t="n">
        <f aca="false">IF(AA13&gt;0,Z13/AA13,"")</f>
        <v>-0.684162484933271</v>
      </c>
      <c r="AC13" s="27" t="n">
        <f aca="false">IF(AA13&gt;0,TDIST(ABS(AB13),MIN(Z25,Z26)-1,2),"")</f>
        <v>0.503093219576446</v>
      </c>
      <c r="AD13" s="26" t="n">
        <v>-0.01094339056322</v>
      </c>
      <c r="AE13" s="26" t="n">
        <v>0.885198759353917</v>
      </c>
      <c r="AF13" s="27" t="n">
        <f aca="false">IF(AE13&gt;0,AD13/AE13,"")</f>
        <v>-0.0123626365802944</v>
      </c>
      <c r="AG13" s="27" t="n">
        <f aca="false">IF(AE13&gt;0,TDIST(ABS(AF13),MIN(AD25,AD26)-1,2),"")</f>
        <v>0.99028021999094</v>
      </c>
      <c r="AH13" s="26" t="n">
        <v>-0.293260924715323</v>
      </c>
      <c r="AI13" s="26" t="n">
        <v>0.650451443853739</v>
      </c>
      <c r="AJ13" s="27" t="n">
        <f aca="false">IF(AI13&gt;0,AH13/AI13,"")</f>
        <v>-0.450857519783238</v>
      </c>
      <c r="AK13" s="27" t="n">
        <f aca="false">IF(AI13&gt;0,TDIST(ABS(AJ13),MIN(AH25,AH26)-1,2),"")</f>
        <v>0.657789886272946</v>
      </c>
      <c r="AL13" s="26" t="n">
        <v>-0.387722906277364</v>
      </c>
      <c r="AM13" s="26" t="n">
        <v>1.05848348482539</v>
      </c>
      <c r="AN13" s="27" t="n">
        <f aca="false">IF(AM13&gt;0,AL13/AM13,"")</f>
        <v>-0.366300383365286</v>
      </c>
      <c r="AO13" s="27" t="n">
        <f aca="false">IF(AM13&gt;0,TDIST(ABS(AN13),MIN(AL25,AL26)-1,2),"")</f>
        <v>0.718659854448532</v>
      </c>
      <c r="AP13" s="26" t="n">
        <v>-0.0973777447661103</v>
      </c>
      <c r="AQ13" s="26" t="n">
        <v>0.0678784506153152</v>
      </c>
      <c r="AR13" s="27" t="n">
        <f aca="false">IF(AQ13&gt;0,AP13/AQ13,"")</f>
        <v>-1.43458997492408</v>
      </c>
      <c r="AS13" s="27" t="n">
        <f aca="false">IF(AQ13&gt;0,TDIST(ABS(AR13),MIN(AP25,AP26)-1,2),"")</f>
        <v>0.169544804859276</v>
      </c>
      <c r="AT13" s="26" t="n">
        <v>-0.065938282249712</v>
      </c>
      <c r="AU13" s="26" t="n">
        <v>0.0615836158037941</v>
      </c>
      <c r="AV13" s="27" t="n">
        <f aca="false">IF(AU13&gt;0,AT13/AU13,"")</f>
        <v>-1.07071144474192</v>
      </c>
      <c r="AW13" s="27" t="n">
        <f aca="false">IF(AU13&gt;0,TDIST(ABS(AV13),MIN(AT25,AT26)-1,2),"")</f>
        <v>0.299265919920523</v>
      </c>
      <c r="AX13" s="26" t="n">
        <v>-0.0922563712552441</v>
      </c>
      <c r="AY13" s="26" t="n">
        <v>0.0508071854144892</v>
      </c>
      <c r="AZ13" s="27" t="n">
        <f aca="false">IF(AY13&gt;0,AX13/AY13,"")</f>
        <v>-1.81581346226147</v>
      </c>
      <c r="BA13" s="27" t="n">
        <f aca="false">IF(AY13&gt;0,TDIST(ABS(AZ13),MIN(AX25,AX26)-1,2),"")</f>
        <v>0.0870780777720134</v>
      </c>
      <c r="BB13" s="26" t="n">
        <v>-0.10915638719739</v>
      </c>
      <c r="BC13" s="26" t="n">
        <v>0.0702236860760806</v>
      </c>
      <c r="BD13" s="27" t="n">
        <f aca="false">IF(BC13&gt;0,BB13/BC13,"")</f>
        <v>-1.55440981948925</v>
      </c>
      <c r="BE13" s="27" t="n">
        <f aca="false">IF(BC13&gt;0,TDIST(ABS(BD13),MIN(BB25,BB26)-1,2),"")</f>
        <v>0.138505191229253</v>
      </c>
      <c r="BF13" s="26" t="n">
        <v>0.0231582594322893</v>
      </c>
      <c r="BG13" s="26" t="n">
        <v>0.0990259866325241</v>
      </c>
      <c r="BH13" s="27" t="n">
        <f aca="false">IF(BG13&gt;0,BF13/BG13,"")</f>
        <v>0.233860426134681</v>
      </c>
      <c r="BI13" s="27" t="n">
        <f aca="false">IF(BG13&gt;0,TDIST(ABS(BH13),MIN(BF25,BF26)-1,2),"")</f>
        <v>0.817886381839467</v>
      </c>
    </row>
    <row r="14" customFormat="false" ht="15" hidden="false" customHeight="false" outlineLevel="0" collapsed="false">
      <c r="A14" s="7" t="s">
        <v>18</v>
      </c>
      <c r="B14" s="26" t="n">
        <v>-0.0271508426712962</v>
      </c>
      <c r="C14" s="26" t="n">
        <v>0.104988660210928</v>
      </c>
      <c r="D14" s="27" t="n">
        <f aca="false">IF(C14&gt;0,B14/C14,"")</f>
        <v>-0.258607383090219</v>
      </c>
      <c r="E14" s="27" t="n">
        <f aca="false">IF(C14&gt;0,TDIST(ABS(D14),MIN(B25,B26)-1,2),"")</f>
        <v>0.799043278027469</v>
      </c>
      <c r="F14" s="26" t="n">
        <v>-0.014617120295756</v>
      </c>
      <c r="G14" s="26" t="n">
        <v>0.107236781346403</v>
      </c>
      <c r="H14" s="27" t="n">
        <f aca="false">IF(G14&gt;0,F14/G14,"")</f>
        <v>-0.136306965877117</v>
      </c>
      <c r="I14" s="27" t="n">
        <f aca="false">IF(G14&gt;0,TDIST(ABS(H14),MIN(F25,F26)-1,2),"")</f>
        <v>0.893179775962784</v>
      </c>
      <c r="J14" s="26" t="n">
        <v>-0.702138983236478</v>
      </c>
      <c r="K14" s="26" t="n">
        <v>0.38832341265496</v>
      </c>
      <c r="L14" s="27" t="n">
        <f aca="false">IF(K14&gt;0,J14/K14,"")</f>
        <v>-1.8081294105755</v>
      </c>
      <c r="M14" s="27" t="n">
        <f aca="false">IF(K14&gt;0,TDIST(ABS(L14),MIN(J25,J26)-1,2),"")</f>
        <v>0.088311051090398</v>
      </c>
      <c r="N14" s="26" t="n">
        <v>-1.53456334464448</v>
      </c>
      <c r="O14" s="26" t="n">
        <v>0.395146613633512</v>
      </c>
      <c r="P14" s="27" t="n">
        <f aca="false">IF(O14&gt;0,N14/O14,"")</f>
        <v>-3.88352902871577</v>
      </c>
      <c r="Q14" s="27" t="n">
        <f aca="false">IF(O14&gt;0,TDIST(ABS(P14),MIN(N25,N26)-1,2),"")</f>
        <v>0.00119359538626409</v>
      </c>
      <c r="R14" s="26" t="n">
        <v>-1.67027443477218</v>
      </c>
      <c r="S14" s="26" t="n">
        <v>0.362144594620094</v>
      </c>
      <c r="T14" s="27" t="n">
        <f aca="false">IF(S14&gt;0,R14/S14,"")</f>
        <v>-4.61217552211258</v>
      </c>
      <c r="U14" s="27" t="n">
        <f aca="false">IF(S14&gt;0,TDIST(ABS(T14),MIN(R25,R26)-1,2),"")</f>
        <v>0.000248529685148314</v>
      </c>
      <c r="V14" s="26" t="n">
        <v>-0.30602066406047</v>
      </c>
      <c r="W14" s="26" t="n">
        <v>0.224028709123515</v>
      </c>
      <c r="X14" s="27" t="n">
        <f aca="false">IF(W14&gt;0,V14/W14,"")</f>
        <v>-1.36598860591456</v>
      </c>
      <c r="Y14" s="27" t="n">
        <f aca="false">IF(W14&gt;0,TDIST(ABS(X14),MIN(V25,V26)-1,2),"")</f>
        <v>0.189742622902986</v>
      </c>
      <c r="Z14" s="26" t="n">
        <v>-0.186403089380357</v>
      </c>
      <c r="AA14" s="26" t="n">
        <v>0.265252579910056</v>
      </c>
      <c r="AB14" s="27" t="n">
        <f aca="false">IF(AA14&gt;0,Z14/AA14,"")</f>
        <v>-0.702738082485622</v>
      </c>
      <c r="AC14" s="27" t="n">
        <f aca="false">IF(AA14&gt;0,TDIST(ABS(AB14),MIN(Z25,Z26)-1,2),"")</f>
        <v>0.491730844675338</v>
      </c>
      <c r="AD14" s="26" t="n">
        <v>-0.440003487713928</v>
      </c>
      <c r="AE14" s="26" t="n">
        <v>0.526201317159734</v>
      </c>
      <c r="AF14" s="27" t="n">
        <f aca="false">IF(AE14&gt;0,AD14/AE14,"")</f>
        <v>-0.836188495477217</v>
      </c>
      <c r="AG14" s="27" t="n">
        <f aca="false">IF(AE14&gt;0,TDIST(ABS(AF14),MIN(AD25,AD26)-1,2),"")</f>
        <v>0.41464829766637</v>
      </c>
      <c r="AH14" s="26" t="n">
        <v>-0.648816993854538</v>
      </c>
      <c r="AI14" s="26" t="n">
        <v>0.472264385341425</v>
      </c>
      <c r="AJ14" s="27" t="n">
        <f aca="false">IF(AI14&gt;0,AH14/AI14,"")</f>
        <v>-1.37384273299684</v>
      </c>
      <c r="AK14" s="27" t="n">
        <f aca="false">IF(AI14&gt;0,TDIST(ABS(AJ14),MIN(AH25,AH26)-1,2),"")</f>
        <v>0.187336221449331</v>
      </c>
      <c r="AL14" s="26" t="n">
        <v>-0.853973173190138</v>
      </c>
      <c r="AM14" s="26" t="n">
        <v>0.605805007802623</v>
      </c>
      <c r="AN14" s="27" t="n">
        <f aca="false">IF(AM14&gt;0,AL14/AM14,"")</f>
        <v>-1.40965023760314</v>
      </c>
      <c r="AO14" s="27" t="n">
        <f aca="false">IF(AM14&gt;0,TDIST(ABS(AN14),MIN(AL25,AL26)-1,2),"")</f>
        <v>0.176675110757196</v>
      </c>
      <c r="AP14" s="26" t="n">
        <v>-0.103874643317905</v>
      </c>
      <c r="AQ14" s="26" t="n">
        <v>0.0693163322653827</v>
      </c>
      <c r="AR14" s="27" t="n">
        <f aca="false">IF(AQ14&gt;0,AP14/AQ14,"")</f>
        <v>-1.49855942925851</v>
      </c>
      <c r="AS14" s="27" t="n">
        <f aca="false">IF(AQ14&gt;0,TDIST(ABS(AR14),MIN(AP25,AP26)-1,2),"")</f>
        <v>0.152327468502677</v>
      </c>
      <c r="AT14" s="26" t="n">
        <v>-0.048467765472708</v>
      </c>
      <c r="AU14" s="26" t="n">
        <v>0.0632284631528076</v>
      </c>
      <c r="AV14" s="27" t="n">
        <f aca="false">IF(AU14&gt;0,AT14/AU14,"")</f>
        <v>-0.766549795075255</v>
      </c>
      <c r="AW14" s="27" t="n">
        <f aca="false">IF(AU14&gt;0,TDIST(ABS(AV14),MIN(AT25,AT26)-1,2),"")</f>
        <v>0.453863153852418</v>
      </c>
      <c r="AX14" s="26" t="n">
        <v>-0.10108497413747</v>
      </c>
      <c r="AY14" s="26" t="n">
        <v>0.0331235392468835</v>
      </c>
      <c r="AZ14" s="27" t="n">
        <f aca="false">IF(AY14&gt;0,AX14/AY14,"")</f>
        <v>-3.05175643774181</v>
      </c>
      <c r="BA14" s="27" t="n">
        <f aca="false">IF(AY14&gt;0,TDIST(ABS(AZ14),MIN(AX25,AX26)-1,2),"")</f>
        <v>0.00721208211080058</v>
      </c>
      <c r="BB14" s="26" t="n">
        <v>-0.110012639538721</v>
      </c>
      <c r="BC14" s="26" t="n">
        <v>0.0684708443082539</v>
      </c>
      <c r="BD14" s="27" t="n">
        <f aca="false">IF(BC14&gt;0,BB14/BC14,"")</f>
        <v>-1.60670779877414</v>
      </c>
      <c r="BE14" s="27" t="n">
        <f aca="false">IF(BC14&gt;0,TDIST(ABS(BD14),MIN(BB25,BB26)-1,2),"")</f>
        <v>0.126532005467716</v>
      </c>
      <c r="BF14" s="26" t="n">
        <v>-0.0542657459419297</v>
      </c>
      <c r="BG14" s="26" t="n">
        <v>0.0764179273493875</v>
      </c>
      <c r="BH14" s="27" t="n">
        <f aca="false">IF(BG14&gt;0,BF14/BG14,"")</f>
        <v>-0.710118002727598</v>
      </c>
      <c r="BI14" s="27" t="n">
        <f aca="false">IF(BG14&gt;0,TDIST(ABS(BH14),MIN(BF25,BF26)-1,2),"")</f>
        <v>0.48725865281558</v>
      </c>
    </row>
    <row r="15" customFormat="false" ht="15" hidden="false" customHeight="false" outlineLevel="0" collapsed="false">
      <c r="A15" s="7" t="s">
        <v>19</v>
      </c>
      <c r="B15" s="26" t="n">
        <v>0.0332641627117989</v>
      </c>
      <c r="C15" s="26" t="n">
        <v>0.120322324597249</v>
      </c>
      <c r="D15" s="27" t="n">
        <f aca="false">IF(C15&gt;0,B15/C15,"")</f>
        <v>0.276458777065212</v>
      </c>
      <c r="E15" s="27" t="n">
        <f aca="false">IF(C15&gt;0,TDIST(ABS(D15),MIN(B25,B26)-1,2),"")</f>
        <v>0.78552872053279</v>
      </c>
      <c r="F15" s="26" t="n">
        <v>0.0759457218473549</v>
      </c>
      <c r="G15" s="26" t="n">
        <v>0.147140595095924</v>
      </c>
      <c r="H15" s="27" t="n">
        <f aca="false">IF(G15&gt;0,F15/G15,"")</f>
        <v>0.516143908469611</v>
      </c>
      <c r="I15" s="27" t="n">
        <f aca="false">IF(G15&gt;0,TDIST(ABS(H15),MIN(F25,F26)-1,2),"")</f>
        <v>0.612402206328304</v>
      </c>
      <c r="J15" s="26" t="n">
        <v>-0.499257550769959</v>
      </c>
      <c r="K15" s="26" t="n">
        <v>0.400816851946411</v>
      </c>
      <c r="L15" s="27" t="n">
        <f aca="false">IF(K15&gt;0,J15/K15,"")</f>
        <v>-1.24560019955625</v>
      </c>
      <c r="M15" s="27" t="n">
        <f aca="false">IF(K15&gt;0,TDIST(ABS(L15),MIN(J25,J26)-1,2),"")</f>
        <v>0.229806167098185</v>
      </c>
      <c r="N15" s="26" t="n">
        <v>-1.51442013121606</v>
      </c>
      <c r="O15" s="26" t="n">
        <v>0.437510325915242</v>
      </c>
      <c r="P15" s="27" t="n">
        <f aca="false">IF(O15&gt;0,N15/O15,"")</f>
        <v>-3.46145003103183</v>
      </c>
      <c r="Q15" s="27" t="n">
        <f aca="false">IF(O15&gt;0,TDIST(ABS(P15),MIN(N25,N26)-1,2),"")</f>
        <v>0.00298317423791019</v>
      </c>
      <c r="R15" s="26" t="n">
        <v>-2.03114760983398</v>
      </c>
      <c r="S15" s="26" t="n">
        <v>0.524850663731791</v>
      </c>
      <c r="T15" s="27" t="n">
        <f aca="false">IF(S15&gt;0,R15/S15,"")</f>
        <v>-3.86995339853839</v>
      </c>
      <c r="U15" s="27" t="n">
        <f aca="false">IF(S15&gt;0,TDIST(ABS(T15),MIN(R25,R26)-1,2),"")</f>
        <v>0.00122927890675836</v>
      </c>
      <c r="V15" s="26" t="n">
        <v>-0.33768262987551</v>
      </c>
      <c r="W15" s="26" t="n">
        <v>0.230598738851654</v>
      </c>
      <c r="X15" s="27" t="n">
        <f aca="false">IF(W15&gt;0,V15/W15,"")</f>
        <v>-1.4643732726255</v>
      </c>
      <c r="Y15" s="27" t="n">
        <f aca="false">IF(W15&gt;0,TDIST(ABS(X15),MIN(V25,V26)-1,2),"")</f>
        <v>0.161339703567903</v>
      </c>
      <c r="Z15" s="26" t="n">
        <v>-0.190032357148739</v>
      </c>
      <c r="AA15" s="26" t="n">
        <v>0.249807921078326</v>
      </c>
      <c r="AB15" s="27" t="n">
        <f aca="false">IF(AA15&gt;0,Z15/AA15,"")</f>
        <v>-0.760713897015119</v>
      </c>
      <c r="AC15" s="27" t="n">
        <f aca="false">IF(AA15&gt;0,TDIST(ABS(AB15),MIN(Z25,Z26)-1,2),"")</f>
        <v>0.457250334350869</v>
      </c>
      <c r="AD15" s="26" t="n">
        <v>-0.440474356436299</v>
      </c>
      <c r="AE15" s="26" t="n">
        <v>0.502529800902507</v>
      </c>
      <c r="AF15" s="27" t="n">
        <f aca="false">IF(AE15&gt;0,AD15/AE15,"")</f>
        <v>-0.876513901554174</v>
      </c>
      <c r="AG15" s="27" t="n">
        <f aca="false">IF(AE15&gt;0,TDIST(ABS(AF15),MIN(AD25,AD26)-1,2),"")</f>
        <v>0.39296842971815</v>
      </c>
      <c r="AH15" s="26" t="n">
        <v>-0.743481433339481</v>
      </c>
      <c r="AI15" s="26" t="n">
        <v>0.430789272887179</v>
      </c>
      <c r="AJ15" s="27" t="n">
        <f aca="false">IF(AI15&gt;0,AH15/AI15,"")</f>
        <v>-1.72585874378119</v>
      </c>
      <c r="AK15" s="27" t="n">
        <f aca="false">IF(AI15&gt;0,TDIST(ABS(AJ15),MIN(AH25,AH26)-1,2),"")</f>
        <v>0.102500983209954</v>
      </c>
      <c r="AL15" s="26" t="n">
        <v>-0.912857722642138</v>
      </c>
      <c r="AM15" s="26" t="n">
        <v>0.600707696185136</v>
      </c>
      <c r="AN15" s="27" t="n">
        <f aca="false">IF(AM15&gt;0,AL15/AM15,"")</f>
        <v>-1.51963713539771</v>
      </c>
      <c r="AO15" s="27" t="n">
        <f aca="false">IF(AM15&gt;0,TDIST(ABS(AN15),MIN(AL25,AL26)-1,2),"")</f>
        <v>0.14698183328836</v>
      </c>
      <c r="AP15" s="26" t="n">
        <v>-0.0758973214699503</v>
      </c>
      <c r="AQ15" s="26" t="n">
        <v>0.0677263174392043</v>
      </c>
      <c r="AR15" s="27" t="n">
        <f aca="false">IF(AQ15&gt;0,AP15/AQ15,"")</f>
        <v>-1.12064739882071</v>
      </c>
      <c r="AS15" s="27" t="n">
        <f aca="false">IF(AQ15&gt;0,TDIST(ABS(AR15),MIN(AP25,AP26)-1,2),"")</f>
        <v>0.278020164269975</v>
      </c>
      <c r="AT15" s="26" t="n">
        <v>-0.0331618246383522</v>
      </c>
      <c r="AU15" s="26" t="n">
        <v>0.061440915673516</v>
      </c>
      <c r="AV15" s="27" t="n">
        <f aca="false">IF(AU15&gt;0,AT15/AU15,"")</f>
        <v>-0.539735195591276</v>
      </c>
      <c r="AW15" s="27" t="n">
        <f aca="false">IF(AU15&gt;0,TDIST(ABS(AV15),MIN(AT25,AT26)-1,2),"")</f>
        <v>0.596379431611861</v>
      </c>
      <c r="AX15" s="26" t="n">
        <v>-0.0686148032537327</v>
      </c>
      <c r="AY15" s="26" t="n">
        <v>0.0308229511394025</v>
      </c>
      <c r="AZ15" s="27" t="n">
        <f aca="false">IF(AY15&gt;0,AX15/AY15,"")</f>
        <v>-2.22609454050683</v>
      </c>
      <c r="BA15" s="27" t="n">
        <f aca="false">IF(AY15&gt;0,TDIST(ABS(AZ15),MIN(AX25,AX26)-1,2),"")</f>
        <v>0.0398227305632286</v>
      </c>
      <c r="BB15" s="26" t="n">
        <v>-0.0649039528743782</v>
      </c>
      <c r="BC15" s="26" t="n">
        <v>0.0477149697626467</v>
      </c>
      <c r="BD15" s="27" t="n">
        <f aca="false">IF(BC15&gt;0,BB15/BC15,"")</f>
        <v>-1.36024298448131</v>
      </c>
      <c r="BE15" s="27" t="n">
        <f aca="false">IF(BC15&gt;0,TDIST(ABS(BD15),MIN(BB25,BB26)-1,2),"")</f>
        <v>0.191518678953504</v>
      </c>
      <c r="BF15" s="26" t="n">
        <v>0.0153262652071203</v>
      </c>
      <c r="BG15" s="26" t="n">
        <v>0.0644555673687939</v>
      </c>
      <c r="BH15" s="27" t="n">
        <f aca="false">IF(BG15&gt;0,BF15/BG15,"")</f>
        <v>0.237780316468682</v>
      </c>
      <c r="BI15" s="27" t="n">
        <f aca="false">IF(BG15&gt;0,TDIST(ABS(BH15),MIN(BF25,BF26)-1,2),"")</f>
        <v>0.814893666671685</v>
      </c>
    </row>
    <row r="16" customFormat="false" ht="15" hidden="false" customHeight="false" outlineLevel="0" collapsed="false">
      <c r="A16" s="7" t="s">
        <v>20</v>
      </c>
      <c r="B16" s="26" t="n">
        <v>0.434512516890059</v>
      </c>
      <c r="C16" s="26" t="n">
        <v>0.408508741545414</v>
      </c>
      <c r="D16" s="27" t="n">
        <f aca="false">IF(C16&gt;0,B16/C16,"")</f>
        <v>1.06365537062015</v>
      </c>
      <c r="E16" s="27" t="n">
        <f aca="false">IF(C16&gt;0,TDIST(ABS(D16),MIN(B25,B26)-1,2),"")</f>
        <v>0.302360960877418</v>
      </c>
      <c r="F16" s="26" t="n">
        <v>0.411972174127088</v>
      </c>
      <c r="G16" s="26" t="n">
        <v>0.323111190617014</v>
      </c>
      <c r="H16" s="27" t="n">
        <f aca="false">IF(G16&gt;0,F16/G16,"")</f>
        <v>1.27501673136231</v>
      </c>
      <c r="I16" s="27" t="n">
        <f aca="false">IF(G16&gt;0,TDIST(ABS(H16),MIN(F25,F26)-1,2),"")</f>
        <v>0.219454120503678</v>
      </c>
      <c r="N16" s="26" t="n">
        <v>0.550339318209598</v>
      </c>
      <c r="O16" s="26" t="n">
        <v>66354.7288261601</v>
      </c>
      <c r="P16" s="27" t="n">
        <f aca="false">IF(O16&gt;0,N16/O16,"")</f>
        <v>8.29389748018425E-006</v>
      </c>
      <c r="Q16" s="27" t="n">
        <f aca="false">IF(O16&gt;0,TDIST(ABS(P16),MIN(N25,N26)-1,2),"")</f>
        <v>0.999993479039688</v>
      </c>
      <c r="V16" s="26" t="n">
        <v>-0.312473935132707</v>
      </c>
      <c r="W16" s="26" t="n">
        <v>0.367044035358364</v>
      </c>
      <c r="X16" s="27" t="n">
        <f aca="false">IF(W16&gt;0,V16/W16,"")</f>
        <v>-0.851325467876418</v>
      </c>
      <c r="Y16" s="27" t="n">
        <f aca="false">IF(W16&gt;0,TDIST(ABS(X16),MIN(V25,V26)-1,2),"")</f>
        <v>0.40642126041243</v>
      </c>
      <c r="Z16" s="26" t="n">
        <v>-0.381214100583602</v>
      </c>
      <c r="AA16" s="26" t="n">
        <v>0.312478498973237</v>
      </c>
      <c r="AB16" s="27" t="n">
        <f aca="false">IF(AA16&gt;0,Z16/AA16,"")</f>
        <v>-1.21996905974722</v>
      </c>
      <c r="AC16" s="27" t="n">
        <f aca="false">IF(AA16&gt;0,TDIST(ABS(AB16),MIN(Z25,Z26)-1,2),"")</f>
        <v>0.239131297460868</v>
      </c>
      <c r="AP16" s="26" t="n">
        <v>0.0340576251101503</v>
      </c>
      <c r="AQ16" s="26" t="n">
        <v>0.0465675865456674</v>
      </c>
      <c r="AR16" s="27" t="n">
        <f aca="false">IF(AQ16&gt;0,AP16/AQ16,"")</f>
        <v>0.731359033965633</v>
      </c>
      <c r="AS16" s="27" t="n">
        <f aca="false">IF(AQ16&gt;0,TDIST(ABS(AR16),MIN(AP25,AP26)-1,2),"")</f>
        <v>0.474521211841612</v>
      </c>
      <c r="AT16" s="26" t="n">
        <v>0.0223088085198582</v>
      </c>
      <c r="AU16" s="26" t="n">
        <v>0.0556251314105394</v>
      </c>
      <c r="AV16" s="27" t="n">
        <f aca="false">IF(AU16&gt;0,AT16/AU16,"")</f>
        <v>0.401056284347605</v>
      </c>
      <c r="AW16" s="27" t="n">
        <f aca="false">IF(AU16&gt;0,TDIST(ABS(AV16),MIN(AT25,AT26)-1,2),"")</f>
        <v>0.693374683313409</v>
      </c>
    </row>
    <row r="17" customFormat="false" ht="15" hidden="false" customHeight="false" outlineLevel="0" collapsed="false">
      <c r="A17" s="7" t="s">
        <v>21</v>
      </c>
      <c r="F17" s="26" t="n">
        <v>-0.121596065270501</v>
      </c>
      <c r="G17" s="26" t="n">
        <v>1.03998209618413</v>
      </c>
      <c r="H17" s="27" t="n">
        <f aca="false">IF(G17&gt;0,F17/G17,"")</f>
        <v>-0.116921306353885</v>
      </c>
      <c r="I17" s="27" t="n">
        <f aca="false">IF(G17&gt;0,TDIST(ABS(H17),MIN(F25,F26)-1,2),"")</f>
        <v>0.908292627508136</v>
      </c>
      <c r="J17" s="26" t="n">
        <v>0.733336634754922</v>
      </c>
      <c r="K17" s="26" t="n">
        <v>1.85446392638718</v>
      </c>
      <c r="L17" s="27" t="n">
        <f aca="false">IF(K17&gt;0,J17/K17,"")</f>
        <v>0.395444000996875</v>
      </c>
      <c r="M17" s="27" t="n">
        <f aca="false">IF(K17&gt;0,TDIST(ABS(L17),MIN(J25,J26)-1,2),"")</f>
        <v>0.697433496529764</v>
      </c>
      <c r="Z17" s="26" t="n">
        <v>0.809457000202359</v>
      </c>
      <c r="AA17" s="26" t="n">
        <v>0.45532924672121</v>
      </c>
      <c r="AB17" s="27" t="n">
        <f aca="false">IF(AA17&gt;0,Z17/AA17,"")</f>
        <v>1.77773996735592</v>
      </c>
      <c r="AC17" s="27" t="n">
        <f aca="false">IF(AA17&gt;0,TDIST(ABS(AB17),MIN(Z25,Z26)-1,2),"")</f>
        <v>0.0933386809488789</v>
      </c>
      <c r="AD17" s="26" t="n">
        <v>4.11333605222911</v>
      </c>
      <c r="AE17" s="26" t="n">
        <v>1.27609756712471</v>
      </c>
      <c r="AF17" s="27" t="n">
        <f aca="false">IF(AE17&gt;0,AD17/AE17,"")</f>
        <v>3.22337112631383</v>
      </c>
      <c r="AG17" s="27" t="n">
        <f aca="false">IF(AE17&gt;0,TDIST(ABS(AF17),MIN(AD25,AD26)-1,2),"")</f>
        <v>0.00499009084765339</v>
      </c>
      <c r="AT17" s="26" t="n">
        <v>0.0436306981948747</v>
      </c>
      <c r="AU17" s="26" t="n">
        <v>0.234511150043977</v>
      </c>
      <c r="AV17" s="27" t="n">
        <f aca="false">IF(AU17&gt;0,AT17/AU17,"")</f>
        <v>0.18604956816208</v>
      </c>
      <c r="AW17" s="27" t="n">
        <f aca="false">IF(AU17&gt;0,TDIST(ABS(AV17),MIN(AT25,AT26)-1,2),"")</f>
        <v>0.854607857456884</v>
      </c>
      <c r="AX17" s="26" t="n">
        <v>-0.461067876424063</v>
      </c>
      <c r="AY17" s="26" t="n">
        <v>0.204772763141421</v>
      </c>
      <c r="AZ17" s="27" t="n">
        <f aca="false">IF(AY17&gt;0,AX17/AY17,"")</f>
        <v>-2.25160743719436</v>
      </c>
      <c r="BA17" s="27" t="n">
        <f aca="false">IF(AY17&gt;0,TDIST(ABS(AZ17),MIN(AX25,AX26)-1,2),"")</f>
        <v>0.0378621927116457</v>
      </c>
    </row>
    <row r="18" customFormat="false" ht="15" hidden="false" customHeight="false" outlineLevel="0" collapsed="false">
      <c r="A18" s="7" t="s">
        <v>22</v>
      </c>
      <c r="F18" s="26" t="n">
        <v>0.0314729676447336</v>
      </c>
      <c r="G18" s="26" t="n">
        <v>0.188475998171937</v>
      </c>
      <c r="H18" s="27" t="n">
        <f aca="false">IF(G18&gt;0,F18/G18,"")</f>
        <v>0.166986608109232</v>
      </c>
      <c r="I18" s="27" t="n">
        <f aca="false">IF(G18&gt;0,TDIST(ABS(H18),MIN(F25,F26)-1,2),"")</f>
        <v>0.869350768093413</v>
      </c>
      <c r="J18" s="26" t="n">
        <v>0.0247470191271962</v>
      </c>
      <c r="K18" s="26" t="n">
        <v>0.360379370251948</v>
      </c>
      <c r="L18" s="27" t="n">
        <f aca="false">IF(K18&gt;0,J18/K18,"")</f>
        <v>0.0686693556012796</v>
      </c>
      <c r="M18" s="27" t="n">
        <f aca="false">IF(K18&gt;0,TDIST(ABS(L18),MIN(J25,J26)-1,2),"")</f>
        <v>0.946054059020661</v>
      </c>
      <c r="Z18" s="26" t="n">
        <v>-0.255436016667511</v>
      </c>
      <c r="AA18" s="26" t="n">
        <v>0.226729105520015</v>
      </c>
      <c r="AB18" s="27" t="n">
        <f aca="false">IF(AA18&gt;0,Z18/AA18,"")</f>
        <v>-1.12661325982677</v>
      </c>
      <c r="AC18" s="27" t="n">
        <f aca="false">IF(AA18&gt;0,TDIST(ABS(AB18),MIN(Z25,Z26)-1,2),"")</f>
        <v>0.275558555698449</v>
      </c>
      <c r="AD18" s="26" t="n">
        <v>-0.818228703127179</v>
      </c>
      <c r="AE18" s="26" t="n">
        <v>0.371529047574571</v>
      </c>
      <c r="AF18" s="27" t="n">
        <f aca="false">IF(AE18&gt;0,AD18/AE18,"")</f>
        <v>-2.20232767388921</v>
      </c>
      <c r="AG18" s="27" t="n">
        <f aca="false">IF(AE18&gt;0,TDIST(ABS(AF18),MIN(AD25,AD26)-1,2),"")</f>
        <v>0.0417330855608314</v>
      </c>
      <c r="AT18" s="26" t="n">
        <v>-0.0035219535630609</v>
      </c>
      <c r="AU18" s="26" t="n">
        <v>0.034733017722938</v>
      </c>
      <c r="AV18" s="27" t="n">
        <f aca="false">IF(AU18&gt;0,AT18/AU18,"")</f>
        <v>-0.101400736070652</v>
      </c>
      <c r="AW18" s="27" t="n">
        <f aca="false">IF(AU18&gt;0,TDIST(ABS(AV18),MIN(AT25,AT26)-1,2),"")</f>
        <v>0.920418733765071</v>
      </c>
      <c r="AX18" s="26" t="n">
        <v>0.0567491514604135</v>
      </c>
      <c r="AY18" s="26" t="n">
        <v>0.0321707968828275</v>
      </c>
      <c r="AZ18" s="27" t="n">
        <f aca="false">IF(AY18&gt;0,AX18/AY18,"")</f>
        <v>1.76399582724373</v>
      </c>
      <c r="BA18" s="27" t="n">
        <f aca="false">IF(AY18&gt;0,TDIST(ABS(AZ18),MIN(AX25,AX26)-1,2),"")</f>
        <v>0.0956935554721179</v>
      </c>
    </row>
    <row r="19" customFormat="false" ht="15" hidden="false" customHeight="false" outlineLevel="0" collapsed="false">
      <c r="A19" s="7" t="s">
        <v>23</v>
      </c>
      <c r="F19" s="26" t="n">
        <v>-0.0339087467466496</v>
      </c>
      <c r="G19" s="26" t="n">
        <v>0.183706369036575</v>
      </c>
      <c r="H19" s="27" t="n">
        <f aca="false">IF(G19&gt;0,F19/G19,"")</f>
        <v>-0.184581225596476</v>
      </c>
      <c r="I19" s="27" t="n">
        <f aca="false">IF(G19&gt;0,TDIST(ABS(H19),MIN(F25,F26)-1,2),"")</f>
        <v>0.855741553087873</v>
      </c>
      <c r="J19" s="26" t="n">
        <v>-0.135876251438998</v>
      </c>
      <c r="K19" s="26" t="n">
        <v>0.856924448585093</v>
      </c>
      <c r="L19" s="27" t="n">
        <f aca="false">IF(K19&gt;0,J19/K19,"")</f>
        <v>-0.158562696703717</v>
      </c>
      <c r="M19" s="27" t="n">
        <f aca="false">IF(K19&gt;0,TDIST(ABS(L19),MIN(J25,J26)-1,2),"")</f>
        <v>0.875881808673584</v>
      </c>
      <c r="Z19" s="26" t="n">
        <v>-0.257013377747753</v>
      </c>
      <c r="AA19" s="26" t="n">
        <v>0.46310445725178</v>
      </c>
      <c r="AB19" s="27" t="n">
        <f aca="false">IF(AA19&gt;0,Z19/AA19,"")</f>
        <v>-0.55497927891465</v>
      </c>
      <c r="AC19" s="27" t="n">
        <f aca="false">IF(AA19&gt;0,TDIST(ABS(AB19),MIN(Z25,Z26)-1,2),"")</f>
        <v>0.586137750457946</v>
      </c>
      <c r="AD19" s="26" t="n">
        <v>-1.38340127820979</v>
      </c>
      <c r="AE19" s="26" t="n">
        <v>0.782330758666316</v>
      </c>
      <c r="AF19" s="27" t="n">
        <f aca="false">IF(AE19&gt;0,AD19/AE19,"")</f>
        <v>-1.76830741075316</v>
      </c>
      <c r="AG19" s="27" t="n">
        <f aca="false">IF(AE19&gt;0,TDIST(ABS(AF19),MIN(AD25,AD26)-1,2),"")</f>
        <v>0.0949493024309877</v>
      </c>
      <c r="AT19" s="26" t="n">
        <v>-0.201394176911759</v>
      </c>
      <c r="AU19" s="26" t="n">
        <v>0.0689514983771069</v>
      </c>
      <c r="AV19" s="27" t="n">
        <f aca="false">IF(AU19&gt;0,AT19/AU19,"")</f>
        <v>-2.92080928844072</v>
      </c>
      <c r="AW19" s="27" t="n">
        <f aca="false">IF(AU19&gt;0,TDIST(ABS(AV19),MIN(AT25,AT26)-1,2),"")</f>
        <v>0.00953248632144399</v>
      </c>
      <c r="AX19" s="26" t="n">
        <v>-0.0288149085918646</v>
      </c>
      <c r="AY19" s="26" t="n">
        <v>0.0825437793252503</v>
      </c>
      <c r="AZ19" s="27" t="n">
        <f aca="false">IF(AY19&gt;0,AX19/AY19,"")</f>
        <v>-0.349086373648148</v>
      </c>
      <c r="BA19" s="27" t="n">
        <f aca="false">IF(AY19&gt;0,TDIST(ABS(AZ19),MIN(AX25,AX26)-1,2),"")</f>
        <v>0.731310927209586</v>
      </c>
    </row>
    <row r="20" customFormat="false" ht="15" hidden="false" customHeight="false" outlineLevel="0" collapsed="false">
      <c r="A20" s="7" t="s">
        <v>24</v>
      </c>
      <c r="F20" s="26" t="n">
        <v>-0.134079889877854</v>
      </c>
      <c r="G20" s="26" t="n">
        <v>0.187657421057948</v>
      </c>
      <c r="H20" s="27" t="n">
        <f aca="false">IF(G20&gt;0,F20/G20,"")</f>
        <v>-0.714492872820896</v>
      </c>
      <c r="I20" s="27" t="n">
        <f aca="false">IF(G20&gt;0,TDIST(ABS(H20),MIN(F25,F26)-1,2),"")</f>
        <v>0.484618846028867</v>
      </c>
      <c r="J20" s="26" t="n">
        <v>0.158028632465841</v>
      </c>
      <c r="K20" s="26" t="n">
        <v>0.510379591353388</v>
      </c>
      <c r="L20" s="27" t="n">
        <f aca="false">IF(K20&gt;0,J20/K20,"")</f>
        <v>0.309629607341454</v>
      </c>
      <c r="M20" s="27" t="n">
        <f aca="false">IF(K20&gt;0,TDIST(ABS(L20),MIN(J25,J26)-1,2),"")</f>
        <v>0.76060574942285</v>
      </c>
      <c r="Z20" s="26" t="n">
        <v>-0.519634005555473</v>
      </c>
      <c r="AA20" s="26" t="n">
        <v>0.275242026374465</v>
      </c>
      <c r="AB20" s="27" t="n">
        <f aca="false">IF(AA20&gt;0,Z20/AA20,"")</f>
        <v>-1.88791665429942</v>
      </c>
      <c r="AC20" s="27" t="n">
        <f aca="false">IF(AA20&gt;0,TDIST(ABS(AB20),MIN(Z25,Z26)-1,2),"")</f>
        <v>0.076227675206767</v>
      </c>
      <c r="AD20" s="26" t="n">
        <v>-0.00589144117580111</v>
      </c>
      <c r="AE20" s="26" t="n">
        <v>0.442631359111794</v>
      </c>
      <c r="AF20" s="27" t="n">
        <f aca="false">IF(AE20&gt;0,AD20/AE20,"")</f>
        <v>-0.0133100401824741</v>
      </c>
      <c r="AG20" s="27" t="n">
        <f aca="false">IF(AE20&gt;0,TDIST(ABS(AF20),MIN(AD25,AD26)-1,2),"")</f>
        <v>0.989535395109219</v>
      </c>
      <c r="AT20" s="26" t="n">
        <v>-0.0677357047401398</v>
      </c>
      <c r="AU20" s="26" t="n">
        <v>0.05713021603176</v>
      </c>
      <c r="AV20" s="27" t="n">
        <f aca="false">IF(AU20&gt;0,AT20/AU20,"")</f>
        <v>-1.18563711893692</v>
      </c>
      <c r="AW20" s="27" t="n">
        <f aca="false">IF(AU20&gt;0,TDIST(ABS(AV20),MIN(AT25,AT26)-1,2),"")</f>
        <v>0.25207420615858</v>
      </c>
      <c r="AX20" s="26" t="n">
        <v>-0.107683958946801</v>
      </c>
      <c r="AY20" s="26" t="n">
        <v>0.0514575527828884</v>
      </c>
      <c r="AZ20" s="27" t="n">
        <f aca="false">IF(AY20&gt;0,AX20/AY20,"")</f>
        <v>-2.09267547955779</v>
      </c>
      <c r="BA20" s="27" t="n">
        <f aca="false">IF(AY20&gt;0,TDIST(ABS(AZ20),MIN(AX25,AX26)-1,2),"")</f>
        <v>0.0516870168053615</v>
      </c>
    </row>
    <row r="21" customFormat="false" ht="15" hidden="false" customHeight="false" outlineLevel="0" collapsed="false">
      <c r="A21" s="7" t="s">
        <v>25</v>
      </c>
      <c r="F21" s="26" t="n">
        <v>0.240147976334776</v>
      </c>
      <c r="G21" s="26" t="n">
        <v>0.314630027724547</v>
      </c>
      <c r="H21" s="27" t="n">
        <f aca="false">IF(G21&gt;0,F21/G21,"")</f>
        <v>0.763271001409378</v>
      </c>
      <c r="I21" s="27" t="n">
        <f aca="false">IF(G21&gt;0,TDIST(ABS(H21),MIN(F25,F26)-1,2),"")</f>
        <v>0.455764277937216</v>
      </c>
      <c r="Z21" s="26" t="n">
        <v>0.176490602890775</v>
      </c>
      <c r="AA21" s="26" t="n">
        <v>0.395220802920301</v>
      </c>
      <c r="AB21" s="27" t="n">
        <f aca="false">IF(AA21&gt;0,Z21/AA21,"")</f>
        <v>0.446562027066085</v>
      </c>
      <c r="AC21" s="27" t="n">
        <f aca="false">IF(AA21&gt;0,TDIST(ABS(AB21),MIN(Z25,Z26)-1,2),"")</f>
        <v>0.660827618102049</v>
      </c>
      <c r="AT21" s="26" t="n">
        <v>0.0725014736106949</v>
      </c>
      <c r="AU21" s="26" t="n">
        <v>0.0604507750276969</v>
      </c>
      <c r="AV21" s="27" t="n">
        <f aca="false">IF(AU21&gt;0,AT21/AU21,"")</f>
        <v>1.19934729666372</v>
      </c>
      <c r="AW21" s="27" t="n">
        <f aca="false">IF(AU21&gt;0,TDIST(ABS(AV21),MIN(AT25,AT26)-1,2),"")</f>
        <v>0.246842983118635</v>
      </c>
    </row>
    <row r="22" customFormat="false" ht="15" hidden="false" customHeight="false" outlineLevel="0" collapsed="false">
      <c r="A22" s="7" t="s">
        <v>26</v>
      </c>
      <c r="F22" s="26" t="n">
        <v>0.0338094072923548</v>
      </c>
      <c r="G22" s="26" t="n">
        <v>0.648767334010143</v>
      </c>
      <c r="H22" s="27" t="n">
        <f aca="false">IF(G22&gt;0,F22/G22,"")</f>
        <v>0.0521133009015312</v>
      </c>
      <c r="I22" s="27" t="n">
        <f aca="false">IF(G22&gt;0,TDIST(ABS(H22),MIN(F25,F26)-1,2),"")</f>
        <v>0.959045885578561</v>
      </c>
      <c r="J22" s="26" t="n">
        <v>2.56002695731838</v>
      </c>
      <c r="K22" s="26" t="n">
        <v>4.56307225186139</v>
      </c>
      <c r="L22" s="27" t="n">
        <f aca="false">IF(K22&gt;0,J22/K22,"")</f>
        <v>0.561031431460259</v>
      </c>
      <c r="M22" s="27" t="n">
        <f aca="false">IF(K22&gt;0,TDIST(ABS(L22),MIN(J25,J26)-1,2),"")</f>
        <v>0.58209642506527</v>
      </c>
      <c r="Z22" s="26" t="n">
        <v>-0.40770912517592</v>
      </c>
      <c r="AA22" s="26" t="n">
        <v>0.518430203386561</v>
      </c>
      <c r="AB22" s="27" t="n">
        <f aca="false">IF(AA22&gt;0,Z22/AA22,"")</f>
        <v>-0.78643011636403</v>
      </c>
      <c r="AC22" s="27" t="n">
        <f aca="false">IF(AA22&gt;0,TDIST(ABS(AB22),MIN(Z25,Z26)-1,2),"")</f>
        <v>0.44244088707465</v>
      </c>
      <c r="AD22" s="26" t="n">
        <v>-4.5311295592829</v>
      </c>
      <c r="AE22" s="26" t="n">
        <v>2.20831863333585</v>
      </c>
      <c r="AF22" s="27" t="n">
        <f aca="false">IF(AE22&gt;0,AD22/AE22,"")</f>
        <v>-2.05184591158308</v>
      </c>
      <c r="AG22" s="27" t="n">
        <f aca="false">IF(AE22&gt;0,TDIST(ABS(AF22),MIN(AD25,AD26)-1,2),"")</f>
        <v>0.0559164842258813</v>
      </c>
      <c r="AT22" s="26" t="n">
        <v>0.00320918111297098</v>
      </c>
      <c r="AU22" s="26" t="n">
        <v>0.0877184809969627</v>
      </c>
      <c r="AV22" s="27" t="n">
        <f aca="false">IF(AU22&gt;0,AT22/AU22,"")</f>
        <v>0.0365850055369985</v>
      </c>
      <c r="AW22" s="27" t="n">
        <f aca="false">IF(AU22&gt;0,TDIST(ABS(AV22),MIN(AT25,AT26)-1,2),"")</f>
        <v>0.971242071264195</v>
      </c>
      <c r="AX22" s="26" t="n">
        <v>1.1973760995077</v>
      </c>
      <c r="AY22" s="26" t="n">
        <v>0.648727560504488</v>
      </c>
      <c r="AZ22" s="27" t="n">
        <f aca="false">IF(AY22&gt;0,AX22/AY22,"")</f>
        <v>1.84573027632208</v>
      </c>
      <c r="BA22" s="27" t="n">
        <f aca="false">IF(AY22&gt;0,TDIST(ABS(AZ22),MIN(AX25,AX26)-1,2),"")</f>
        <v>0.0824207759639434</v>
      </c>
    </row>
    <row r="24" customFormat="false" ht="15" hidden="false" customHeight="false" outlineLevel="0" collapsed="false">
      <c r="A24" s="7" t="s">
        <v>27</v>
      </c>
      <c r="B24" s="20" t="n">
        <v>299</v>
      </c>
      <c r="F24" s="20" t="n">
        <v>274</v>
      </c>
      <c r="J24" s="20" t="n">
        <v>273</v>
      </c>
      <c r="N24" s="20" t="n">
        <v>282</v>
      </c>
      <c r="R24" s="20" t="n">
        <v>190</v>
      </c>
      <c r="V24" s="20" t="n">
        <v>275</v>
      </c>
      <c r="Z24" s="20" t="n">
        <v>254</v>
      </c>
      <c r="AD24" s="20" t="n">
        <v>251</v>
      </c>
      <c r="AH24" s="20" t="n">
        <v>259</v>
      </c>
      <c r="AL24" s="20" t="n">
        <v>175</v>
      </c>
      <c r="AP24" s="20" t="n">
        <v>266</v>
      </c>
      <c r="AT24" s="20" t="n">
        <v>251</v>
      </c>
      <c r="AX24" s="20" t="n">
        <v>250</v>
      </c>
      <c r="BB24" s="20" t="n">
        <v>250</v>
      </c>
      <c r="BF24" s="20" t="n">
        <v>162</v>
      </c>
    </row>
    <row r="25" customFormat="false" ht="15" hidden="false" customHeight="false" outlineLevel="0" collapsed="false">
      <c r="A25" s="7" t="s">
        <v>104</v>
      </c>
      <c r="B25" s="20" t="n">
        <v>18</v>
      </c>
      <c r="F25" s="20" t="n">
        <v>18</v>
      </c>
      <c r="J25" s="20" t="n">
        <v>18</v>
      </c>
      <c r="N25" s="20" t="n">
        <v>18</v>
      </c>
      <c r="R25" s="20" t="n">
        <v>18</v>
      </c>
      <c r="V25" s="20" t="n">
        <v>18</v>
      </c>
      <c r="Z25" s="20" t="n">
        <v>18</v>
      </c>
      <c r="AD25" s="20" t="n">
        <v>18</v>
      </c>
      <c r="AH25" s="20" t="n">
        <v>18</v>
      </c>
      <c r="AL25" s="20" t="n">
        <v>18</v>
      </c>
      <c r="AP25" s="20" t="n">
        <v>18</v>
      </c>
      <c r="AT25" s="20" t="n">
        <v>18</v>
      </c>
      <c r="AX25" s="20" t="n">
        <v>18</v>
      </c>
      <c r="BB25" s="20" t="n">
        <v>18</v>
      </c>
      <c r="BF25" s="20" t="n">
        <v>18</v>
      </c>
    </row>
    <row r="26" customFormat="false" ht="15" hidden="false" customHeight="false" outlineLevel="0" collapsed="false">
      <c r="A26" s="7" t="s">
        <v>105</v>
      </c>
      <c r="B26" s="20" t="n">
        <v>18</v>
      </c>
      <c r="F26" s="20" t="n">
        <v>18</v>
      </c>
      <c r="J26" s="20" t="n">
        <v>18</v>
      </c>
      <c r="N26" s="20" t="n">
        <v>18</v>
      </c>
      <c r="R26" s="20" t="n">
        <v>18</v>
      </c>
      <c r="V26" s="20" t="n">
        <v>18</v>
      </c>
      <c r="Z26" s="20" t="n">
        <v>18</v>
      </c>
      <c r="AD26" s="20" t="n">
        <v>18</v>
      </c>
      <c r="AH26" s="20" t="n">
        <v>18</v>
      </c>
      <c r="AL26" s="20" t="n">
        <v>18</v>
      </c>
      <c r="AP26" s="20" t="n">
        <v>18</v>
      </c>
      <c r="AT26" s="20" t="n">
        <v>18</v>
      </c>
      <c r="AX26" s="20" t="n">
        <v>18</v>
      </c>
      <c r="BB26" s="20" t="n">
        <v>18</v>
      </c>
      <c r="BF26" s="20" t="n">
        <v>18</v>
      </c>
    </row>
    <row r="27" customFormat="false" ht="15" hidden="false" customHeight="false" outlineLevel="0" collapsed="false">
      <c r="A27" s="7" t="s">
        <v>28</v>
      </c>
      <c r="B27" s="20" t="n">
        <v>0.0809563166695329</v>
      </c>
      <c r="F27" s="20" t="n">
        <v>0.0448842191769954</v>
      </c>
      <c r="J27" s="20" t="n">
        <v>-0.00314750111602247</v>
      </c>
      <c r="N27" s="20" t="n">
        <v>0.0429121100778203</v>
      </c>
      <c r="R27" s="20" t="n">
        <v>0.115082556475385</v>
      </c>
      <c r="V27" s="20" t="n">
        <v>0.161176243747813</v>
      </c>
      <c r="Z27" s="20" t="n">
        <v>0.12811225640775</v>
      </c>
      <c r="AD27" s="20" t="n">
        <v>0.161561375003839</v>
      </c>
      <c r="AH27" s="20" t="n">
        <v>0.462133366394118</v>
      </c>
      <c r="AL27" s="20" t="n">
        <v>0.519156401349362</v>
      </c>
      <c r="AP27" s="20" t="n">
        <v>0.482826858995348</v>
      </c>
      <c r="AT27" s="20" t="n">
        <v>0.54630344256359</v>
      </c>
      <c r="AX27" s="20" t="n">
        <v>0.718726054213799</v>
      </c>
      <c r="BB27" s="20" t="n">
        <v>0.782064028908011</v>
      </c>
      <c r="BF27" s="20" t="n">
        <v>0.81172228769788</v>
      </c>
    </row>
    <row r="28" customFormat="false" ht="15" hidden="false" customHeight="false" outlineLevel="0" collapsed="false">
      <c r="A28" s="7" t="s">
        <v>44</v>
      </c>
      <c r="B28" s="20" t="n">
        <v>43</v>
      </c>
      <c r="F28" s="20" t="n">
        <v>41</v>
      </c>
      <c r="J28" s="20" t="n">
        <v>41</v>
      </c>
      <c r="N28" s="20" t="n">
        <v>43</v>
      </c>
      <c r="R28" s="20" t="n">
        <v>24</v>
      </c>
      <c r="V28" s="20" t="n">
        <v>42</v>
      </c>
      <c r="Z28" s="20" t="n">
        <v>40</v>
      </c>
      <c r="AD28" s="20" t="n">
        <v>40</v>
      </c>
      <c r="AH28" s="20" t="n">
        <v>42</v>
      </c>
      <c r="AL28" s="20" t="n">
        <v>23</v>
      </c>
      <c r="AP28" s="20" t="n">
        <v>40</v>
      </c>
      <c r="AT28" s="20" t="n">
        <v>37</v>
      </c>
      <c r="AX28" s="20" t="n">
        <v>37</v>
      </c>
      <c r="BB28" s="20" t="n">
        <v>40</v>
      </c>
      <c r="BF28" s="20" t="n">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2026-10-16T16:50:07Z</dcterms:created>
  <dc:creator>openpyxl</dc:creator>
  <dc:description/>
  <dc:language>en-US</dc:language>
  <cp:lastModifiedBy/>
  <dcterms:modified xsi:type="dcterms:W3CDTF">2026-10-16T16:50:10Z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