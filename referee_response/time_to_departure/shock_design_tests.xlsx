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VIII" sheetId="1" state="visible" r:id="rId3"/>
    <sheet name="Event study FY2008" sheetId="2" state="visible" r:id="rId4"/>
    <sheet name="Event study bins" sheetId="3" state="visible" r:id="rId5"/>
    <sheet name="Exposure" sheetId="4" state="visible" r:id="rId6"/>
    <sheet name="Placebo windows" sheetId="5" state="visible" r:id="rId7"/>
    <sheet name="Placebo groups" sheetId="6" state="visible" r:id="rId8"/>
    <sheet name="Estimat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<sst xmlns="http://schemas.openxmlformats.org/spreadsheetml/2006/main" count="1371" uniqueCount="141">
  <si>
    <t xml:space="preserve">Table VIII: Conflicted CIOs and the Loglisci Shock, Peer- and Benchmark-Adjusted Returns</t>
  </si>
  <si>
    <t xml:space="preserve">Shock Period equals 1 for plan fiscal years ending between March 2009 and March 2014. The first row reports Conflicted CIO from the same regression without the Shock Period terms (the average effect of conflict over the whole sample). The next rows add Shock Period and Conflicted CIO x Shock Period: Conflicted CIO is then the effect of conflict outside the Shock Period, and the italic row is the effect within it (Conflicted CIO + Conflicted CIO x Shock Period). The control variables are those of Table VIII (the lagged return, Size, the lagged funding ratio, lagged allocations, Financial Center, lagged log CIO age and tenure, lagged sibling plans and the political-state indicator). Benchmark-Adjusted Return is the plan's return minus the updated policy benchmark (the benchmark return reported in the plan's financial report or, where none is stated, an inferred value graded A or B). The standard errors are double clustered by plan and year. Coefficients marked with ***, **, and * are significant at the 1%, 5%, and 10% level, respectively.</t>
  </si>
  <si>
    <t xml:space="preserve">Peer-Adjusted Return</t>
  </si>
  <si>
    <t xml:space="preserve">Benchmark-Adjusted Return</t>
  </si>
  <si>
    <t xml:space="preserve">Year FE</t>
  </si>
  <si>
    <t xml:space="preserve">Plan FE</t>
  </si>
  <si>
    <t xml:space="preserve">Plan and Year FE</t>
  </si>
  <si>
    <t xml:space="preserve">Conflicted CIO, no Shock Period terms</t>
  </si>
  <si>
    <t xml:space="preserve">Conflicted CIO (outside Shock Period)</t>
  </si>
  <si>
    <t xml:space="preserve">Conflicted CIO x Shock Period</t>
  </si>
  <si>
    <t xml:space="preserve">Effect of conflict within Shock Period</t>
  </si>
  <si>
    <t xml:space="preserve">Observations</t>
  </si>
  <si>
    <t xml:space="preserve">Adjusted R-squared</t>
  </si>
  <si>
    <t xml:space="preserve">Event Study Around the Loglisci Shock: FY2008 Base Year</t>
  </si>
  <si>
    <t xml:space="preserve">Each regression includes Conflicted CIO and Conflicted CIO interacted with indicators for every fiscal year except FY2008 (the last fiscal year before the Shock Period), with endpoint bins for years before 2005 and after 2017. Conflicted CIO is therefore the effect of conflict in FY2008 and each interaction is the change in that effect relative to FY2008. Shaded rows are the Shock Period. Tests: pre-shock leads (the pre-2005 bin and FY2005-2007) jointly zero; shock-period coefficients (FY2009-2013) jointly zero; post-period coefficients (FY2014-2017 and the post-2017 bin) jointly zero. The italic rows are the mean FY2009-2013 coefficient, the mean FY2014-2017 coefficient, and their difference (a test that the effect of conflict returns after the case is resolved). The control variables are those of Table VIII (the lagged return, Size, the lagged funding ratio, lagged allocations, Financial Center, lagged log CIO age and tenure, lagged sibling plans and the political-state indicator). Benchmark-Adjusted Return is the plan's return minus the updated policy benchmark (the benchmark return reported in the plan's financial report or, where none is stated, an inferred value graded A or B). The standard errors are double clustered by plan and year. Coefficients marked with ***, **, and * are significant at the 1%, 5%, and 10% level, respectively.</t>
  </si>
  <si>
    <t xml:space="preserve">Conflicted CIO (effect in FY2008)</t>
  </si>
  <si>
    <t xml:space="preserve">Conflicted CIO x FY&lt;2005</t>
  </si>
  <si>
    <t xml:space="preserve">Conflicted CIO x FY2005</t>
  </si>
  <si>
    <t xml:space="preserve">Conflicted CIO x FY2006</t>
  </si>
  <si>
    <t xml:space="preserve">Conflicted CIO x FY2007</t>
  </si>
  <si>
    <t xml:space="preserve">Conflicted CIO x FY2009</t>
  </si>
  <si>
    <t xml:space="preserve">Conflicted CIO x FY2010</t>
  </si>
  <si>
    <t xml:space="preserve">Conflicted CIO x FY2011</t>
  </si>
  <si>
    <t xml:space="preserve">Conflicted CIO x FY2012</t>
  </si>
  <si>
    <t xml:space="preserve">Conflicted CIO x FY2013</t>
  </si>
  <si>
    <t xml:space="preserve">Conflicted CIO x FY2014</t>
  </si>
  <si>
    <t xml:space="preserve">Conflicted CIO x FY2015</t>
  </si>
  <si>
    <t xml:space="preserve">Conflicted CIO x FY2016</t>
  </si>
  <si>
    <t xml:space="preserve">Conflicted CIO x FY2017</t>
  </si>
  <si>
    <t xml:space="preserve">Conflicted CIO x FY&gt;2017</t>
  </si>
  <si>
    <t xml:space="preserve">Mean FY2009-2013 coefficient</t>
  </si>
  <si>
    <t xml:space="preserve">Mean FY2014-2017 coefficient</t>
  </si>
  <si>
    <t xml:space="preserve">Post-period mean minus shock-period mean</t>
  </si>
  <si>
    <t xml:space="preserve">p-value: pre-shock leads jointly zero</t>
  </si>
  <si>
    <t xml:space="preserve">p-value: shock period jointly zero</t>
  </si>
  <si>
    <t xml:space="preserve">p-value: post period jointly zero</t>
  </si>
  <si>
    <t xml:space="preserve">Event Study Around the Loglisci Shock: Two-Year Bins, FY2007-08 Base</t>
  </si>
  <si>
    <t xml:space="preserve">As in the FY2008 event study, but with Conflicted CIO interacted with two-year periods (the Shock Period split into FY2009-10 and FY2011-13, and FY2018-20 pooled); FY2007-08 is the omitted base period, so Conflicted CIO is the effect of conflict in FY2007-08. Shaded rows are the Shock Period. The control variables are those of Table VIII (the lagged return, Size, the lagged funding ratio, lagged allocations, Financial Center, lagged log CIO age and tenure, lagged sibling plans and the political-state indicator). Benchmark-Adjusted Return is the plan's return minus the updated policy benchmark (the benchmark return reported in the plan's financial report or, where none is stated, an inferred value graded A or B). The standard errors are double clustered by plan and year. Coefficients marked with ***, **, and * are significant at the 1%, 5%, and 10% level, respectively.</t>
  </si>
  <si>
    <t xml:space="preserve">Conflicted CIO (effect in FY2007-08)</t>
  </si>
  <si>
    <t xml:space="preserve">Conflicted CIO x FY2001-02</t>
  </si>
  <si>
    <t xml:space="preserve">Conflicted CIO x FY2003-04</t>
  </si>
  <si>
    <t xml:space="preserve">Conflicted CIO x FY2005-06</t>
  </si>
  <si>
    <t xml:space="preserve">Conflicted CIO x FY2009-10</t>
  </si>
  <si>
    <t xml:space="preserve">Conflicted CIO x FY2011-13</t>
  </si>
  <si>
    <t xml:space="preserve">Conflicted CIO x FY2014-15</t>
  </si>
  <si>
    <t xml:space="preserve">Conflicted CIO x FY2016-17</t>
  </si>
  <si>
    <t xml:space="preserve">Conflicted CIO x FY2018-20</t>
  </si>
  <si>
    <t xml:space="preserve">p-value: pre-shock bins jointly zero</t>
  </si>
  <si>
    <t xml:space="preserve">p-value: shock-period bins jointly zero</t>
  </si>
  <si>
    <t xml:space="preserve">p-value: post-period bins jointly zero</t>
  </si>
  <si>
    <t xml:space="preserve">Differential Exposure: Conflicted CIO x Shock Period With Allocation Controls</t>
  </si>
  <si>
    <t xml:space="preserve">Each row re-estimates Table VIII adding interactions that let the effect of asset allocation on returns differ in the Shock Period or in every fiscal year. Rows (2)-(3) interact the lagged private equity share, or all eight lagged allocation shares, with Shock Period; rows (4)-(5) interact them with fiscal-year indicators. The table reports Conflicted CIO x Shock Period. The lagged private equity share averages 5.45% for conflicted and 6.18% for other plan-years (6.35% and 7.16% in the Shock Period). The control variables are those of Table VIII (the lagged return, Size, the lagged funding ratio, lagged allocations, Financial Center, lagged log CIO age and tenure, lagged sibling plans and the political-state indicator). Benchmark-Adjusted Return is the plan's return minus the updated policy benchmark (the benchmark return reported in the plan's financial report or, where none is stated, an inferred value graded A or B). The standard errors are double clustered by plan and year. Coefficients marked with ***, **, and * are significant at the 1%, 5%, and 10% level, respectively.</t>
  </si>
  <si>
    <t xml:space="preserve">(1) Table VIII as estimated</t>
  </si>
  <si>
    <t xml:space="preserve">(2) + Lagged PE share x Shock Period</t>
  </si>
  <si>
    <t xml:space="preserve">(3) + All lagged allocations x Shock Period</t>
  </si>
  <si>
    <t xml:space="preserve">(4) + Lagged PE share x fiscal-year indicators</t>
  </si>
  <si>
    <t xml:space="preserve">(5) + All lagged allocations x fiscal-year indicators</t>
  </si>
  <si>
    <t xml:space="preserve">Placebo Windows: Conflicted CIO x Five-Year Window</t>
  </si>
  <si>
    <t xml:space="preserve">Panel A re-estimates Table VIII with Shock Period replaced by an indicator for a five-year window of fiscal years (the window's main effect is absorbed by the year fixed effects where they are included); the shaded row is the actual window, FY2009-2013 (which differs from Shock Period only for plans with fiscal years ending in January-March 2014). Windows that overlap FY2009-2013 partly contain the actual shock. Panel B restricts the sample to FY2008 and earlier and compares FY2005-2008 with FY2001-2004, a window that lies entirely before the shock. The control variables are those of Table VIII (the lagged return, Size, the lagged funding ratio, lagged allocations, Financial Center, lagged log CIO age and tenure, lagged sibling plans and the political-state indicator). Benchmark-Adjusted Return is the plan's return minus the updated policy benchmark (the benchmark return reported in the plan's financial report or, where none is stated, an inferred value graded A or B). The standard errors are double clustered by plan and year. Coefficients marked with ***, **, and * are significant at the 1%, 5%, and 10% level, respectively.</t>
  </si>
  <si>
    <t xml:space="preserve">Panel A. Conflicted CIO x Window</t>
  </si>
  <si>
    <t xml:space="preserve">FY2002-2006</t>
  </si>
  <si>
    <t xml:space="preserve">FY2003-2007</t>
  </si>
  <si>
    <t xml:space="preserve">FY2004-2008</t>
  </si>
  <si>
    <t xml:space="preserve">FY2005-2009</t>
  </si>
  <si>
    <t xml:space="preserve">FY2006-2010</t>
  </si>
  <si>
    <t xml:space="preserve">FY2007-2011</t>
  </si>
  <si>
    <t xml:space="preserve">FY2008-2012</t>
  </si>
  <si>
    <t xml:space="preserve">FY2009-2013 (actual)</t>
  </si>
  <si>
    <t xml:space="preserve">FY2010-2014</t>
  </si>
  <si>
    <t xml:space="preserve">FY2011-2015</t>
  </si>
  <si>
    <t xml:space="preserve">FY2012-2016</t>
  </si>
  <si>
    <t xml:space="preserve">FY2013-2017</t>
  </si>
  <si>
    <t xml:space="preserve">FY2014-2018</t>
  </si>
  <si>
    <t xml:space="preserve">FY2015-2019</t>
  </si>
  <si>
    <t xml:space="preserve">FY2016-2020</t>
  </si>
  <si>
    <t xml:space="preserve">Panel B. Pre-shock sample (FY&lt;=2008)</t>
  </si>
  <si>
    <t xml:space="preserve">Conflicted CIO x FY2005-2008</t>
  </si>
  <si>
    <t xml:space="preserve">Observations (Panel B)</t>
  </si>
  <si>
    <t xml:space="preserve">Placebo Groups: Other Departures x Shock Period</t>
  </si>
  <si>
    <t xml:space="preserve">Each regression adds to Table VIII an indicator for CIOs who later leave for a reason other than a vendor job (and are not conflicted) and its interaction with Shock Period. The omitted group is CIOs who do not leave during the sample. If the shock worked through vendor-employment conflicts, Conflicted CIO x Shock Period should be positive and Other x Shock Period should not; the third column of each block tests their difference. Other departures follow Table IV: any other departure (retirement, death, a move to another public plan, or a job at a private firm that is not an asset manager), retirement, and other jobs (another public plan or a non-asset-manager firm). The control variables are those of Table VIII (the lagged return, Size, the lagged funding ratio, lagged allocations, Financial Center, lagged log CIO age and tenure, lagged sibling plans and the political-state indicator). Benchmark-Adjusted Return is the plan's return minus the updated policy benchmark (the benchmark return reported in the plan's financial report or, where none is stated, an inferred value graded A or B). The standard errors are double clustered by plan and year. Coefficients marked with ***, **, and * are significant at the 1%, 5%, and 10% level, respectively.</t>
  </si>
  <si>
    <t xml:space="preserve">Conflicted x Shock</t>
  </si>
  <si>
    <t xml:space="preserve">Other x Shock</t>
  </si>
  <si>
    <t xml:space="preserve">Difference</t>
  </si>
  <si>
    <t xml:space="preserve">Any other departure</t>
  </si>
  <si>
    <t xml:space="preserve">Retirement</t>
  </si>
  <si>
    <t xml:space="preserve">Other job</t>
  </si>
  <si>
    <t xml:space="preserve">Coefficients and observations will match reghdfe; t-statistics and p-values can differ somewhat. Use the attached Stata code for the exact figures.</t>
  </si>
  <si>
    <t xml:space="preserve">Estimates behind the tables. Blue = regression output (coefficient, SE, minimum cluster count). t and p are formulas; p uses the t distribution with (min clusters - 1) df. SE double clustered by plan and year, with the eigenvalue fix.</t>
  </si>
  <si>
    <t xml:space="preserve">Table</t>
  </si>
  <si>
    <t xml:space="preserve">Dependent variable</t>
  </si>
  <si>
    <t xml:space="preserve">Specification</t>
  </si>
  <si>
    <t xml:space="preserve">Term</t>
  </si>
  <si>
    <t xml:space="preserve">Coefficient</t>
  </si>
  <si>
    <t xml:space="preserve">SE</t>
  </si>
  <si>
    <t xml:space="preserve">Clusters (min)</t>
  </si>
  <si>
    <t xml:space="preserve">t</t>
  </si>
  <si>
    <t xml:space="preserve">p</t>
  </si>
  <si>
    <t xml:space="preserve">Table VIII</t>
  </si>
  <si>
    <t xml:space="preserve">Event FY2008</t>
  </si>
  <si>
    <t xml:space="preserve">conf</t>
  </si>
  <si>
    <t xml:space="preserve">es_pre</t>
  </si>
  <si>
    <t xml:space="preserve">es_2005</t>
  </si>
  <si>
    <t xml:space="preserve">es_2006</t>
  </si>
  <si>
    <t xml:space="preserve">es_2007</t>
  </si>
  <si>
    <t xml:space="preserve">es_2009</t>
  </si>
  <si>
    <t xml:space="preserve">es_2010</t>
  </si>
  <si>
    <t xml:space="preserve">es_2011</t>
  </si>
  <si>
    <t xml:space="preserve">es_2012</t>
  </si>
  <si>
    <t xml:space="preserve">es_2013</t>
  </si>
  <si>
    <t xml:space="preserve">es_2014</t>
  </si>
  <si>
    <t xml:space="preserve">es_2015</t>
  </si>
  <si>
    <t xml:space="preserve">es_2016</t>
  </si>
  <si>
    <t xml:space="preserve">es_2017</t>
  </si>
  <si>
    <t xml:space="preserve">es_post</t>
  </si>
  <si>
    <t xml:space="preserve">Event bins</t>
  </si>
  <si>
    <t xml:space="preserve">b0102</t>
  </si>
  <si>
    <t xml:space="preserve">b0304</t>
  </si>
  <si>
    <t xml:space="preserve">b0506</t>
  </si>
  <si>
    <t xml:space="preserve">b0910</t>
  </si>
  <si>
    <t xml:space="preserve">b1113</t>
  </si>
  <si>
    <t xml:space="preserve">b1415</t>
  </si>
  <si>
    <t xml:space="preserve">b1617</t>
  </si>
  <si>
    <t xml:space="preserve">b1820</t>
  </si>
  <si>
    <t xml:space="preserve">Exposure</t>
  </si>
  <si>
    <t xml:space="preserve">Table VIII as estimated</t>
  </si>
  <si>
    <t xml:space="preserve">+ Lagged PE share x Shock Period</t>
  </si>
  <si>
    <t xml:space="preserve">+ All lagged allocations x Shock Period</t>
  </si>
  <si>
    <t xml:space="preserve">+ Lagged PE share x fiscal-year indicators</t>
  </si>
  <si>
    <t xml:space="preserve">+ All lagged allocations x fiscal-year indicators</t>
  </si>
  <si>
    <t xml:space="preserve">Placebo windows</t>
  </si>
  <si>
    <t xml:space="preserve">pre-period fake window</t>
  </si>
  <si>
    <t xml:space="preserve">Placebo groups</t>
  </si>
  <si>
    <t xml:space="preserve">Year FE, Any other departure</t>
  </si>
  <si>
    <t xml:space="preserve">cxs</t>
  </si>
  <si>
    <t xml:space="preserve">oxs</t>
  </si>
  <si>
    <t xml:space="preserve">diff</t>
  </si>
  <si>
    <t xml:space="preserve">Plan and Year FE, Any other departure</t>
  </si>
  <si>
    <t xml:space="preserve">Year FE, Retirement</t>
  </si>
  <si>
    <t xml:space="preserve">Plan and Year FE, Retirement</t>
  </si>
  <si>
    <t xml:space="preserve">Year FE, Other job</t>
  </si>
  <si>
    <t xml:space="preserve">Plan and Year FE, Other job</t>
  </si>
</sst>
</file>

<file path=xl/styles.xml><?xml version="1.0" encoding="utf-8"?>
<styleSheet xmlns="http://schemas.openxmlformats.org/spreadsheetml/2006/main">
  <numFmts count="4">
    <numFmt numFmtId="164" formatCode="General"/>
    <numFmt numFmtId="165" formatCode="#,##0"/>
    <numFmt numFmtId="166" formatCode="0.000"/>
    <numFmt numFmtId="167" formatCode="0.0000"/>
  </numFmts>
  <fonts count="8">
    <font>
      <sz val="11"/>
      <color theme="1"/>
      <name val="Calibri"/>
      <family val="2"/>
      <charset val="1"/>
    </font>
    <font>
      <sz val="10"/>
      <name val="Arial"/>
      <family val="0"/>
    </font>
    <font>
      <sz val="10"/>
      <name val="Arial"/>
      <family val="0"/>
    </font>
    <font>
      <sz val="10"/>
      <name val="Arial"/>
      <family val="0"/>
    </font>
    <font>
      <b val="true"/>
      <sz val="10.5"/>
      <name val="Times New Roman"/>
      <family val="0"/>
      <charset val="1"/>
    </font>
    <font>
      <sz val="10.5"/>
      <name val="Times New Roman"/>
      <family val="0"/>
      <charset val="1"/>
    </font>
    <font>
      <i val="true"/>
      <sz val="10.5"/>
      <name val="Times New Roman"/>
      <family val="0"/>
      <charset val="1"/>
    </font>
    <font>
      <sz val="10.5"/>
      <color rgb="FF0000FF"/>
      <name val="Times New Roman"/>
      <family val="0"/>
      <charset val="1"/>
    </font>
  </fonts>
  <fills count="3">
    <fill>
      <patternFill patternType="none"/>
    </fill>
    <fill>
      <patternFill patternType="gray125"/>
    </fill>
    <fill>
      <patternFill patternType="solid">
        <fgColor rgb="FFF1F0EC"/>
        <bgColor rgb="FFFFFFCC"/>
      </patternFill>
    </fill>
  </fills>
  <borders count="3">
    <border diagonalUp="false" diagonalDown="false">
      <left/>
      <right/>
      <top/>
      <bottom/>
      <diagonal/>
    </border>
    <border diagonalUp="false" diagonalDown="false">
      <left/>
      <right/>
      <top style="thin"/>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justify"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6" fontId="5" fillId="0" borderId="2" xfId="0" applyFont="true" applyBorder="true" applyAlignment="true" applyProtection="false">
      <alignment horizontal="right"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right"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5" fontId="5" fillId="0" borderId="2" xfId="0" applyFont="true" applyBorder="tru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1F0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7" min="2" style="0" width="13"/>
  </cols>
  <sheetData>
    <row r="1" customFormat="false" ht="15" hidden="false" customHeight="false" outlineLevel="0" collapsed="false">
      <c r="A1" s="1" t="s">
        <v>0</v>
      </c>
    </row>
    <row r="2" customFormat="false" ht="153.75" hidden="false" customHeight="true" outlineLevel="0" collapsed="false">
      <c r="A2" s="2" t="s">
        <v>1</v>
      </c>
      <c r="B2" s="2"/>
      <c r="C2" s="2"/>
      <c r="D2" s="2"/>
      <c r="E2" s="2"/>
      <c r="F2" s="2"/>
      <c r="G2" s="2"/>
    </row>
    <row r="4" customFormat="false" ht="30" hidden="false" customHeight="true" outlineLevel="0" collapsed="false">
      <c r="A4" s="3"/>
      <c r="B4" s="4" t="s">
        <v>2</v>
      </c>
      <c r="C4" s="4"/>
      <c r="D4" s="4"/>
      <c r="E4" s="4" t="s">
        <v>3</v>
      </c>
      <c r="F4" s="4"/>
      <c r="G4" s="4"/>
    </row>
    <row r="5" customFormat="false" ht="30" hidden="false" customHeight="true" outlineLevel="0" collapsed="false">
      <c r="A5" s="5"/>
      <c r="B5" s="6" t="s">
        <v>4</v>
      </c>
      <c r="C5" s="6" t="s">
        <v>5</v>
      </c>
      <c r="D5" s="6" t="s">
        <v>6</v>
      </c>
      <c r="E5" s="6" t="s">
        <v>4</v>
      </c>
      <c r="F5" s="6" t="s">
        <v>5</v>
      </c>
      <c r="G5" s="6" t="s">
        <v>6</v>
      </c>
    </row>
    <row r="6" customFormat="false" ht="15" hidden="false" customHeight="false" outlineLevel="0" collapsed="false">
      <c r="A6" s="7" t="s">
        <v>7</v>
      </c>
      <c r="B6" s="8" t="str">
        <f aca="false">IF(Estimates!I4="","",TEXT(Estimates!E4,"0.000")&amp;IF(Estimates!I4&lt;0.01,"***",IF(Estimates!I4&lt;0.05,"**",IF(Estimates!I4&lt;0.1,"*",""))))</f>
        <v>-0.573***</v>
      </c>
      <c r="C6" s="8" t="str">
        <f aca="false">IF(Estimates!I5="","",TEXT(Estimates!E5,"0.000")&amp;IF(Estimates!I5&lt;0.01,"***",IF(Estimates!I5&lt;0.05,"**",IF(Estimates!I5&lt;0.1,"*",""))))</f>
        <v>-0.687**</v>
      </c>
      <c r="D6" s="8" t="str">
        <f aca="false">IF(Estimates!I6="","",TEXT(Estimates!E6,"0.000")&amp;IF(Estimates!I6&lt;0.01,"***",IF(Estimates!I6&lt;0.05,"**",IF(Estimates!I6&lt;0.1,"*",""))))</f>
        <v>-0.707**</v>
      </c>
      <c r="E6" s="8" t="str">
        <f aca="false">IF(Estimates!I7="","",TEXT(Estimates!E7,"0.000")&amp;IF(Estimates!I7&lt;0.01,"***",IF(Estimates!I7&lt;0.05,"**",IF(Estimates!I7&lt;0.1,"*",""))))</f>
        <v>-0.408***</v>
      </c>
      <c r="F6" s="8" t="str">
        <f aca="false">IF(Estimates!I8="","",TEXT(Estimates!E8,"0.000")&amp;IF(Estimates!I8&lt;0.01,"***",IF(Estimates!I8&lt;0.05,"**",IF(Estimates!I8&lt;0.1,"*",""))))</f>
        <v>-0.253**</v>
      </c>
      <c r="G6" s="8" t="str">
        <f aca="false">IF(Estimates!I9="","",TEXT(Estimates!E9,"0.000")&amp;IF(Estimates!I9&lt;0.01,"***",IF(Estimates!I9&lt;0.05,"**",IF(Estimates!I9&lt;0.1,"*",""))))</f>
        <v>-0.297*</v>
      </c>
    </row>
    <row r="7" customFormat="false" ht="15" hidden="false" customHeight="false" outlineLevel="0" collapsed="false">
      <c r="B7" s="8" t="str">
        <f aca="false">IF(Estimates!H4="","","("&amp;TEXT(Estimates!H4,"0.00")&amp;")")</f>
        <v>(-3.41)</v>
      </c>
      <c r="C7" s="8" t="str">
        <f aca="false">IF(Estimates!H5="","","("&amp;TEXT(Estimates!H5,"0.00")&amp;")")</f>
        <v>(-2.72)</v>
      </c>
      <c r="D7" s="8" t="str">
        <f aca="false">IF(Estimates!H6="","","("&amp;TEXT(Estimates!H6,"0.00")&amp;")")</f>
        <v>(-2.79)</v>
      </c>
      <c r="E7" s="8" t="str">
        <f aca="false">IF(Estimates!H7="","","("&amp;TEXT(Estimates!H7,"0.00")&amp;")")</f>
        <v>(-3.56)</v>
      </c>
      <c r="F7" s="8" t="str">
        <f aca="false">IF(Estimates!H8="","","("&amp;TEXT(Estimates!H8,"0.00")&amp;")")</f>
        <v>(-2.12)</v>
      </c>
      <c r="G7" s="8" t="str">
        <f aca="false">IF(Estimates!H9="","","("&amp;TEXT(Estimates!H9,"0.00")&amp;")")</f>
        <v>(-2.01)</v>
      </c>
    </row>
    <row r="9" customFormat="false" ht="15" hidden="false" customHeight="false" outlineLevel="0" collapsed="false">
      <c r="A9" s="7" t="s">
        <v>8</v>
      </c>
      <c r="B9" s="8" t="str">
        <f aca="false">IF(Estimates!I10="","",TEXT(Estimates!E10,"0.000")&amp;IF(Estimates!I10&lt;0.01,"***",IF(Estimates!I10&lt;0.05,"**",IF(Estimates!I10&lt;0.1,"*",""))))</f>
        <v>-0.913***</v>
      </c>
      <c r="C9" s="8" t="str">
        <f aca="false">IF(Estimates!I11="","",TEXT(Estimates!E11,"0.000")&amp;IF(Estimates!I11&lt;0.01,"***",IF(Estimates!I11&lt;0.05,"**",IF(Estimates!I11&lt;0.1,"*",""))))</f>
        <v>-0.968***</v>
      </c>
      <c r="D9" s="8" t="str">
        <f aca="false">IF(Estimates!I12="","",TEXT(Estimates!E12,"0.000")&amp;IF(Estimates!I12&lt;0.01,"***",IF(Estimates!I12&lt;0.05,"**",IF(Estimates!I12&lt;0.1,"*",""))))</f>
        <v>-1.010***</v>
      </c>
      <c r="E9" s="8" t="str">
        <f aca="false">IF(Estimates!I13="","",TEXT(Estimates!E13,"0.000")&amp;IF(Estimates!I13&lt;0.01,"***",IF(Estimates!I13&lt;0.05,"**",IF(Estimates!I13&lt;0.1,"*",""))))</f>
        <v>-0.563***</v>
      </c>
      <c r="F9" s="8" t="str">
        <f aca="false">IF(Estimates!I14="","",TEXT(Estimates!E14,"0.000")&amp;IF(Estimates!I14&lt;0.01,"***",IF(Estimates!I14&lt;0.05,"**",IF(Estimates!I14&lt;0.1,"*",""))))</f>
        <v>-0.363*</v>
      </c>
      <c r="G9" s="8" t="str">
        <f aca="false">IF(Estimates!I15="","",TEXT(Estimates!E15,"0.000")&amp;IF(Estimates!I15&lt;0.01,"***",IF(Estimates!I15&lt;0.05,"**",IF(Estimates!I15&lt;0.1,"*",""))))</f>
        <v>-0.407*</v>
      </c>
    </row>
    <row r="10" customFormat="false" ht="15" hidden="false" customHeight="false" outlineLevel="0" collapsed="false">
      <c r="B10" s="8" t="str">
        <f aca="false">IF(Estimates!H10="","","("&amp;TEXT(Estimates!H10,"0.00")&amp;")")</f>
        <v>(-4.34)</v>
      </c>
      <c r="C10" s="8" t="str">
        <f aca="false">IF(Estimates!H11="","","("&amp;TEXT(Estimates!H11,"0.00")&amp;")")</f>
        <v>(-3.10)</v>
      </c>
      <c r="D10" s="8" t="str">
        <f aca="false">IF(Estimates!H12="","","("&amp;TEXT(Estimates!H12,"0.00")&amp;")")</f>
        <v>(-3.14)</v>
      </c>
      <c r="E10" s="8" t="str">
        <f aca="false">IF(Estimates!H13="","","("&amp;TEXT(Estimates!H13,"0.00")&amp;")")</f>
        <v>(-3.13)</v>
      </c>
      <c r="F10" s="8" t="str">
        <f aca="false">IF(Estimates!H14="","","("&amp;TEXT(Estimates!H14,"0.00")&amp;")")</f>
        <v>(-1.96)</v>
      </c>
      <c r="G10" s="8" t="str">
        <f aca="false">IF(Estimates!H15="","","("&amp;TEXT(Estimates!H15,"0.00")&amp;")")</f>
        <v>(-1.92)</v>
      </c>
    </row>
    <row r="11" customFormat="false" ht="15" hidden="false" customHeight="false" outlineLevel="0" collapsed="false">
      <c r="A11" s="7" t="s">
        <v>9</v>
      </c>
      <c r="B11" s="8" t="str">
        <f aca="false">IF(Estimates!I16="","",TEXT(Estimates!E16,"0.000")&amp;IF(Estimates!I16&lt;0.01,"***",IF(Estimates!I16&lt;0.05,"**",IF(Estimates!I16&lt;0.1,"*",""))))</f>
        <v>1.009**</v>
      </c>
      <c r="C11" s="8" t="str">
        <f aca="false">IF(Estimates!I17="","",TEXT(Estimates!E17,"0.000")&amp;IF(Estimates!I17&lt;0.01,"***",IF(Estimates!I17&lt;0.05,"**",IF(Estimates!I17&lt;0.1,"*",""))))</f>
        <v>0.891*</v>
      </c>
      <c r="D11" s="8" t="str">
        <f aca="false">IF(Estimates!I18="","",TEXT(Estimates!E18,"0.000")&amp;IF(Estimates!I18&lt;0.01,"***",IF(Estimates!I18&lt;0.05,"**",IF(Estimates!I18&lt;0.1,"*",""))))</f>
        <v>0.908*</v>
      </c>
      <c r="E11" s="8" t="str">
        <f aca="false">IF(Estimates!I19="","",TEXT(Estimates!E19,"0.000")&amp;IF(Estimates!I19&lt;0.01,"***",IF(Estimates!I19&lt;0.05,"**",IF(Estimates!I19&lt;0.1,"*",""))))</f>
        <v>0.425**</v>
      </c>
      <c r="F11" s="8" t="str">
        <f aca="false">IF(Estimates!I20="","",TEXT(Estimates!E20,"0.000")&amp;IF(Estimates!I20&lt;0.01,"***",IF(Estimates!I20&lt;0.05,"**",IF(Estimates!I20&lt;0.1,"*",""))))</f>
        <v>0.392</v>
      </c>
      <c r="G11" s="8" t="str">
        <f aca="false">IF(Estimates!I21="","",TEXT(Estimates!E21,"0.000")&amp;IF(Estimates!I21&lt;0.01,"***",IF(Estimates!I21&lt;0.05,"**",IF(Estimates!I21&lt;0.1,"*",""))))</f>
        <v>0.315</v>
      </c>
    </row>
    <row r="12" customFormat="false" ht="15" hidden="false" customHeight="false" outlineLevel="0" collapsed="false">
      <c r="B12" s="8" t="str">
        <f aca="false">IF(Estimates!H16="","","("&amp;TEXT(Estimates!H16,"0.00")&amp;")")</f>
        <v>(2.72)</v>
      </c>
      <c r="C12" s="8" t="str">
        <f aca="false">IF(Estimates!H17="","","("&amp;TEXT(Estimates!H17,"0.00")&amp;")")</f>
        <v>(2.00)</v>
      </c>
      <c r="D12" s="8" t="str">
        <f aca="false">IF(Estimates!H18="","","("&amp;TEXT(Estimates!H18,"0.00")&amp;")")</f>
        <v>(2.04)</v>
      </c>
      <c r="E12" s="8" t="str">
        <f aca="false">IF(Estimates!H19="","","("&amp;TEXT(Estimates!H19,"0.00")&amp;")")</f>
        <v>(2.69)</v>
      </c>
      <c r="F12" s="8" t="str">
        <f aca="false">IF(Estimates!H20="","","("&amp;TEXT(Estimates!H20,"0.00")&amp;")")</f>
        <v>(1.10)</v>
      </c>
      <c r="G12" s="8" t="str">
        <f aca="false">IF(Estimates!H21="","","("&amp;TEXT(Estimates!H21,"0.00")&amp;")")</f>
        <v>(1.02)</v>
      </c>
    </row>
    <row r="13" customFormat="false" ht="15" hidden="false" customHeight="false" outlineLevel="0" collapsed="false">
      <c r="A13" s="9" t="s">
        <v>10</v>
      </c>
      <c r="B13" s="10" t="str">
        <f aca="false">IF(Estimates!I22="","",TEXT(Estimates!E22,"0.000")&amp;IF(Estimates!I22&lt;0.01,"***",IF(Estimates!I22&lt;0.05,"**",IF(Estimates!I22&lt;0.1,"*",""))))</f>
        <v>0.096</v>
      </c>
      <c r="C13" s="10" t="str">
        <f aca="false">IF(Estimates!I23="","",TEXT(Estimates!E23,"0.000")&amp;IF(Estimates!I23&lt;0.01,"***",IF(Estimates!I23&lt;0.05,"**",IF(Estimates!I23&lt;0.1,"*",""))))</f>
        <v>-0.078</v>
      </c>
      <c r="D13" s="10" t="str">
        <f aca="false">IF(Estimates!I24="","",TEXT(Estimates!E24,"0.000")&amp;IF(Estimates!I24&lt;0.01,"***",IF(Estimates!I24&lt;0.05,"**",IF(Estimates!I24&lt;0.1,"*",""))))</f>
        <v>-0.101</v>
      </c>
      <c r="E13" s="10" t="str">
        <f aca="false">IF(Estimates!I25="","",TEXT(Estimates!E25,"0.000")&amp;IF(Estimates!I25&lt;0.01,"***",IF(Estimates!I25&lt;0.05,"**",IF(Estimates!I25&lt;0.1,"*",""))))</f>
        <v>-0.138***</v>
      </c>
      <c r="F13" s="10" t="str">
        <f aca="false">IF(Estimates!I26="","",TEXT(Estimates!E26,"0.000")&amp;IF(Estimates!I26&lt;0.01,"***",IF(Estimates!I26&lt;0.05,"**",IF(Estimates!I26&lt;0.1,"*",""))))</f>
        <v>0.029</v>
      </c>
      <c r="G13" s="10" t="str">
        <f aca="false">IF(Estimates!I27="","",TEXT(Estimates!E27,"0.000")&amp;IF(Estimates!I27&lt;0.01,"***",IF(Estimates!I27&lt;0.05,"**",IF(Estimates!I27&lt;0.1,"*",""))))</f>
        <v>-0.092</v>
      </c>
    </row>
    <row r="14" customFormat="false" ht="15" hidden="false" customHeight="false" outlineLevel="0" collapsed="false">
      <c r="B14" s="10" t="str">
        <f aca="false">IF(Estimates!H22="","","("&amp;TEXT(Estimates!H22,"0.00")&amp;")")</f>
        <v>(0.44)</v>
      </c>
      <c r="C14" s="10" t="str">
        <f aca="false">IF(Estimates!H23="","","("&amp;TEXT(Estimates!H23,"0.00")&amp;")")</f>
        <v>(-0.28)</v>
      </c>
      <c r="D14" s="10" t="str">
        <f aca="false">IF(Estimates!H24="","","("&amp;TEXT(Estimates!H24,"0.00")&amp;")")</f>
        <v>(-0.36)</v>
      </c>
      <c r="E14" s="10" t="str">
        <f aca="false">IF(Estimates!H25="","","("&amp;TEXT(Estimates!H25,"0.00")&amp;")")</f>
        <v>(-3.08)</v>
      </c>
      <c r="F14" s="10" t="str">
        <f aca="false">IF(Estimates!H26="","","("&amp;TEXT(Estimates!H26,"0.00")&amp;")")</f>
        <v>(0.13)</v>
      </c>
      <c r="G14" s="10" t="str">
        <f aca="false">IF(Estimates!H27="","","("&amp;TEXT(Estimates!H27,"0.00")&amp;")")</f>
        <v>(-0.49)</v>
      </c>
    </row>
    <row r="16" customFormat="false" ht="15" hidden="false" customHeight="false" outlineLevel="0" collapsed="false">
      <c r="A16" s="7" t="s">
        <v>11</v>
      </c>
      <c r="B16" s="11" t="n">
        <v>1566</v>
      </c>
      <c r="C16" s="11" t="n">
        <v>1565</v>
      </c>
      <c r="D16" s="11" t="n">
        <v>1565</v>
      </c>
      <c r="E16" s="11" t="n">
        <v>1395</v>
      </c>
      <c r="F16" s="11" t="n">
        <v>1394</v>
      </c>
      <c r="G16" s="11" t="n">
        <v>1394</v>
      </c>
    </row>
    <row r="17" customFormat="false" ht="15" hidden="false" customHeight="false" outlineLevel="0" collapsed="false">
      <c r="A17" s="12" t="s">
        <v>12</v>
      </c>
      <c r="B17" s="13" t="n">
        <v>0.064297917698964</v>
      </c>
      <c r="C17" s="13" t="n">
        <v>0.095559801002565</v>
      </c>
      <c r="D17" s="13" t="n">
        <v>0.0899255405421776</v>
      </c>
      <c r="E17" s="13" t="n">
        <v>0.136739892666722</v>
      </c>
      <c r="F17" s="13" t="n">
        <v>0.0345251402050512</v>
      </c>
      <c r="G17" s="13" t="n">
        <v>0.133870425042058</v>
      </c>
    </row>
  </sheetData>
  <mergeCells count="3">
    <mergeCell ref="A2:G2"/>
    <mergeCell ref="B4:D4"/>
    <mergeCell ref="E4:G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7" min="2" style="0" width="13"/>
  </cols>
  <sheetData>
    <row r="1" customFormat="false" ht="15" hidden="false" customHeight="false" outlineLevel="0" collapsed="false">
      <c r="A1" s="1" t="s">
        <v>13</v>
      </c>
    </row>
    <row r="2" customFormat="false" ht="195.75" hidden="false" customHeight="true" outlineLevel="0" collapsed="false">
      <c r="A2" s="2" t="s">
        <v>14</v>
      </c>
      <c r="B2" s="2"/>
      <c r="C2" s="2"/>
      <c r="D2" s="2"/>
      <c r="E2" s="2"/>
      <c r="F2" s="2"/>
      <c r="G2" s="2"/>
    </row>
    <row r="4" customFormat="false" ht="30" hidden="false" customHeight="true" outlineLevel="0" collapsed="false">
      <c r="A4" s="3"/>
      <c r="B4" s="4" t="s">
        <v>2</v>
      </c>
      <c r="C4" s="4"/>
      <c r="D4" s="4"/>
      <c r="E4" s="4" t="s">
        <v>3</v>
      </c>
      <c r="F4" s="4"/>
      <c r="G4" s="4"/>
    </row>
    <row r="5" customFormat="false" ht="30" hidden="false" customHeight="true" outlineLevel="0" collapsed="false">
      <c r="A5" s="5"/>
      <c r="B5" s="6" t="s">
        <v>4</v>
      </c>
      <c r="C5" s="6" t="s">
        <v>5</v>
      </c>
      <c r="D5" s="6" t="s">
        <v>6</v>
      </c>
      <c r="E5" s="6" t="s">
        <v>4</v>
      </c>
      <c r="F5" s="6" t="s">
        <v>5</v>
      </c>
      <c r="G5" s="6" t="s">
        <v>6</v>
      </c>
    </row>
    <row r="6" customFormat="false" ht="15" hidden="false" customHeight="false" outlineLevel="0" collapsed="false">
      <c r="A6" s="7" t="s">
        <v>15</v>
      </c>
      <c r="B6" s="8" t="str">
        <f aca="false">IF(Estimates!I28="","",TEXT(Estimates!E28,"0.000")&amp;IF(Estimates!I28&lt;0.01,"***",IF(Estimates!I28&lt;0.05,"**",IF(Estimates!I28&lt;0.1,"*",""))))</f>
        <v>-0.525*</v>
      </c>
      <c r="C6" s="8" t="str">
        <f aca="false">IF(Estimates!I29="","",TEXT(Estimates!E29,"0.000")&amp;IF(Estimates!I29&lt;0.01,"***",IF(Estimates!I29&lt;0.05,"**",IF(Estimates!I29&lt;0.1,"*",""))))</f>
        <v>-1.029**</v>
      </c>
      <c r="D6" s="8" t="str">
        <f aca="false">IF(Estimates!I30="","",TEXT(Estimates!E30,"0.000")&amp;IF(Estimates!I30&lt;0.01,"***",IF(Estimates!I30&lt;0.05,"**",IF(Estimates!I30&lt;0.1,"*",""))))</f>
        <v>-0.932*</v>
      </c>
      <c r="E6" s="8" t="str">
        <f aca="false">IF(Estimates!I31="","",TEXT(Estimates!E31,"0.000")&amp;IF(Estimates!I31&lt;0.01,"***",IF(Estimates!I31&lt;0.05,"**",IF(Estimates!I31&lt;0.1,"*",""))))</f>
        <v>-0.193</v>
      </c>
      <c r="F6" s="8" t="str">
        <f aca="false">IF(Estimates!I32="","",TEXT(Estimates!E32,"0.000")&amp;IF(Estimates!I32&lt;0.01,"***",IF(Estimates!I32&lt;0.05,"**",IF(Estimates!I32&lt;0.1,"*",""))))</f>
        <v>-0.700**</v>
      </c>
      <c r="G6" s="8" t="str">
        <f aca="false">IF(Estimates!I33="","",TEXT(Estimates!E33,"0.000")&amp;IF(Estimates!I33&lt;0.01,"***",IF(Estimates!I33&lt;0.05,"**",IF(Estimates!I33&lt;0.1,"*",""))))</f>
        <v>-0.084</v>
      </c>
    </row>
    <row r="7" customFormat="false" ht="15" hidden="false" customHeight="false" outlineLevel="0" collapsed="false">
      <c r="B7" s="8" t="str">
        <f aca="false">IF(Estimates!H28="","","("&amp;TEXT(Estimates!H28,"0.00")&amp;")")</f>
        <v>(-1.97)</v>
      </c>
      <c r="C7" s="8" t="str">
        <f aca="false">IF(Estimates!H29="","","("&amp;TEXT(Estimates!H29,"0.00")&amp;")")</f>
        <v>(-2.66)</v>
      </c>
      <c r="D7" s="8" t="str">
        <f aca="false">IF(Estimates!H30="","","("&amp;TEXT(Estimates!H30,"0.00")&amp;")")</f>
        <v>(-1.99)</v>
      </c>
      <c r="E7" s="8" t="str">
        <f aca="false">IF(Estimates!H31="","","("&amp;TEXT(Estimates!H31,"0.00")&amp;")")</f>
        <v>(-1.21)</v>
      </c>
      <c r="F7" s="8" t="str">
        <f aca="false">IF(Estimates!H32="","","("&amp;TEXT(Estimates!H32,"0.00")&amp;")")</f>
        <v>(-2.13)</v>
      </c>
      <c r="G7" s="8" t="str">
        <f aca="false">IF(Estimates!H33="","","("&amp;TEXT(Estimates!H33,"0.00")&amp;")")</f>
        <v>(-0.28)</v>
      </c>
    </row>
    <row r="9" customFormat="false" ht="15" hidden="false" customHeight="false" outlineLevel="0" collapsed="false">
      <c r="A9" s="7" t="s">
        <v>16</v>
      </c>
      <c r="B9" s="8" t="str">
        <f aca="false">IF(Estimates!I34="","",TEXT(Estimates!E34,"0.000")&amp;IF(Estimates!I34&lt;0.01,"***",IF(Estimates!I34&lt;0.05,"**",IF(Estimates!I34&lt;0.1,"*",""))))</f>
        <v>-0.319</v>
      </c>
      <c r="C9" s="8" t="str">
        <f aca="false">IF(Estimates!I35="","",TEXT(Estimates!E35,"0.000")&amp;IF(Estimates!I35&lt;0.01,"***",IF(Estimates!I35&lt;0.05,"**",IF(Estimates!I35&lt;0.1,"*",""))))</f>
        <v>0.528</v>
      </c>
      <c r="D9" s="8" t="str">
        <f aca="false">IF(Estimates!I36="","",TEXT(Estimates!E36,"0.000")&amp;IF(Estimates!I36&lt;0.01,"***",IF(Estimates!I36&lt;0.05,"**",IF(Estimates!I36&lt;0.1,"*",""))))</f>
        <v>0.253</v>
      </c>
      <c r="E9" s="8" t="str">
        <f aca="false">IF(Estimates!I37="","",TEXT(Estimates!E37,"0.000")&amp;IF(Estimates!I37&lt;0.01,"***",IF(Estimates!I37&lt;0.05,"**",IF(Estimates!I37&lt;0.1,"*",""))))</f>
        <v>-0.616***</v>
      </c>
      <c r="F9" s="8" t="str">
        <f aca="false">IF(Estimates!I38="","",TEXT(Estimates!E38,"0.000")&amp;IF(Estimates!I38&lt;0.01,"***",IF(Estimates!I38&lt;0.05,"**",IF(Estimates!I38&lt;0.1,"*",""))))</f>
        <v>0.115</v>
      </c>
      <c r="G9" s="8" t="str">
        <f aca="false">IF(Estimates!I39="","",TEXT(Estimates!E39,"0.000")&amp;IF(Estimates!I39&lt;0.01,"***",IF(Estimates!I39&lt;0.05,"**",IF(Estimates!I39&lt;0.1,"*",""))))</f>
        <v>-0.613**</v>
      </c>
    </row>
    <row r="10" customFormat="false" ht="15" hidden="false" customHeight="false" outlineLevel="0" collapsed="false">
      <c r="B10" s="8" t="str">
        <f aca="false">IF(Estimates!H34="","","("&amp;TEXT(Estimates!H34,"0.00")&amp;")")</f>
        <v>(-1.23)</v>
      </c>
      <c r="C10" s="8" t="str">
        <f aca="false">IF(Estimates!H35="","","("&amp;TEXT(Estimates!H35,"0.00")&amp;")")</f>
        <v>(1.43)</v>
      </c>
      <c r="D10" s="8" t="str">
        <f aca="false">IF(Estimates!H36="","","("&amp;TEXT(Estimates!H36,"0.00")&amp;")")</f>
        <v>(0.53)</v>
      </c>
      <c r="E10" s="8" t="str">
        <f aca="false">IF(Estimates!H37="","","("&amp;TEXT(Estimates!H37,"0.00")&amp;")")</f>
        <v>(-4.37)</v>
      </c>
      <c r="F10" s="8" t="str">
        <f aca="false">IF(Estimates!H38="","","("&amp;TEXT(Estimates!H38,"0.00")&amp;")")</f>
        <v>(0.35)</v>
      </c>
      <c r="G10" s="8" t="str">
        <f aca="false">IF(Estimates!H39="","","("&amp;TEXT(Estimates!H39,"0.00")&amp;")")</f>
        <v>(-2.48)</v>
      </c>
    </row>
    <row r="11" customFormat="false" ht="15" hidden="false" customHeight="false" outlineLevel="0" collapsed="false">
      <c r="A11" s="7" t="s">
        <v>17</v>
      </c>
      <c r="B11" s="8" t="str">
        <f aca="false">IF(Estimates!I40="","",TEXT(Estimates!E40,"0.000")&amp;IF(Estimates!I40&lt;0.01,"***",IF(Estimates!I40&lt;0.05,"**",IF(Estimates!I40&lt;0.1,"*",""))))</f>
        <v>-0.184</v>
      </c>
      <c r="C11" s="8" t="str">
        <f aca="false">IF(Estimates!I41="","",TEXT(Estimates!E41,"0.000")&amp;IF(Estimates!I41&lt;0.01,"***",IF(Estimates!I41&lt;0.05,"**",IF(Estimates!I41&lt;0.1,"*",""))))</f>
        <v>0.366**</v>
      </c>
      <c r="D11" s="8" t="str">
        <f aca="false">IF(Estimates!I42="","",TEXT(Estimates!E42,"0.000")&amp;IF(Estimates!I42&lt;0.01,"***",IF(Estimates!I42&lt;0.05,"**",IF(Estimates!I42&lt;0.1,"*",""))))</f>
        <v>0.134</v>
      </c>
      <c r="E11" s="8" t="str">
        <f aca="false">IF(Estimates!I43="","",TEXT(Estimates!E43,"0.000")&amp;IF(Estimates!I43&lt;0.01,"***",IF(Estimates!I43&lt;0.05,"**",IF(Estimates!I43&lt;0.1,"*",""))))</f>
        <v>-0.405**</v>
      </c>
      <c r="F11" s="8" t="str">
        <f aca="false">IF(Estimates!I44="","",TEXT(Estimates!E44,"0.000")&amp;IF(Estimates!I44&lt;0.01,"***",IF(Estimates!I44&lt;0.05,"**",IF(Estimates!I44&lt;0.1,"*",""))))</f>
        <v>0.618***</v>
      </c>
      <c r="G11" s="8" t="str">
        <f aca="false">IF(Estimates!I45="","",TEXT(Estimates!E45,"0.000")&amp;IF(Estimates!I45&lt;0.01,"***",IF(Estimates!I45&lt;0.05,"**",IF(Estimates!I45&lt;0.1,"*",""))))</f>
        <v>-0.435*</v>
      </c>
    </row>
    <row r="12" customFormat="false" ht="15" hidden="false" customHeight="false" outlineLevel="0" collapsed="false">
      <c r="B12" s="8" t="str">
        <f aca="false">IF(Estimates!H40="","","("&amp;TEXT(Estimates!H40,"0.00")&amp;")")</f>
        <v>(-1.30)</v>
      </c>
      <c r="C12" s="8" t="str">
        <f aca="false">IF(Estimates!H41="","","("&amp;TEXT(Estimates!H41,"0.00")&amp;")")</f>
        <v>(2.23)</v>
      </c>
      <c r="D12" s="8" t="str">
        <f aca="false">IF(Estimates!H42="","","("&amp;TEXT(Estimates!H42,"0.00")&amp;")")</f>
        <v>(0.70)</v>
      </c>
      <c r="E12" s="8" t="str">
        <f aca="false">IF(Estimates!H43="","","("&amp;TEXT(Estimates!H43,"0.00")&amp;")")</f>
        <v>(-2.31)</v>
      </c>
      <c r="F12" s="8" t="str">
        <f aca="false">IF(Estimates!H44="","","("&amp;TEXT(Estimates!H44,"0.00")&amp;")")</f>
        <v>(2.88)</v>
      </c>
      <c r="G12" s="8" t="str">
        <f aca="false">IF(Estimates!H45="","","("&amp;TEXT(Estimates!H45,"0.00")&amp;")")</f>
        <v>(-2.07)</v>
      </c>
    </row>
    <row r="13" customFormat="false" ht="15" hidden="false" customHeight="false" outlineLevel="0" collapsed="false">
      <c r="A13" s="7" t="s">
        <v>18</v>
      </c>
      <c r="B13" s="8" t="str">
        <f aca="false">IF(Estimates!I46="","",TEXT(Estimates!E46,"0.000")&amp;IF(Estimates!I46&lt;0.01,"***",IF(Estimates!I46&lt;0.05,"**",IF(Estimates!I46&lt;0.1,"*",""))))</f>
        <v>-1.320***</v>
      </c>
      <c r="C13" s="8" t="str">
        <f aca="false">IF(Estimates!I47="","",TEXT(Estimates!E47,"0.000")&amp;IF(Estimates!I47&lt;0.01,"***",IF(Estimates!I47&lt;0.05,"**",IF(Estimates!I47&lt;0.1,"*",""))))</f>
        <v>-0.362</v>
      </c>
      <c r="D13" s="8" t="str">
        <f aca="false">IF(Estimates!I48="","",TEXT(Estimates!E48,"0.000")&amp;IF(Estimates!I48&lt;0.01,"***",IF(Estimates!I48&lt;0.05,"**",IF(Estimates!I48&lt;0.1,"*",""))))</f>
        <v>-1.058***</v>
      </c>
      <c r="E13" s="8" t="str">
        <f aca="false">IF(Estimates!I49="","",TEXT(Estimates!E49,"0.000")&amp;IF(Estimates!I49&lt;0.01,"***",IF(Estimates!I49&lt;0.05,"**",IF(Estimates!I49&lt;0.1,"*",""))))</f>
        <v>-0.527**</v>
      </c>
      <c r="F13" s="8" t="str">
        <f aca="false">IF(Estimates!I50="","",TEXT(Estimates!E50,"0.000")&amp;IF(Estimates!I50&lt;0.01,"***",IF(Estimates!I50&lt;0.05,"**",IF(Estimates!I50&lt;0.1,"*",""))))</f>
        <v>0.933***</v>
      </c>
      <c r="G13" s="8" t="str">
        <f aca="false">IF(Estimates!I51="","",TEXT(Estimates!E51,"0.000")&amp;IF(Estimates!I51&lt;0.01,"***",IF(Estimates!I51&lt;0.05,"**",IF(Estimates!I51&lt;0.1,"*",""))))</f>
        <v>-0.440*</v>
      </c>
    </row>
    <row r="14" customFormat="false" ht="15" hidden="false" customHeight="false" outlineLevel="0" collapsed="false">
      <c r="B14" s="8" t="str">
        <f aca="false">IF(Estimates!H46="","","("&amp;TEXT(Estimates!H46,"0.00")&amp;")")</f>
        <v>(-5.00)</v>
      </c>
      <c r="C14" s="8" t="str">
        <f aca="false">IF(Estimates!H47="","","("&amp;TEXT(Estimates!H47,"0.00")&amp;")")</f>
        <v>(-1.39)</v>
      </c>
      <c r="D14" s="8" t="str">
        <f aca="false">IF(Estimates!H48="","","("&amp;TEXT(Estimates!H48,"0.00")&amp;")")</f>
        <v>(-3.25)</v>
      </c>
      <c r="E14" s="8" t="str">
        <f aca="false">IF(Estimates!H49="","","("&amp;TEXT(Estimates!H49,"0.00")&amp;")")</f>
        <v>(-2.64)</v>
      </c>
      <c r="F14" s="8" t="str">
        <f aca="false">IF(Estimates!H50="","","("&amp;TEXT(Estimates!H50,"0.00")&amp;")")</f>
        <v>(4.43)</v>
      </c>
      <c r="G14" s="8" t="str">
        <f aca="false">IF(Estimates!H51="","","("&amp;TEXT(Estimates!H51,"0.00")&amp;")")</f>
        <v>(-1.97)</v>
      </c>
    </row>
    <row r="15" customFormat="false" ht="15" hidden="false" customHeight="false" outlineLevel="0" collapsed="false">
      <c r="A15" s="7" t="s">
        <v>19</v>
      </c>
      <c r="B15" s="8" t="str">
        <f aca="false">IF(Estimates!I52="","",TEXT(Estimates!E52,"0.000")&amp;IF(Estimates!I52&lt;0.01,"***",IF(Estimates!I52&lt;0.05,"**",IF(Estimates!I52&lt;0.1,"*",""))))</f>
        <v>-1.541***</v>
      </c>
      <c r="C15" s="8" t="str">
        <f aca="false">IF(Estimates!I53="","",TEXT(Estimates!E53,"0.000")&amp;IF(Estimates!I53&lt;0.01,"***",IF(Estimates!I53&lt;0.05,"**",IF(Estimates!I53&lt;0.1,"*",""))))</f>
        <v>-0.866**</v>
      </c>
      <c r="D15" s="8" t="str">
        <f aca="false">IF(Estimates!I54="","",TEXT(Estimates!E54,"0.000")&amp;IF(Estimates!I54&lt;0.01,"***",IF(Estimates!I54&lt;0.05,"**",IF(Estimates!I54&lt;0.1,"*",""))))</f>
        <v>-1.472***</v>
      </c>
      <c r="E15" s="8" t="str">
        <f aca="false">IF(Estimates!I55="","",TEXT(Estimates!E55,"0.000")&amp;IF(Estimates!I55&lt;0.01,"***",IF(Estimates!I55&lt;0.05,"**",IF(Estimates!I55&lt;0.1,"*",""))))</f>
        <v>-1.146***</v>
      </c>
      <c r="F15" s="8" t="str">
        <f aca="false">IF(Estimates!I56="","",TEXT(Estimates!E56,"0.000")&amp;IF(Estimates!I56&lt;0.01,"***",IF(Estimates!I56&lt;0.05,"**",IF(Estimates!I56&lt;0.1,"*",""))))</f>
        <v>-0.012</v>
      </c>
      <c r="G15" s="8" t="str">
        <f aca="false">IF(Estimates!I57="","",TEXT(Estimates!E57,"0.000")&amp;IF(Estimates!I57&lt;0.01,"***",IF(Estimates!I57&lt;0.05,"**",IF(Estimates!I57&lt;0.1,"*",""))))</f>
        <v>-1.150***</v>
      </c>
    </row>
    <row r="16" customFormat="false" ht="15" hidden="false" customHeight="false" outlineLevel="0" collapsed="false">
      <c r="B16" s="8" t="str">
        <f aca="false">IF(Estimates!H52="","","("&amp;TEXT(Estimates!H52,"0.00")&amp;")")</f>
        <v>(-4.47)</v>
      </c>
      <c r="C16" s="8" t="str">
        <f aca="false">IF(Estimates!H53="","","("&amp;TEXT(Estimates!H53,"0.00")&amp;")")</f>
        <v>(-2.67)</v>
      </c>
      <c r="D16" s="8" t="str">
        <f aca="false">IF(Estimates!H54="","","("&amp;TEXT(Estimates!H54,"0.00")&amp;")")</f>
        <v>(-3.63)</v>
      </c>
      <c r="E16" s="8" t="str">
        <f aca="false">IF(Estimates!H55="","","("&amp;TEXT(Estimates!H55,"0.00")&amp;")")</f>
        <v>(-6.29)</v>
      </c>
      <c r="F16" s="8" t="str">
        <f aca="false">IF(Estimates!H56="","","("&amp;TEXT(Estimates!H56,"0.00")&amp;")")</f>
        <v>(-0.08)</v>
      </c>
      <c r="G16" s="8" t="str">
        <f aca="false">IF(Estimates!H57="","","("&amp;TEXT(Estimates!H57,"0.00")&amp;")")</f>
        <v>(-5.70)</v>
      </c>
    </row>
    <row r="17" customFormat="false" ht="15" hidden="false" customHeight="false" outlineLevel="0" collapsed="false">
      <c r="A17" s="14" t="s">
        <v>20</v>
      </c>
      <c r="B17" s="15" t="str">
        <f aca="false">IF(Estimates!I58="","",TEXT(Estimates!E58,"0.000")&amp;IF(Estimates!I58&lt;0.01,"***",IF(Estimates!I58&lt;0.05,"**",IF(Estimates!I58&lt;0.1,"*",""))))</f>
        <v>1.686***</v>
      </c>
      <c r="C17" s="15" t="str">
        <f aca="false">IF(Estimates!I59="","",TEXT(Estimates!E59,"0.000")&amp;IF(Estimates!I59&lt;0.01,"***",IF(Estimates!I59&lt;0.05,"**",IF(Estimates!I59&lt;0.1,"*",""))))</f>
        <v>0.893**</v>
      </c>
      <c r="D17" s="15" t="str">
        <f aca="false">IF(Estimates!I60="","",TEXT(Estimates!E60,"0.000")&amp;IF(Estimates!I60&lt;0.01,"***",IF(Estimates!I60&lt;0.05,"**",IF(Estimates!I60&lt;0.1,"*",""))))</f>
        <v>1.784***</v>
      </c>
      <c r="E17" s="15" t="str">
        <f aca="false">IF(Estimates!I61="","",TEXT(Estimates!E61,"0.000")&amp;IF(Estimates!I61&lt;0.01,"***",IF(Estimates!I61&lt;0.05,"**",IF(Estimates!I61&lt;0.1,"*",""))))</f>
        <v>0.535*</v>
      </c>
      <c r="F17" s="15" t="str">
        <f aca="false">IF(Estimates!I62="","",TEXT(Estimates!E62,"0.000")&amp;IF(Estimates!I62&lt;0.01,"***",IF(Estimates!I62&lt;0.05,"**",IF(Estimates!I62&lt;0.1,"*",""))))</f>
        <v>-0.701</v>
      </c>
      <c r="G17" s="15" t="str">
        <f aca="false">IF(Estimates!I63="","",TEXT(Estimates!E63,"0.000")&amp;IF(Estimates!I63&lt;0.01,"***",IF(Estimates!I63&lt;0.05,"**",IF(Estimates!I63&lt;0.1,"*",""))))</f>
        <v>0.555</v>
      </c>
    </row>
    <row r="18" customFormat="false" ht="15" hidden="false" customHeight="false" outlineLevel="0" collapsed="false">
      <c r="A18" s="16"/>
      <c r="B18" s="15" t="str">
        <f aca="false">IF(Estimates!H58="","","("&amp;TEXT(Estimates!H58,"0.00")&amp;")")</f>
        <v>(3.60)</v>
      </c>
      <c r="C18" s="15" t="str">
        <f aca="false">IF(Estimates!H59="","","("&amp;TEXT(Estimates!H59,"0.00")&amp;")")</f>
        <v>(2.21)</v>
      </c>
      <c r="D18" s="15" t="str">
        <f aca="false">IF(Estimates!H60="","","("&amp;TEXT(Estimates!H60,"0.00")&amp;")")</f>
        <v>(3.75)</v>
      </c>
      <c r="E18" s="15" t="str">
        <f aca="false">IF(Estimates!H61="","","("&amp;TEXT(Estimates!H61,"0.00")&amp;")")</f>
        <v>(2.09)</v>
      </c>
      <c r="F18" s="15" t="str">
        <f aca="false">IF(Estimates!H62="","","("&amp;TEXT(Estimates!H62,"0.00")&amp;")")</f>
        <v>(-1.69)</v>
      </c>
      <c r="G18" s="15" t="str">
        <f aca="false">IF(Estimates!H63="","","("&amp;TEXT(Estimates!H63,"0.00")&amp;")")</f>
        <v>(1.69)</v>
      </c>
    </row>
    <row r="19" customFormat="false" ht="15" hidden="false" customHeight="false" outlineLevel="0" collapsed="false">
      <c r="A19" s="14" t="s">
        <v>21</v>
      </c>
      <c r="B19" s="15" t="str">
        <f aca="false">IF(Estimates!I64="","",TEXT(Estimates!E64,"0.000")&amp;IF(Estimates!I64&lt;0.01,"***",IF(Estimates!I64&lt;0.05,"**",IF(Estimates!I64&lt;0.1,"*",""))))</f>
        <v>0.200</v>
      </c>
      <c r="C19" s="15" t="str">
        <f aca="false">IF(Estimates!I65="","",TEXT(Estimates!E65,"0.000")&amp;IF(Estimates!I65&lt;0.01,"***",IF(Estimates!I65&lt;0.05,"**",IF(Estimates!I65&lt;0.1,"*",""))))</f>
        <v>0.427</v>
      </c>
      <c r="D19" s="15" t="str">
        <f aca="false">IF(Estimates!I66="","",TEXT(Estimates!E66,"0.000")&amp;IF(Estimates!I66&lt;0.01,"***",IF(Estimates!I66&lt;0.05,"**",IF(Estimates!I66&lt;0.1,"*",""))))</f>
        <v>0.318</v>
      </c>
      <c r="E19" s="15" t="str">
        <f aca="false">IF(Estimates!I67="","",TEXT(Estimates!E67,"0.000")&amp;IF(Estimates!I67&lt;0.01,"***",IF(Estimates!I67&lt;0.05,"**",IF(Estimates!I67&lt;0.1,"*",""))))</f>
        <v>0.108</v>
      </c>
      <c r="F19" s="15" t="str">
        <f aca="false">IF(Estimates!I68="","",TEXT(Estimates!E68,"0.000")&amp;IF(Estimates!I68&lt;0.01,"***",IF(Estimates!I68&lt;0.05,"**",IF(Estimates!I68&lt;0.1,"*",""))))</f>
        <v>1.422**</v>
      </c>
      <c r="G19" s="15" t="str">
        <f aca="false">IF(Estimates!I69="","",TEXT(Estimates!E69,"0.000")&amp;IF(Estimates!I69&lt;0.01,"***",IF(Estimates!I69&lt;0.05,"**",IF(Estimates!I69&lt;0.1,"*",""))))</f>
        <v>0.004</v>
      </c>
    </row>
    <row r="20" customFormat="false" ht="15" hidden="false" customHeight="false" outlineLevel="0" collapsed="false">
      <c r="A20" s="16"/>
      <c r="B20" s="15" t="str">
        <f aca="false">IF(Estimates!H64="","","("&amp;TEXT(Estimates!H64,"0.00")&amp;")")</f>
        <v>(0.46)</v>
      </c>
      <c r="C20" s="15" t="str">
        <f aca="false">IF(Estimates!H65="","","("&amp;TEXT(Estimates!H65,"0.00")&amp;")")</f>
        <v>(0.93)</v>
      </c>
      <c r="D20" s="15" t="str">
        <f aca="false">IF(Estimates!H66="","","("&amp;TEXT(Estimates!H66,"0.00")&amp;")")</f>
        <v>(0.72)</v>
      </c>
      <c r="E20" s="15" t="str">
        <f aca="false">IF(Estimates!H67="","","("&amp;TEXT(Estimates!H67,"0.00")&amp;")")</f>
        <v>(0.40)</v>
      </c>
      <c r="F20" s="15" t="str">
        <f aca="false">IF(Estimates!H68="","","("&amp;TEXT(Estimates!H68,"0.00")&amp;")")</f>
        <v>(2.28)</v>
      </c>
      <c r="G20" s="15" t="str">
        <f aca="false">IF(Estimates!H69="","","("&amp;TEXT(Estimates!H69,"0.00")&amp;")")</f>
        <v>(0.01)</v>
      </c>
    </row>
    <row r="21" customFormat="false" ht="15" hidden="false" customHeight="false" outlineLevel="0" collapsed="false">
      <c r="A21" s="14" t="s">
        <v>22</v>
      </c>
      <c r="B21" s="15" t="str">
        <f aca="false">IF(Estimates!I70="","",TEXT(Estimates!E70,"0.000")&amp;IF(Estimates!I70&lt;0.01,"***",IF(Estimates!I70&lt;0.05,"**",IF(Estimates!I70&lt;0.1,"*",""))))</f>
        <v>0.250</v>
      </c>
      <c r="C21" s="15" t="str">
        <f aca="false">IF(Estimates!I71="","",TEXT(Estimates!E71,"0.000")&amp;IF(Estimates!I71&lt;0.01,"***",IF(Estimates!I71&lt;0.05,"**",IF(Estimates!I71&lt;0.1,"*",""))))</f>
        <v>-0.093</v>
      </c>
      <c r="D21" s="15" t="str">
        <f aca="false">IF(Estimates!I72="","",TEXT(Estimates!E72,"0.000")&amp;IF(Estimates!I72&lt;0.01,"***",IF(Estimates!I72&lt;0.05,"**",IF(Estimates!I72&lt;0.1,"*",""))))</f>
        <v>0.242</v>
      </c>
      <c r="E21" s="15" t="str">
        <f aca="false">IF(Estimates!I73="","",TEXT(Estimates!E73,"0.000")&amp;IF(Estimates!I73&lt;0.01,"***",IF(Estimates!I73&lt;0.05,"**",IF(Estimates!I73&lt;0.1,"*",""))))</f>
        <v>-0.006</v>
      </c>
      <c r="F21" s="15" t="str">
        <f aca="false">IF(Estimates!I74="","",TEXT(Estimates!E74,"0.000")&amp;IF(Estimates!I74&lt;0.01,"***",IF(Estimates!I74&lt;0.05,"**",IF(Estimates!I74&lt;0.1,"*",""))))</f>
        <v>0.117</v>
      </c>
      <c r="G21" s="15" t="str">
        <f aca="false">IF(Estimates!I75="","",TEXT(Estimates!E75,"0.000")&amp;IF(Estimates!I75&lt;0.01,"***",IF(Estimates!I75&lt;0.05,"**",IF(Estimates!I75&lt;0.1,"*",""))))</f>
        <v>-0.099</v>
      </c>
    </row>
    <row r="22" customFormat="false" ht="15" hidden="false" customHeight="false" outlineLevel="0" collapsed="false">
      <c r="A22" s="16"/>
      <c r="B22" s="15" t="str">
        <f aca="false">IF(Estimates!H70="","","("&amp;TEXT(Estimates!H70,"0.00")&amp;")")</f>
        <v>(1.22)</v>
      </c>
      <c r="C22" s="15" t="str">
        <f aca="false">IF(Estimates!H71="","","("&amp;TEXT(Estimates!H71,"0.00")&amp;")")</f>
        <v>(-0.32)</v>
      </c>
      <c r="D22" s="15" t="str">
        <f aca="false">IF(Estimates!H72="","","("&amp;TEXT(Estimates!H72,"0.00")&amp;")")</f>
        <v>(0.76)</v>
      </c>
      <c r="E22" s="15" t="str">
        <f aca="false">IF(Estimates!H73="","","("&amp;TEXT(Estimates!H73,"0.00")&amp;")")</f>
        <v>(-0.02)</v>
      </c>
      <c r="F22" s="15" t="str">
        <f aca="false">IF(Estimates!H74="","","("&amp;TEXT(Estimates!H74,"0.00")&amp;")")</f>
        <v>(0.35)</v>
      </c>
      <c r="G22" s="15" t="str">
        <f aca="false">IF(Estimates!H75="","","("&amp;TEXT(Estimates!H75,"0.00")&amp;")")</f>
        <v>(-0.23)</v>
      </c>
    </row>
    <row r="23" customFormat="false" ht="15" hidden="false" customHeight="false" outlineLevel="0" collapsed="false">
      <c r="A23" s="14" t="s">
        <v>23</v>
      </c>
      <c r="B23" s="15" t="str">
        <f aca="false">IF(Estimates!I76="","",TEXT(Estimates!E76,"0.000")&amp;IF(Estimates!I76&lt;0.01,"***",IF(Estimates!I76&lt;0.05,"**",IF(Estimates!I76&lt;0.1,"*",""))))</f>
        <v>0.274</v>
      </c>
      <c r="C23" s="15" t="str">
        <f aca="false">IF(Estimates!I77="","",TEXT(Estimates!E77,"0.000")&amp;IF(Estimates!I77&lt;0.01,"***",IF(Estimates!I77&lt;0.05,"**",IF(Estimates!I77&lt;0.1,"*",""))))</f>
        <v>0.066</v>
      </c>
      <c r="D23" s="15" t="str">
        <f aca="false">IF(Estimates!I78="","",TEXT(Estimates!E78,"0.000")&amp;IF(Estimates!I78&lt;0.01,"***",IF(Estimates!I78&lt;0.05,"**",IF(Estimates!I78&lt;0.1,"*",""))))</f>
        <v>0.570</v>
      </c>
      <c r="E23" s="15" t="str">
        <f aca="false">IF(Estimates!I79="","",TEXT(Estimates!E79,"0.000")&amp;IF(Estimates!I79&lt;0.01,"***",IF(Estimates!I79&lt;0.05,"**",IF(Estimates!I79&lt;0.1,"*",""))))</f>
        <v>-0.190</v>
      </c>
      <c r="F23" s="15" t="str">
        <f aca="false">IF(Estimates!I80="","",TEXT(Estimates!E80,"0.000")&amp;IF(Estimates!I80&lt;0.01,"***",IF(Estimates!I80&lt;0.05,"**",IF(Estimates!I80&lt;0.1,"*",""))))</f>
        <v>-0.213</v>
      </c>
      <c r="G23" s="15" t="str">
        <f aca="false">IF(Estimates!I81="","",TEXT(Estimates!E81,"0.000")&amp;IF(Estimates!I81&lt;0.01,"***",IF(Estimates!I81&lt;0.05,"**",IF(Estimates!I81&lt;0.1,"*",""))))</f>
        <v>-0.129</v>
      </c>
    </row>
    <row r="24" customFormat="false" ht="15" hidden="false" customHeight="false" outlineLevel="0" collapsed="false">
      <c r="A24" s="16"/>
      <c r="B24" s="15" t="str">
        <f aca="false">IF(Estimates!H76="","","("&amp;TEXT(Estimates!H76,"0.00")&amp;")")</f>
        <v>(0.93)</v>
      </c>
      <c r="C24" s="15" t="str">
        <f aca="false">IF(Estimates!H77="","","("&amp;TEXT(Estimates!H77,"0.00")&amp;")")</f>
        <v>(0.26)</v>
      </c>
      <c r="D24" s="15" t="str">
        <f aca="false">IF(Estimates!H78="","","("&amp;TEXT(Estimates!H78,"0.00")&amp;")")</f>
        <v>(1.61)</v>
      </c>
      <c r="E24" s="15" t="str">
        <f aca="false">IF(Estimates!H79="","","("&amp;TEXT(Estimates!H79,"0.00")&amp;")")</f>
        <v>(-0.64)</v>
      </c>
      <c r="F24" s="15" t="str">
        <f aca="false">IF(Estimates!H80="","","("&amp;TEXT(Estimates!H80,"0.00")&amp;")")</f>
        <v>(-0.53)</v>
      </c>
      <c r="G24" s="15" t="str">
        <f aca="false">IF(Estimates!H81="","","("&amp;TEXT(Estimates!H81,"0.00")&amp;")")</f>
        <v>(-0.28)</v>
      </c>
    </row>
    <row r="25" customFormat="false" ht="15" hidden="false" customHeight="false" outlineLevel="0" collapsed="false">
      <c r="A25" s="14" t="s">
        <v>24</v>
      </c>
      <c r="B25" s="15" t="str">
        <f aca="false">IF(Estimates!I82="","",TEXT(Estimates!E82,"0.000")&amp;IF(Estimates!I82&lt;0.01,"***",IF(Estimates!I82&lt;0.05,"**",IF(Estimates!I82&lt;0.1,"*",""))))</f>
        <v>0.800*</v>
      </c>
      <c r="C25" s="15" t="str">
        <f aca="false">IF(Estimates!I83="","",TEXT(Estimates!E83,"0.000")&amp;IF(Estimates!I83&lt;0.01,"***",IF(Estimates!I83&lt;0.05,"**",IF(Estimates!I83&lt;0.1,"*",""))))</f>
        <v>0.542</v>
      </c>
      <c r="D25" s="15" t="str">
        <f aca="false">IF(Estimates!I84="","",TEXT(Estimates!E84,"0.000")&amp;IF(Estimates!I84&lt;0.01,"***",IF(Estimates!I84&lt;0.05,"**",IF(Estimates!I84&lt;0.1,"*",""))))</f>
        <v>0.920*</v>
      </c>
      <c r="E25" s="15" t="str">
        <f aca="false">IF(Estimates!I85="","",TEXT(Estimates!E85,"0.000")&amp;IF(Estimates!I85&lt;0.01,"***",IF(Estimates!I85&lt;0.05,"**",IF(Estimates!I85&lt;0.1,"*",""))))</f>
        <v>-0.183</v>
      </c>
      <c r="F25" s="15" t="str">
        <f aca="false">IF(Estimates!I86="","",TEXT(Estimates!E86,"0.000")&amp;IF(Estimates!I86&lt;0.01,"***",IF(Estimates!I86&lt;0.05,"**",IF(Estimates!I86&lt;0.1,"*",""))))</f>
        <v>0.934*</v>
      </c>
      <c r="G25" s="15" t="str">
        <f aca="false">IF(Estimates!I87="","",TEXT(Estimates!E87,"0.000")&amp;IF(Estimates!I87&lt;0.01,"***",IF(Estimates!I87&lt;0.05,"**",IF(Estimates!I87&lt;0.1,"*",""))))</f>
        <v>-0.286</v>
      </c>
    </row>
    <row r="26" customFormat="false" ht="15" hidden="false" customHeight="false" outlineLevel="0" collapsed="false">
      <c r="A26" s="16"/>
      <c r="B26" s="15" t="str">
        <f aca="false">IF(Estimates!H82="","","("&amp;TEXT(Estimates!H82,"0.00")&amp;")")</f>
        <v>(2.02)</v>
      </c>
      <c r="C26" s="15" t="str">
        <f aca="false">IF(Estimates!H83="","","("&amp;TEXT(Estimates!H83,"0.00")&amp;")")</f>
        <v>(1.63)</v>
      </c>
      <c r="D26" s="15" t="str">
        <f aca="false">IF(Estimates!H84="","","("&amp;TEXT(Estimates!H84,"0.00")&amp;")")</f>
        <v>(1.89)</v>
      </c>
      <c r="E26" s="15" t="str">
        <f aca="false">IF(Estimates!H85="","","("&amp;TEXT(Estimates!H85,"0.00")&amp;")")</f>
        <v>(-0.75)</v>
      </c>
      <c r="F26" s="15" t="str">
        <f aca="false">IF(Estimates!H86="","","("&amp;TEXT(Estimates!H86,"0.00")&amp;")")</f>
        <v>(1.91)</v>
      </c>
      <c r="G26" s="15" t="str">
        <f aca="false">IF(Estimates!H87="","","("&amp;TEXT(Estimates!H87,"0.00")&amp;")")</f>
        <v>(-0.62)</v>
      </c>
    </row>
    <row r="27" customFormat="false" ht="15" hidden="false" customHeight="false" outlineLevel="0" collapsed="false">
      <c r="A27" s="7" t="s">
        <v>25</v>
      </c>
      <c r="B27" s="8" t="str">
        <f aca="false">IF(Estimates!I88="","",TEXT(Estimates!E88,"0.000")&amp;IF(Estimates!I88&lt;0.01,"***",IF(Estimates!I88&lt;0.05,"**",IF(Estimates!I88&lt;0.1,"*",""))))</f>
        <v>0.057</v>
      </c>
      <c r="C27" s="8" t="str">
        <f aca="false">IF(Estimates!I89="","",TEXT(Estimates!E89,"0.000")&amp;IF(Estimates!I89&lt;0.01,"***",IF(Estimates!I89&lt;0.05,"**",IF(Estimates!I89&lt;0.1,"*",""))))</f>
        <v>0.496</v>
      </c>
      <c r="D27" s="8" t="str">
        <f aca="false">IF(Estimates!I90="","",TEXT(Estimates!E90,"0.000")&amp;IF(Estimates!I90&lt;0.01,"***",IF(Estimates!I90&lt;0.05,"**",IF(Estimates!I90&lt;0.1,"*",""))))</f>
        <v>0.271</v>
      </c>
      <c r="E27" s="8" t="str">
        <f aca="false">IF(Estimates!I91="","",TEXT(Estimates!E91,"0.000")&amp;IF(Estimates!I91&lt;0.01,"***",IF(Estimates!I91&lt;0.05,"**",IF(Estimates!I91&lt;0.1,"*",""))))</f>
        <v>0.412*</v>
      </c>
      <c r="F27" s="8" t="str">
        <f aca="false">IF(Estimates!I92="","",TEXT(Estimates!E92,"0.000")&amp;IF(Estimates!I92&lt;0.01,"***",IF(Estimates!I92&lt;0.05,"**",IF(Estimates!I92&lt;0.1,"*",""))))</f>
        <v>1.125***</v>
      </c>
      <c r="G27" s="8" t="str">
        <f aca="false">IF(Estimates!I93="","",TEXT(Estimates!E93,"0.000")&amp;IF(Estimates!I93&lt;0.01,"***",IF(Estimates!I93&lt;0.05,"**",IF(Estimates!I93&lt;0.1,"*",""))))</f>
        <v>0.509</v>
      </c>
    </row>
    <row r="28" customFormat="false" ht="15" hidden="false" customHeight="false" outlineLevel="0" collapsed="false">
      <c r="B28" s="8" t="str">
        <f aca="false">IF(Estimates!H88="","","("&amp;TEXT(Estimates!H88,"0.00")&amp;")")</f>
        <v>(0.30)</v>
      </c>
      <c r="C28" s="8" t="str">
        <f aca="false">IF(Estimates!H89="","","("&amp;TEXT(Estimates!H89,"0.00")&amp;")")</f>
        <v>(1.66)</v>
      </c>
      <c r="D28" s="8" t="str">
        <f aca="false">IF(Estimates!H90="","","("&amp;TEXT(Estimates!H90,"0.00")&amp;")")</f>
        <v>(0.67)</v>
      </c>
      <c r="E28" s="8" t="str">
        <f aca="false">IF(Estimates!H91="","","("&amp;TEXT(Estimates!H91,"0.00")&amp;")")</f>
        <v>(1.85)</v>
      </c>
      <c r="F28" s="8" t="str">
        <f aca="false">IF(Estimates!H92="","","("&amp;TEXT(Estimates!H92,"0.00")&amp;")")</f>
        <v>(2.97)</v>
      </c>
      <c r="G28" s="8" t="str">
        <f aca="false">IF(Estimates!H93="","","("&amp;TEXT(Estimates!H93,"0.00")&amp;")")</f>
        <v>(1.33)</v>
      </c>
    </row>
    <row r="29" customFormat="false" ht="15" hidden="false" customHeight="false" outlineLevel="0" collapsed="false">
      <c r="A29" s="7" t="s">
        <v>26</v>
      </c>
      <c r="B29" s="8" t="str">
        <f aca="false">IF(Estimates!I94="","",TEXT(Estimates!E94,"0.000")&amp;IF(Estimates!I94&lt;0.01,"***",IF(Estimates!I94&lt;0.05,"**",IF(Estimates!I94&lt;0.1,"*",""))))</f>
        <v>0.025</v>
      </c>
      <c r="C29" s="8" t="str">
        <f aca="false">IF(Estimates!I95="","",TEXT(Estimates!E95,"0.000")&amp;IF(Estimates!I95&lt;0.01,"***",IF(Estimates!I95&lt;0.05,"**",IF(Estimates!I95&lt;0.1,"*",""))))</f>
        <v>0.580</v>
      </c>
      <c r="D29" s="8" t="str">
        <f aca="false">IF(Estimates!I96="","",TEXT(Estimates!E96,"0.000")&amp;IF(Estimates!I96&lt;0.01,"***",IF(Estimates!I96&lt;0.05,"**",IF(Estimates!I96&lt;0.1,"*",""))))</f>
        <v>0.361</v>
      </c>
      <c r="E29" s="8" t="str">
        <f aca="false">IF(Estimates!I97="","",TEXT(Estimates!E97,"0.000")&amp;IF(Estimates!I97&lt;0.01,"***",IF(Estimates!I97&lt;0.05,"**",IF(Estimates!I97&lt;0.1,"*",""))))</f>
        <v>-0.494***</v>
      </c>
      <c r="F29" s="8" t="str">
        <f aca="false">IF(Estimates!I98="","",TEXT(Estimates!E98,"0.000")&amp;IF(Estimates!I98&lt;0.01,"***",IF(Estimates!I98&lt;0.05,"**",IF(Estimates!I98&lt;0.1,"*",""))))</f>
        <v>0.498</v>
      </c>
      <c r="G29" s="8" t="str">
        <f aca="false">IF(Estimates!I99="","",TEXT(Estimates!E99,"0.000")&amp;IF(Estimates!I99&lt;0.01,"***",IF(Estimates!I99&lt;0.05,"**",IF(Estimates!I99&lt;0.1,"*",""))))</f>
        <v>-0.259</v>
      </c>
    </row>
    <row r="30" customFormat="false" ht="15" hidden="false" customHeight="false" outlineLevel="0" collapsed="false">
      <c r="B30" s="8" t="str">
        <f aca="false">IF(Estimates!H94="","","("&amp;TEXT(Estimates!H94,"0.00")&amp;")")</f>
        <v>(0.08)</v>
      </c>
      <c r="C30" s="8" t="str">
        <f aca="false">IF(Estimates!H95="","","("&amp;TEXT(Estimates!H95,"0.00")&amp;")")</f>
        <v>(1.57)</v>
      </c>
      <c r="D30" s="8" t="str">
        <f aca="false">IF(Estimates!H96="","","("&amp;TEXT(Estimates!H96,"0.00")&amp;")")</f>
        <v>(0.72)</v>
      </c>
      <c r="E30" s="8" t="str">
        <f aca="false">IF(Estimates!H97="","","("&amp;TEXT(Estimates!H97,"0.00")&amp;")")</f>
        <v>(-3.35)</v>
      </c>
      <c r="F30" s="8" t="str">
        <f aca="false">IF(Estimates!H98="","","("&amp;TEXT(Estimates!H98,"0.00")&amp;")")</f>
        <v>(1.53)</v>
      </c>
      <c r="G30" s="8" t="str">
        <f aca="false">IF(Estimates!H99="","","("&amp;TEXT(Estimates!H99,"0.00")&amp;")")</f>
        <v>(-1.10)</v>
      </c>
    </row>
    <row r="31" customFormat="false" ht="15" hidden="false" customHeight="false" outlineLevel="0" collapsed="false">
      <c r="A31" s="7" t="s">
        <v>27</v>
      </c>
      <c r="B31" s="8" t="str">
        <f aca="false">IF(Estimates!I100="","",TEXT(Estimates!E100,"0.000")&amp;IF(Estimates!I100&lt;0.01,"***",IF(Estimates!I100&lt;0.05,"**",IF(Estimates!I100&lt;0.1,"*",""))))</f>
        <v>-0.680***</v>
      </c>
      <c r="C31" s="8" t="str">
        <f aca="false">IF(Estimates!I101="","",TEXT(Estimates!E101,"0.000")&amp;IF(Estimates!I101&lt;0.01,"***",IF(Estimates!I101&lt;0.05,"**",IF(Estimates!I101&lt;0.1,"*",""))))</f>
        <v>0.533</v>
      </c>
      <c r="D31" s="8" t="str">
        <f aca="false">IF(Estimates!I102="","",TEXT(Estimates!E102,"0.000")&amp;IF(Estimates!I102&lt;0.01,"***",IF(Estimates!I102&lt;0.05,"**",IF(Estimates!I102&lt;0.1,"*",""))))</f>
        <v>-0.124</v>
      </c>
      <c r="E31" s="8" t="str">
        <f aca="false">IF(Estimates!I103="","",TEXT(Estimates!E103,"0.000")&amp;IF(Estimates!I103&lt;0.01,"***",IF(Estimates!I103&lt;0.05,"**",IF(Estimates!I103&lt;0.1,"*",""))))</f>
        <v>-0.364**</v>
      </c>
      <c r="F31" s="8" t="str">
        <f aca="false">IF(Estimates!I104="","",TEXT(Estimates!E104,"0.000")&amp;IF(Estimates!I104&lt;0.01,"***",IF(Estimates!I104&lt;0.05,"**",IF(Estimates!I104&lt;0.1,"*",""))))</f>
        <v>0.220</v>
      </c>
      <c r="G31" s="8" t="str">
        <f aca="false">IF(Estimates!I105="","",TEXT(Estimates!E105,"0.000")&amp;IF(Estimates!I105&lt;0.01,"***",IF(Estimates!I105&lt;0.05,"**",IF(Estimates!I105&lt;0.1,"*",""))))</f>
        <v>0.192</v>
      </c>
    </row>
    <row r="32" customFormat="false" ht="15" hidden="false" customHeight="false" outlineLevel="0" collapsed="false">
      <c r="B32" s="8" t="str">
        <f aca="false">IF(Estimates!H100="","","("&amp;TEXT(Estimates!H100,"0.00")&amp;")")</f>
        <v>(-3.48)</v>
      </c>
      <c r="C32" s="8" t="str">
        <f aca="false">IF(Estimates!H101="","","("&amp;TEXT(Estimates!H101,"0.00")&amp;")")</f>
        <v>(1.49)</v>
      </c>
      <c r="D32" s="8" t="str">
        <f aca="false">IF(Estimates!H102="","","("&amp;TEXT(Estimates!H102,"0.00")&amp;")")</f>
        <v>(-0.27)</v>
      </c>
      <c r="E32" s="8" t="str">
        <f aca="false">IF(Estimates!H103="","","("&amp;TEXT(Estimates!H103,"0.00")&amp;")")</f>
        <v>(-2.10)</v>
      </c>
      <c r="F32" s="8" t="str">
        <f aca="false">IF(Estimates!H104="","","("&amp;TEXT(Estimates!H104,"0.00")&amp;")")</f>
        <v>(0.47)</v>
      </c>
      <c r="G32" s="8" t="str">
        <f aca="false">IF(Estimates!H105="","","("&amp;TEXT(Estimates!H105,"0.00")&amp;")")</f>
        <v>(0.72)</v>
      </c>
    </row>
    <row r="33" customFormat="false" ht="15" hidden="false" customHeight="false" outlineLevel="0" collapsed="false">
      <c r="A33" s="7" t="s">
        <v>28</v>
      </c>
      <c r="B33" s="8" t="str">
        <f aca="false">IF(Estimates!I106="","",TEXT(Estimates!E106,"0.000")&amp;IF(Estimates!I106&lt;0.01,"***",IF(Estimates!I106&lt;0.05,"**",IF(Estimates!I106&lt;0.1,"*",""))))</f>
        <v>0.659**</v>
      </c>
      <c r="C33" s="8" t="str">
        <f aca="false">IF(Estimates!I107="","",TEXT(Estimates!E107,"0.000")&amp;IF(Estimates!I107&lt;0.01,"***",IF(Estimates!I107&lt;0.05,"**",IF(Estimates!I107&lt;0.1,"*",""))))</f>
        <v>1.455***</v>
      </c>
      <c r="D33" s="8" t="str">
        <f aca="false">IF(Estimates!I108="","",TEXT(Estimates!E108,"0.000")&amp;IF(Estimates!I108&lt;0.01,"***",IF(Estimates!I108&lt;0.05,"**",IF(Estimates!I108&lt;0.1,"*",""))))</f>
        <v>0.807*</v>
      </c>
      <c r="E33" s="8" t="str">
        <f aca="false">IF(Estimates!I109="","",TEXT(Estimates!E109,"0.000")&amp;IF(Estimates!I109&lt;0.01,"***",IF(Estimates!I109&lt;0.05,"**",IF(Estimates!I109&lt;0.1,"*",""))))</f>
        <v>-0.289</v>
      </c>
      <c r="F33" s="8" t="str">
        <f aca="false">IF(Estimates!I110="","",TEXT(Estimates!E110,"0.000")&amp;IF(Estimates!I110&lt;0.01,"***",IF(Estimates!I110&lt;0.05,"**",IF(Estimates!I110&lt;0.1,"*",""))))</f>
        <v>1.082</v>
      </c>
      <c r="G33" s="8" t="str">
        <f aca="false">IF(Estimates!I111="","",TEXT(Estimates!E111,"0.000")&amp;IF(Estimates!I111&lt;0.01,"***",IF(Estimates!I111&lt;0.05,"**",IF(Estimates!I111&lt;0.1,"*",""))))</f>
        <v>-0.266</v>
      </c>
    </row>
    <row r="34" customFormat="false" ht="15" hidden="false" customHeight="false" outlineLevel="0" collapsed="false">
      <c r="B34" s="8" t="str">
        <f aca="false">IF(Estimates!H106="","","("&amp;TEXT(Estimates!H106,"0.00")&amp;")")</f>
        <v>(2.60)</v>
      </c>
      <c r="C34" s="8" t="str">
        <f aca="false">IF(Estimates!H107="","","("&amp;TEXT(Estimates!H107,"0.00")&amp;")")</f>
        <v>(3.88)</v>
      </c>
      <c r="D34" s="8" t="str">
        <f aca="false">IF(Estimates!H108="","","("&amp;TEXT(Estimates!H108,"0.00")&amp;")")</f>
        <v>(1.79)</v>
      </c>
      <c r="E34" s="8" t="str">
        <f aca="false">IF(Estimates!H109="","","("&amp;TEXT(Estimates!H109,"0.00")&amp;")")</f>
        <v>(-1.03)</v>
      </c>
      <c r="F34" s="8" t="str">
        <f aca="false">IF(Estimates!H110="","","("&amp;TEXT(Estimates!H110,"0.00")&amp;")")</f>
        <v>(1.39)</v>
      </c>
      <c r="G34" s="8" t="str">
        <f aca="false">IF(Estimates!H111="","","("&amp;TEXT(Estimates!H111,"0.00")&amp;")")</f>
        <v>(-0.48)</v>
      </c>
    </row>
    <row r="35" customFormat="false" ht="15" hidden="false" customHeight="false" outlineLevel="0" collapsed="false">
      <c r="A35" s="7" t="s">
        <v>29</v>
      </c>
      <c r="B35" s="8" t="str">
        <f aca="false">IF(Estimates!I112="","",TEXT(Estimates!E112,"0.000")&amp;IF(Estimates!I112&lt;0.01,"***",IF(Estimates!I112&lt;0.05,"**",IF(Estimates!I112&lt;0.1,"*",""))))</f>
        <v>1.060**</v>
      </c>
      <c r="C35" s="8" t="str">
        <f aca="false">IF(Estimates!I113="","",TEXT(Estimates!E113,"0.000")&amp;IF(Estimates!I113&lt;0.01,"***",IF(Estimates!I113&lt;0.05,"**",IF(Estimates!I113&lt;0.1,"*",""))))</f>
        <v>1.803**</v>
      </c>
      <c r="D35" s="8" t="str">
        <f aca="false">IF(Estimates!I114="","",TEXT(Estimates!E114,"0.000")&amp;IF(Estimates!I114&lt;0.01,"***",IF(Estimates!I114&lt;0.05,"**",IF(Estimates!I114&lt;0.1,"*",""))))</f>
        <v>1.152*</v>
      </c>
      <c r="E35" s="8" t="str">
        <f aca="false">IF(Estimates!I115="","",TEXT(Estimates!E115,"0.000")&amp;IF(Estimates!I115&lt;0.01,"***",IF(Estimates!I115&lt;0.05,"**",IF(Estimates!I115&lt;0.1,"*",""))))</f>
        <v>0.647</v>
      </c>
      <c r="F35" s="8" t="str">
        <f aca="false">IF(Estimates!I116="","",TEXT(Estimates!E116,"0.000")&amp;IF(Estimates!I116&lt;0.01,"***",IF(Estimates!I116&lt;0.05,"**",IF(Estimates!I116&lt;0.1,"*",""))))</f>
        <v>1.270*</v>
      </c>
      <c r="G35" s="8" t="str">
        <f aca="false">IF(Estimates!I117="","",TEXT(Estimates!E117,"0.000")&amp;IF(Estimates!I117&lt;0.01,"***",IF(Estimates!I117&lt;0.05,"**",IF(Estimates!I117&lt;0.1,"*",""))))</f>
        <v>0.535</v>
      </c>
    </row>
    <row r="36" customFormat="false" ht="15" hidden="false" customHeight="false" outlineLevel="0" collapsed="false">
      <c r="B36" s="8" t="str">
        <f aca="false">IF(Estimates!H112="","","("&amp;TEXT(Estimates!H112,"0.00")&amp;")")</f>
        <v>(2.68)</v>
      </c>
      <c r="C36" s="8" t="str">
        <f aca="false">IF(Estimates!H113="","","("&amp;TEXT(Estimates!H113,"0.00")&amp;")")</f>
        <v>(2.87)</v>
      </c>
      <c r="D36" s="8" t="str">
        <f aca="false">IF(Estimates!H114="","","("&amp;TEXT(Estimates!H114,"0.00")&amp;")")</f>
        <v>(1.80)</v>
      </c>
      <c r="E36" s="8" t="str">
        <f aca="false">IF(Estimates!H115="","","("&amp;TEXT(Estimates!H115,"0.00")&amp;")")</f>
        <v>(1.42)</v>
      </c>
      <c r="F36" s="8" t="str">
        <f aca="false">IF(Estimates!H116="","","("&amp;TEXT(Estimates!H116,"0.00")&amp;")")</f>
        <v>(1.82)</v>
      </c>
      <c r="G36" s="8" t="str">
        <f aca="false">IF(Estimates!H117="","","("&amp;TEXT(Estimates!H117,"0.00")&amp;")")</f>
        <v>(0.79)</v>
      </c>
    </row>
    <row r="38" customFormat="false" ht="15" hidden="false" customHeight="false" outlineLevel="0" collapsed="false">
      <c r="A38" s="9" t="s">
        <v>30</v>
      </c>
      <c r="B38" s="10" t="str">
        <f aca="false">IF(Estimates!I118="","",TEXT(Estimates!E118,"0.000")&amp;IF(Estimates!I118&lt;0.01,"***",IF(Estimates!I118&lt;0.05,"**",IF(Estimates!I118&lt;0.1,"*",""))))</f>
        <v>0.642**</v>
      </c>
      <c r="C38" s="10" t="str">
        <f aca="false">IF(Estimates!I119="","",TEXT(Estimates!E119,"0.000")&amp;IF(Estimates!I119&lt;0.01,"***",IF(Estimates!I119&lt;0.05,"**",IF(Estimates!I119&lt;0.1,"*",""))))</f>
        <v>0.367</v>
      </c>
      <c r="D38" s="10" t="str">
        <f aca="false">IF(Estimates!I120="","",TEXT(Estimates!E120,"0.000")&amp;IF(Estimates!I120&lt;0.01,"***",IF(Estimates!I120&lt;0.05,"**",IF(Estimates!I120&lt;0.1,"*",""))))</f>
        <v>0.767**</v>
      </c>
      <c r="E38" s="10" t="str">
        <f aca="false">IF(Estimates!I121="","",TEXT(Estimates!E121,"0.000")&amp;IF(Estimates!I121&lt;0.01,"***",IF(Estimates!I121&lt;0.05,"**",IF(Estimates!I121&lt;0.1,"*",""))))</f>
        <v>0.053</v>
      </c>
      <c r="F38" s="10" t="str">
        <f aca="false">IF(Estimates!I122="","",TEXT(Estimates!E122,"0.000")&amp;IF(Estimates!I122&lt;0.01,"***",IF(Estimates!I122&lt;0.05,"**",IF(Estimates!I122&lt;0.1,"*",""))))</f>
        <v>0.312</v>
      </c>
      <c r="G38" s="10" t="str">
        <f aca="false">IF(Estimates!I123="","",TEXT(Estimates!E123,"0.000")&amp;IF(Estimates!I123&lt;0.01,"***",IF(Estimates!I123&lt;0.05,"**",IF(Estimates!I123&lt;0.1,"*",""))))</f>
        <v>0.009</v>
      </c>
    </row>
    <row r="39" customFormat="false" ht="15" hidden="false" customHeight="false" outlineLevel="0" collapsed="false">
      <c r="B39" s="10" t="str">
        <f aca="false">IF(Estimates!H118="","","("&amp;TEXT(Estimates!H118,"0.00")&amp;")")</f>
        <v>(2.21)</v>
      </c>
      <c r="C39" s="10" t="str">
        <f aca="false">IF(Estimates!H119="","","("&amp;TEXT(Estimates!H119,"0.00")&amp;")")</f>
        <v>(1.42)</v>
      </c>
      <c r="D39" s="10" t="str">
        <f aca="false">IF(Estimates!H120="","","("&amp;TEXT(Estimates!H120,"0.00")&amp;")")</f>
        <v>(2.23)</v>
      </c>
      <c r="E39" s="10" t="str">
        <f aca="false">IF(Estimates!H121="","","("&amp;TEXT(Estimates!H121,"0.00")&amp;")")</f>
        <v>(0.39)</v>
      </c>
      <c r="F39" s="10" t="str">
        <f aca="false">IF(Estimates!H122="","","("&amp;TEXT(Estimates!H122,"0.00")&amp;")")</f>
        <v>(0.91)</v>
      </c>
      <c r="G39" s="10" t="str">
        <f aca="false">IF(Estimates!H123="","","("&amp;TEXT(Estimates!H123,"0.00")&amp;")")</f>
        <v>(0.03)</v>
      </c>
    </row>
    <row r="40" customFormat="false" ht="15" hidden="false" customHeight="false" outlineLevel="0" collapsed="false">
      <c r="A40" s="9" t="s">
        <v>31</v>
      </c>
      <c r="B40" s="10" t="str">
        <f aca="false">IF(Estimates!I124="","",TEXT(Estimates!E124,"0.000")&amp;IF(Estimates!I124&lt;0.01,"***",IF(Estimates!I124&lt;0.05,"**",IF(Estimates!I124&lt;0.1,"*",""))))</f>
        <v>0.015</v>
      </c>
      <c r="C40" s="10" t="str">
        <f aca="false">IF(Estimates!I125="","",TEXT(Estimates!E125,"0.000")&amp;IF(Estimates!I125&lt;0.01,"***",IF(Estimates!I125&lt;0.05,"**",IF(Estimates!I125&lt;0.1,"*",""))))</f>
        <v>0.766**</v>
      </c>
      <c r="D40" s="10" t="str">
        <f aca="false">IF(Estimates!I126="","",TEXT(Estimates!E126,"0.000")&amp;IF(Estimates!I126&lt;0.01,"***",IF(Estimates!I126&lt;0.05,"**",IF(Estimates!I126&lt;0.1,"*",""))))</f>
        <v>0.329</v>
      </c>
      <c r="E40" s="10" t="str">
        <f aca="false">IF(Estimates!I127="","",TEXT(Estimates!E127,"0.000")&amp;IF(Estimates!I127&lt;0.01,"***",IF(Estimates!I127&lt;0.05,"**",IF(Estimates!I127&lt;0.1,"*",""))))</f>
        <v>-0.184</v>
      </c>
      <c r="F40" s="10" t="str">
        <f aca="false">IF(Estimates!I128="","",TEXT(Estimates!E128,"0.000")&amp;IF(Estimates!I128&lt;0.01,"***",IF(Estimates!I128&lt;0.05,"**",IF(Estimates!I128&lt;0.1,"*",""))))</f>
        <v>0.731</v>
      </c>
      <c r="G40" s="10" t="str">
        <f aca="false">IF(Estimates!I129="","",TEXT(Estimates!E129,"0.000")&amp;IF(Estimates!I129&lt;0.01,"***",IF(Estimates!I129&lt;0.05,"**",IF(Estimates!I129&lt;0.1,"*",""))))</f>
        <v>0.044</v>
      </c>
    </row>
    <row r="41" customFormat="false" ht="15" hidden="false" customHeight="false" outlineLevel="0" collapsed="false">
      <c r="B41" s="10" t="str">
        <f aca="false">IF(Estimates!H124="","","("&amp;TEXT(Estimates!H124,"0.00")&amp;")")</f>
        <v>(0.08)</v>
      </c>
      <c r="C41" s="10" t="str">
        <f aca="false">IF(Estimates!H125="","","("&amp;TEXT(Estimates!H125,"0.00")&amp;")")</f>
        <v>(2.54)</v>
      </c>
      <c r="D41" s="10" t="str">
        <f aca="false">IF(Estimates!H126="","","("&amp;TEXT(Estimates!H126,"0.00")&amp;")")</f>
        <v>(0.78)</v>
      </c>
      <c r="E41" s="10" t="str">
        <f aca="false">IF(Estimates!H127="","","("&amp;TEXT(Estimates!H127,"0.00")&amp;")")</f>
        <v>(-1.37)</v>
      </c>
      <c r="F41" s="10" t="str">
        <f aca="false">IF(Estimates!H128="","","("&amp;TEXT(Estimates!H128,"0.00")&amp;")")</f>
        <v>(1.59)</v>
      </c>
      <c r="G41" s="10" t="str">
        <f aca="false">IF(Estimates!H129="","","("&amp;TEXT(Estimates!H129,"0.00")&amp;")")</f>
        <v>(0.14)</v>
      </c>
    </row>
    <row r="42" customFormat="false" ht="15" hidden="false" customHeight="false" outlineLevel="0" collapsed="false">
      <c r="A42" s="9" t="s">
        <v>32</v>
      </c>
      <c r="B42" s="10" t="str">
        <f aca="false">IF(Estimates!I130="","",TEXT(Estimates!E130,"0.000")&amp;IF(Estimates!I130&lt;0.01,"***",IF(Estimates!I130&lt;0.05,"**",IF(Estimates!I130&lt;0.1,"*",""))))</f>
        <v>-0.627***</v>
      </c>
      <c r="C42" s="10" t="str">
        <f aca="false">IF(Estimates!I131="","",TEXT(Estimates!E131,"0.000")&amp;IF(Estimates!I131&lt;0.01,"***",IF(Estimates!I131&lt;0.05,"**",IF(Estimates!I131&lt;0.1,"*",""))))</f>
        <v>0.399</v>
      </c>
      <c r="D42" s="10" t="str">
        <f aca="false">IF(Estimates!I132="","",TEXT(Estimates!E132,"0.000")&amp;IF(Estimates!I132&lt;0.01,"***",IF(Estimates!I132&lt;0.05,"**",IF(Estimates!I132&lt;0.1,"*",""))))</f>
        <v>-0.438</v>
      </c>
      <c r="E42" s="10" t="str">
        <f aca="false">IF(Estimates!I133="","",TEXT(Estimates!E133,"0.000")&amp;IF(Estimates!I133&lt;0.01,"***",IF(Estimates!I133&lt;0.05,"**",IF(Estimates!I133&lt;0.1,"*",""))))</f>
        <v>-0.237*</v>
      </c>
      <c r="F42" s="10" t="str">
        <f aca="false">IF(Estimates!I134="","",TEXT(Estimates!E134,"0.000")&amp;IF(Estimates!I134&lt;0.01,"***",IF(Estimates!I134&lt;0.05,"**",IF(Estimates!I134&lt;0.1,"*",""))))</f>
        <v>0.419*</v>
      </c>
      <c r="G42" s="10" t="str">
        <f aca="false">IF(Estimates!I135="","",TEXT(Estimates!E135,"0.000")&amp;IF(Estimates!I135&lt;0.01,"***",IF(Estimates!I135&lt;0.05,"**",IF(Estimates!I135&lt;0.1,"*",""))))</f>
        <v>0.035</v>
      </c>
    </row>
    <row r="43" customFormat="false" ht="15" hidden="false" customHeight="false" outlineLevel="0" collapsed="false">
      <c r="B43" s="10" t="str">
        <f aca="false">IF(Estimates!H130="","","("&amp;TEXT(Estimates!H130,"0.00")&amp;")")</f>
        <v>(-3.69)</v>
      </c>
      <c r="C43" s="10" t="str">
        <f aca="false">IF(Estimates!H131="","","("&amp;TEXT(Estimates!H131,"0.00")&amp;")")</f>
        <v>(1.65)</v>
      </c>
      <c r="D43" s="10" t="str">
        <f aca="false">IF(Estimates!H132="","","("&amp;TEXT(Estimates!H132,"0.00")&amp;")")</f>
        <v>(-1.67)</v>
      </c>
      <c r="E43" s="10" t="str">
        <f aca="false">IF(Estimates!H133="","","("&amp;TEXT(Estimates!H133,"0.00")&amp;")")</f>
        <v>(-1.76)</v>
      </c>
      <c r="F43" s="10" t="str">
        <f aca="false">IF(Estimates!H134="","","("&amp;TEXT(Estimates!H134,"0.00")&amp;")")</f>
        <v>(1.82)</v>
      </c>
      <c r="G43" s="10" t="str">
        <f aca="false">IF(Estimates!H135="","","("&amp;TEXT(Estimates!H135,"0.00")&amp;")")</f>
        <v>(0.17)</v>
      </c>
    </row>
    <row r="45" customFormat="false" ht="15" hidden="false" customHeight="false" outlineLevel="0" collapsed="false">
      <c r="A45" s="7" t="s">
        <v>33</v>
      </c>
      <c r="B45" s="17" t="n">
        <v>0.000382472060655051</v>
      </c>
      <c r="C45" s="17" t="n">
        <v>0.000185451543812836</v>
      </c>
      <c r="D45" s="17" t="n">
        <v>0.00215802105363479</v>
      </c>
      <c r="E45" s="17" t="n">
        <v>8.49076528767185E-007</v>
      </c>
      <c r="F45" s="17" t="n">
        <v>0.00615582404097083</v>
      </c>
      <c r="G45" s="17" t="n">
        <v>0.000268108155910677</v>
      </c>
    </row>
    <row r="46" customFormat="false" ht="15" hidden="false" customHeight="false" outlineLevel="0" collapsed="false">
      <c r="A46" s="7" t="s">
        <v>34</v>
      </c>
      <c r="B46" s="17" t="n">
        <v>7.35853142036911E-006</v>
      </c>
      <c r="C46" s="17" t="n">
        <v>0.000961568796281954</v>
      </c>
      <c r="D46" s="17" t="n">
        <v>5.74051578074463E-006</v>
      </c>
      <c r="E46" s="17" t="n">
        <v>4.26466823019847E-005</v>
      </c>
      <c r="F46" s="17" t="n">
        <v>3.74387311231938E-005</v>
      </c>
      <c r="G46" s="17" t="n">
        <v>0.208778857106821</v>
      </c>
    </row>
    <row r="47" customFormat="false" ht="15" hidden="false" customHeight="false" outlineLevel="0" collapsed="false">
      <c r="A47" s="7" t="s">
        <v>35</v>
      </c>
      <c r="B47" s="17" t="n">
        <v>4.70489744004378E-005</v>
      </c>
      <c r="C47" s="17" t="n">
        <v>0.0100020556289029</v>
      </c>
      <c r="D47" s="17" t="n">
        <v>0.00247152501447077</v>
      </c>
      <c r="E47" s="17" t="n">
        <v>0.000272159117064147</v>
      </c>
      <c r="F47" s="17" t="n">
        <v>0.00222660932888771</v>
      </c>
      <c r="G47" s="17" t="n">
        <v>4.60617311706789E-005</v>
      </c>
    </row>
    <row r="48" customFormat="false" ht="15" hidden="false" customHeight="false" outlineLevel="0" collapsed="false">
      <c r="A48" s="12" t="s">
        <v>11</v>
      </c>
      <c r="B48" s="18" t="n">
        <v>1566</v>
      </c>
      <c r="C48" s="18" t="n">
        <v>1565</v>
      </c>
      <c r="D48" s="18" t="n">
        <v>1565</v>
      </c>
      <c r="E48" s="18" t="n">
        <v>1395</v>
      </c>
      <c r="F48" s="18" t="n">
        <v>1394</v>
      </c>
      <c r="G48" s="18" t="n">
        <v>1394</v>
      </c>
    </row>
  </sheetData>
  <mergeCells count="3">
    <mergeCell ref="A2:G2"/>
    <mergeCell ref="B4:D4"/>
    <mergeCell ref="E4:G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7" min="2" style="0" width="13"/>
  </cols>
  <sheetData>
    <row r="1" customFormat="false" ht="15" hidden="false" customHeight="false" outlineLevel="0" collapsed="false">
      <c r="A1" s="1" t="s">
        <v>36</v>
      </c>
    </row>
    <row r="2" customFormat="false" ht="139.5" hidden="false" customHeight="true" outlineLevel="0" collapsed="false">
      <c r="A2" s="2" t="s">
        <v>37</v>
      </c>
      <c r="B2" s="2"/>
      <c r="C2" s="2"/>
      <c r="D2" s="2"/>
      <c r="E2" s="2"/>
      <c r="F2" s="2"/>
      <c r="G2" s="2"/>
    </row>
    <row r="4" customFormat="false" ht="30" hidden="false" customHeight="true" outlineLevel="0" collapsed="false">
      <c r="A4" s="3"/>
      <c r="B4" s="4" t="s">
        <v>2</v>
      </c>
      <c r="C4" s="4"/>
      <c r="D4" s="4"/>
      <c r="E4" s="4" t="s">
        <v>3</v>
      </c>
      <c r="F4" s="4"/>
      <c r="G4" s="4"/>
    </row>
    <row r="5" customFormat="false" ht="30" hidden="false" customHeight="true" outlineLevel="0" collapsed="false">
      <c r="A5" s="5"/>
      <c r="B5" s="6" t="s">
        <v>4</v>
      </c>
      <c r="C5" s="6" t="s">
        <v>5</v>
      </c>
      <c r="D5" s="6" t="s">
        <v>6</v>
      </c>
      <c r="E5" s="6" t="s">
        <v>4</v>
      </c>
      <c r="F5" s="6" t="s">
        <v>5</v>
      </c>
      <c r="G5" s="6" t="s">
        <v>6</v>
      </c>
    </row>
    <row r="6" customFormat="false" ht="15" hidden="false" customHeight="false" outlineLevel="0" collapsed="false">
      <c r="A6" s="7" t="s">
        <v>38</v>
      </c>
      <c r="B6" s="8" t="str">
        <f aca="false">IF(Estimates!I136="","",TEXT(Estimates!E136,"0.000")&amp;IF(Estimates!I136&lt;0.01,"***",IF(Estimates!I136&lt;0.05,"**",IF(Estimates!I136&lt;0.1,"*",""))))</f>
        <v>-1.384***</v>
      </c>
      <c r="C6" s="8" t="str">
        <f aca="false">IF(Estimates!I137="","",TEXT(Estimates!E137,"0.000")&amp;IF(Estimates!I137&lt;0.01,"***",IF(Estimates!I137&lt;0.05,"**",IF(Estimates!I137&lt;0.1,"*",""))))</f>
        <v>-1.513***</v>
      </c>
      <c r="D6" s="8" t="str">
        <f aca="false">IF(Estimates!I138="","",TEXT(Estimates!E138,"0.000")&amp;IF(Estimates!I138&lt;0.01,"***",IF(Estimates!I138&lt;0.05,"**",IF(Estimates!I138&lt;0.1,"*",""))))</f>
        <v>-1.753***</v>
      </c>
      <c r="E6" s="8" t="str">
        <f aca="false">IF(Estimates!I139="","",TEXT(Estimates!E139,"0.000")&amp;IF(Estimates!I139&lt;0.01,"***",IF(Estimates!I139&lt;0.05,"**",IF(Estimates!I139&lt;0.1,"*",""))))</f>
        <v>-0.867*</v>
      </c>
      <c r="F6" s="8" t="str">
        <f aca="false">IF(Estimates!I140="","",TEXT(Estimates!E140,"0.000")&amp;IF(Estimates!I140&lt;0.01,"***",IF(Estimates!I140&lt;0.05,"**",IF(Estimates!I140&lt;0.1,"*",""))))</f>
        <v>-0.587*</v>
      </c>
      <c r="G6" s="8" t="str">
        <f aca="false">IF(Estimates!I141="","",TEXT(Estimates!E141,"0.000")&amp;IF(Estimates!I141&lt;0.01,"***",IF(Estimates!I141&lt;0.05,"**",IF(Estimates!I141&lt;0.1,"*",""))))</f>
        <v>-0.772</v>
      </c>
    </row>
    <row r="7" customFormat="false" ht="15" hidden="false" customHeight="false" outlineLevel="0" collapsed="false">
      <c r="B7" s="8" t="str">
        <f aca="false">IF(Estimates!H136="","","("&amp;TEXT(Estimates!H136,"0.00")&amp;")")</f>
        <v>(-3.40)</v>
      </c>
      <c r="C7" s="8" t="str">
        <f aca="false">IF(Estimates!H137="","","("&amp;TEXT(Estimates!H137,"0.00")&amp;")")</f>
        <v>(-3.63)</v>
      </c>
      <c r="D7" s="8" t="str">
        <f aca="false">IF(Estimates!H138="","","("&amp;TEXT(Estimates!H138,"0.00")&amp;")")</f>
        <v>(-3.45)</v>
      </c>
      <c r="E7" s="8" t="str">
        <f aca="false">IF(Estimates!H139="","","("&amp;TEXT(Estimates!H139,"0.00")&amp;")")</f>
        <v>(-1.90)</v>
      </c>
      <c r="F7" s="8" t="str">
        <f aca="false">IF(Estimates!H140="","","("&amp;TEXT(Estimates!H140,"0.00")&amp;")")</f>
        <v>(-2.02)</v>
      </c>
      <c r="G7" s="8" t="str">
        <f aca="false">IF(Estimates!H141="","","("&amp;TEXT(Estimates!H141,"0.00")&amp;")")</f>
        <v>(-1.63)</v>
      </c>
    </row>
    <row r="9" customFormat="false" ht="15" hidden="false" customHeight="false" outlineLevel="0" collapsed="false">
      <c r="A9" s="7" t="s">
        <v>39</v>
      </c>
      <c r="B9" s="8" t="str">
        <f aca="false">IF(Estimates!I142="","",TEXT(Estimates!E142,"0.000")&amp;IF(Estimates!I142&lt;0.01,"***",IF(Estimates!I142&lt;0.05,"**",IF(Estimates!I142&lt;0.1,"*",""))))</f>
        <v>0.949</v>
      </c>
      <c r="C9" s="8" t="str">
        <f aca="false">IF(Estimates!I143="","",TEXT(Estimates!E143,"0.000")&amp;IF(Estimates!I143&lt;0.01,"***",IF(Estimates!I143&lt;0.05,"**",IF(Estimates!I143&lt;0.1,"*",""))))</f>
        <v>1.458**</v>
      </c>
      <c r="D9" s="8" t="str">
        <f aca="false">IF(Estimates!I144="","",TEXT(Estimates!E144,"0.000")&amp;IF(Estimates!I144&lt;0.01,"***",IF(Estimates!I144&lt;0.05,"**",IF(Estimates!I144&lt;0.1,"*",""))))</f>
        <v>1.453*</v>
      </c>
      <c r="E9" s="8" t="str">
        <f aca="false">IF(Estimates!I145="","",TEXT(Estimates!E145,"0.000")&amp;IF(Estimates!I145&lt;0.01,"***",IF(Estimates!I145&lt;0.05,"**",IF(Estimates!I145&lt;0.1,"*",""))))</f>
        <v>-0.615</v>
      </c>
      <c r="F9" s="8" t="str">
        <f aca="false">IF(Estimates!I146="","",TEXT(Estimates!E146,"0.000")&amp;IF(Estimates!I146&lt;0.01,"***",IF(Estimates!I146&lt;0.05,"**",IF(Estimates!I146&lt;0.1,"*",""))))</f>
        <v>-0.188</v>
      </c>
      <c r="G9" s="8" t="str">
        <f aca="false">IF(Estimates!I147="","",TEXT(Estimates!E147,"0.000")&amp;IF(Estimates!I147&lt;0.01,"***",IF(Estimates!I147&lt;0.05,"**",IF(Estimates!I147&lt;0.1,"*",""))))</f>
        <v>-0.646</v>
      </c>
    </row>
    <row r="10" customFormat="false" ht="15" hidden="false" customHeight="false" outlineLevel="0" collapsed="false">
      <c r="B10" s="8" t="str">
        <f aca="false">IF(Estimates!H142="","","("&amp;TEXT(Estimates!H142,"0.00")&amp;")")</f>
        <v>(1.50)</v>
      </c>
      <c r="C10" s="8" t="str">
        <f aca="false">IF(Estimates!H143="","","("&amp;TEXT(Estimates!H143,"0.00")&amp;")")</f>
        <v>(2.14)</v>
      </c>
      <c r="D10" s="8" t="str">
        <f aca="false">IF(Estimates!H144="","","("&amp;TEXT(Estimates!H144,"0.00")&amp;")")</f>
        <v>(1.92)</v>
      </c>
      <c r="E10" s="8" t="str">
        <f aca="false">IF(Estimates!H145="","","("&amp;TEXT(Estimates!H145,"0.00")&amp;")")</f>
        <v>(-0.88)</v>
      </c>
      <c r="F10" s="8" t="str">
        <f aca="false">IF(Estimates!H146="","","("&amp;TEXT(Estimates!H146,"0.00")&amp;")")</f>
        <v>(-0.24)</v>
      </c>
      <c r="G10" s="8" t="str">
        <f aca="false">IF(Estimates!H147="","","("&amp;TEXT(Estimates!H147,"0.00")&amp;")")</f>
        <v>(-0.85)</v>
      </c>
    </row>
    <row r="11" customFormat="false" ht="15" hidden="false" customHeight="false" outlineLevel="0" collapsed="false">
      <c r="A11" s="7" t="s">
        <v>40</v>
      </c>
      <c r="B11" s="8" t="str">
        <f aca="false">IF(Estimates!I148="","",TEXT(Estimates!E148,"0.000")&amp;IF(Estimates!I148&lt;0.01,"***",IF(Estimates!I148&lt;0.05,"**",IF(Estimates!I148&lt;0.1,"*",""))))</f>
        <v>0.351</v>
      </c>
      <c r="C11" s="8" t="str">
        <f aca="false">IF(Estimates!I149="","",TEXT(Estimates!E149,"0.000")&amp;IF(Estimates!I149&lt;0.01,"***",IF(Estimates!I149&lt;0.05,"**",IF(Estimates!I149&lt;0.1,"*",""))))</f>
        <v>0.826</v>
      </c>
      <c r="D11" s="8" t="str">
        <f aca="false">IF(Estimates!I150="","",TEXT(Estimates!E150,"0.000")&amp;IF(Estimates!I150&lt;0.01,"***",IF(Estimates!I150&lt;0.05,"**",IF(Estimates!I150&lt;0.1,"*",""))))</f>
        <v>0.906</v>
      </c>
      <c r="E11" s="8" t="str">
        <f aca="false">IF(Estimates!I151="","",TEXT(Estimates!E151,"0.000")&amp;IF(Estimates!I151&lt;0.01,"***",IF(Estimates!I151&lt;0.05,"**",IF(Estimates!I151&lt;0.1,"*",""))))</f>
        <v>0.375</v>
      </c>
      <c r="F11" s="8" t="str">
        <f aca="false">IF(Estimates!I152="","",TEXT(Estimates!E152,"0.000")&amp;IF(Estimates!I152&lt;0.01,"***",IF(Estimates!I152&lt;0.05,"**",IF(Estimates!I152&lt;0.1,"*",""))))</f>
        <v>0.083</v>
      </c>
      <c r="G11" s="8" t="str">
        <f aca="false">IF(Estimates!I153="","",TEXT(Estimates!E153,"0.000")&amp;IF(Estimates!I153&lt;0.01,"***",IF(Estimates!I153&lt;0.05,"**",IF(Estimates!I153&lt;0.1,"*",""))))</f>
        <v>0.454</v>
      </c>
    </row>
    <row r="12" customFormat="false" ht="15" hidden="false" customHeight="false" outlineLevel="0" collapsed="false">
      <c r="B12" s="8" t="str">
        <f aca="false">IF(Estimates!H148="","","("&amp;TEXT(Estimates!H148,"0.00")&amp;")")</f>
        <v>(0.58)</v>
      </c>
      <c r="C12" s="8" t="str">
        <f aca="false">IF(Estimates!H149="","","("&amp;TEXT(Estimates!H149,"0.00")&amp;")")</f>
        <v>(1.72)</v>
      </c>
      <c r="D12" s="8" t="str">
        <f aca="false">IF(Estimates!H150="","","("&amp;TEXT(Estimates!H150,"0.00")&amp;")")</f>
        <v>(1.35)</v>
      </c>
      <c r="E12" s="8" t="str">
        <f aca="false">IF(Estimates!H151="","","("&amp;TEXT(Estimates!H151,"0.00")&amp;")")</f>
        <v>(0.61)</v>
      </c>
      <c r="F12" s="8" t="str">
        <f aca="false">IF(Estimates!H152="","","("&amp;TEXT(Estimates!H152,"0.00")&amp;")")</f>
        <v>(0.18)</v>
      </c>
      <c r="G12" s="8" t="str">
        <f aca="false">IF(Estimates!H153="","","("&amp;TEXT(Estimates!H153,"0.00")&amp;")")</f>
        <v>(0.73)</v>
      </c>
    </row>
    <row r="13" customFormat="false" ht="15" hidden="false" customHeight="false" outlineLevel="0" collapsed="false">
      <c r="A13" s="7" t="s">
        <v>41</v>
      </c>
      <c r="B13" s="8" t="str">
        <f aca="false">IF(Estimates!I154="","",TEXT(Estimates!E154,"0.000")&amp;IF(Estimates!I154&lt;0.01,"***",IF(Estimates!I154&lt;0.05,"**",IF(Estimates!I154&lt;0.1,"*",""))))</f>
        <v>0.075</v>
      </c>
      <c r="C13" s="8" t="str">
        <f aca="false">IF(Estimates!I155="","",TEXT(Estimates!E155,"0.000")&amp;IF(Estimates!I155&lt;0.01,"***",IF(Estimates!I155&lt;0.05,"**",IF(Estimates!I155&lt;0.1,"*",""))))</f>
        <v>0.471*</v>
      </c>
      <c r="D13" s="8" t="str">
        <f aca="false">IF(Estimates!I156="","",TEXT(Estimates!E156,"0.000")&amp;IF(Estimates!I156&lt;0.01,"***",IF(Estimates!I156&lt;0.05,"**",IF(Estimates!I156&lt;0.1,"*",""))))</f>
        <v>0.329</v>
      </c>
      <c r="E13" s="8" t="str">
        <f aca="false">IF(Estimates!I157="","",TEXT(Estimates!E157,"0.000")&amp;IF(Estimates!I157&lt;0.01,"***",IF(Estimates!I157&lt;0.05,"**",IF(Estimates!I157&lt;0.1,"*",""))))</f>
        <v>0.207</v>
      </c>
      <c r="F13" s="8" t="str">
        <f aca="false">IF(Estimates!I158="","",TEXT(Estimates!E158,"0.000")&amp;IF(Estimates!I158&lt;0.01,"***",IF(Estimates!I158&lt;0.05,"**",IF(Estimates!I158&lt;0.1,"*",""))))</f>
        <v>0.753***</v>
      </c>
      <c r="G13" s="8" t="str">
        <f aca="false">IF(Estimates!I159="","",TEXT(Estimates!E159,"0.000")&amp;IF(Estimates!I159&lt;0.01,"***",IF(Estimates!I159&lt;0.05,"**",IF(Estimates!I159&lt;0.1,"*",""))))</f>
        <v>0.280</v>
      </c>
    </row>
    <row r="14" customFormat="false" ht="15" hidden="false" customHeight="false" outlineLevel="0" collapsed="false">
      <c r="B14" s="8" t="str">
        <f aca="false">IF(Estimates!H154="","","("&amp;TEXT(Estimates!H154,"0.00")&amp;")")</f>
        <v>(0.13)</v>
      </c>
      <c r="C14" s="8" t="str">
        <f aca="false">IF(Estimates!H155="","","("&amp;TEXT(Estimates!H155,"0.00")&amp;")")</f>
        <v>(1.83)</v>
      </c>
      <c r="D14" s="8" t="str">
        <f aca="false">IF(Estimates!H156="","","("&amp;TEXT(Estimates!H156,"0.00")&amp;")")</f>
        <v>(0.64)</v>
      </c>
      <c r="E14" s="8" t="str">
        <f aca="false">IF(Estimates!H157="","","("&amp;TEXT(Estimates!H157,"0.00")&amp;")")</f>
        <v>(0.48)</v>
      </c>
      <c r="F14" s="8" t="str">
        <f aca="false">IF(Estimates!H158="","","("&amp;TEXT(Estimates!H158,"0.00")&amp;")")</f>
        <v>(3.31)</v>
      </c>
      <c r="G14" s="8" t="str">
        <f aca="false">IF(Estimates!H159="","","("&amp;TEXT(Estimates!H159,"0.00")&amp;")")</f>
        <v>(0.64)</v>
      </c>
    </row>
    <row r="15" customFormat="false" ht="15" hidden="false" customHeight="false" outlineLevel="0" collapsed="false">
      <c r="A15" s="14" t="s">
        <v>42</v>
      </c>
      <c r="B15" s="15" t="str">
        <f aca="false">IF(Estimates!I160="","",TEXT(Estimates!E160,"0.000")&amp;IF(Estimates!I160&lt;0.01,"***",IF(Estimates!I160&lt;0.05,"**",IF(Estimates!I160&lt;0.1,"*",""))))</f>
        <v>1.713**</v>
      </c>
      <c r="C15" s="15" t="str">
        <f aca="false">IF(Estimates!I161="","",TEXT(Estimates!E161,"0.000")&amp;IF(Estimates!I161&lt;0.01,"***",IF(Estimates!I161&lt;0.05,"**",IF(Estimates!I161&lt;0.1,"*",""))))</f>
        <v>1.131*</v>
      </c>
      <c r="D15" s="15" t="str">
        <f aca="false">IF(Estimates!I162="","",TEXT(Estimates!E162,"0.000")&amp;IF(Estimates!I162&lt;0.01,"***",IF(Estimates!I162&lt;0.05,"**",IF(Estimates!I162&lt;0.1,"*",""))))</f>
        <v>1.795**</v>
      </c>
      <c r="E15" s="15" t="str">
        <f aca="false">IF(Estimates!I163="","",TEXT(Estimates!E163,"0.000")&amp;IF(Estimates!I163&lt;0.01,"***",IF(Estimates!I163&lt;0.05,"**",IF(Estimates!I163&lt;0.1,"*",""))))</f>
        <v>0.966*</v>
      </c>
      <c r="F15" s="15" t="str">
        <f aca="false">IF(Estimates!I164="","",TEXT(Estimates!E164,"0.000")&amp;IF(Estimates!I164&lt;0.01,"***",IF(Estimates!I164&lt;0.05,"**",IF(Estimates!I164&lt;0.1,"*",""))))</f>
        <v>0.401</v>
      </c>
      <c r="G15" s="15" t="str">
        <f aca="false">IF(Estimates!I165="","",TEXT(Estimates!E165,"0.000")&amp;IF(Estimates!I165&lt;0.01,"***",IF(Estimates!I165&lt;0.05,"**",IF(Estimates!I165&lt;0.1,"*",""))))</f>
        <v>0.921</v>
      </c>
    </row>
    <row r="16" customFormat="false" ht="15" hidden="false" customHeight="false" outlineLevel="0" collapsed="false">
      <c r="A16" s="16"/>
      <c r="B16" s="15" t="str">
        <f aca="false">IF(Estimates!H160="","","("&amp;TEXT(Estimates!H160,"0.00")&amp;")")</f>
        <v>(2.18)</v>
      </c>
      <c r="C16" s="15" t="str">
        <f aca="false">IF(Estimates!H161="","","("&amp;TEXT(Estimates!H161,"0.00")&amp;")")</f>
        <v>(1.89)</v>
      </c>
      <c r="D16" s="15" t="str">
        <f aca="false">IF(Estimates!H162="","","("&amp;TEXT(Estimates!H162,"0.00")&amp;")")</f>
        <v>(2.18)</v>
      </c>
      <c r="E16" s="15" t="str">
        <f aca="false">IF(Estimates!H163="","","("&amp;TEXT(Estimates!H163,"0.00")&amp;")")</f>
        <v>(2.08)</v>
      </c>
      <c r="F16" s="15" t="str">
        <f aca="false">IF(Estimates!H164="","","("&amp;TEXT(Estimates!H164,"0.00")&amp;")")</f>
        <v>(0.87)</v>
      </c>
      <c r="G16" s="15" t="str">
        <f aca="false">IF(Estimates!H165="","","("&amp;TEXT(Estimates!H165,"0.00")&amp;")")</f>
        <v>(1.72)</v>
      </c>
    </row>
    <row r="17" customFormat="false" ht="15" hidden="false" customHeight="false" outlineLevel="0" collapsed="false">
      <c r="A17" s="14" t="s">
        <v>43</v>
      </c>
      <c r="B17" s="15" t="str">
        <f aca="false">IF(Estimates!I166="","",TEXT(Estimates!E166,"0.000")&amp;IF(Estimates!I166&lt;0.01,"***",IF(Estimates!I166&lt;0.05,"**",IF(Estimates!I166&lt;0.1,"*",""))))</f>
        <v>1.273***</v>
      </c>
      <c r="C17" s="15" t="str">
        <f aca="false">IF(Estimates!I167="","",TEXT(Estimates!E167,"0.000")&amp;IF(Estimates!I167&lt;0.01,"***",IF(Estimates!I167&lt;0.05,"**",IF(Estimates!I167&lt;0.1,"*",""))))</f>
        <v>0.628*</v>
      </c>
      <c r="D17" s="15" t="str">
        <f aca="false">IF(Estimates!I168="","",TEXT(Estimates!E168,"0.000")&amp;IF(Estimates!I168&lt;0.01,"***",IF(Estimates!I168&lt;0.05,"**",IF(Estimates!I168&lt;0.1,"*",""))))</f>
        <v>1.385***</v>
      </c>
      <c r="E17" s="15" t="str">
        <f aca="false">IF(Estimates!I169="","",TEXT(Estimates!E169,"0.000")&amp;IF(Estimates!I169&lt;0.01,"***",IF(Estimates!I169&lt;0.05,"**",IF(Estimates!I169&lt;0.1,"*",""))))</f>
        <v>0.545</v>
      </c>
      <c r="F17" s="15" t="str">
        <f aca="false">IF(Estimates!I170="","",TEXT(Estimates!E170,"0.000")&amp;IF(Estimates!I170&lt;0.01,"***",IF(Estimates!I170&lt;0.05,"**",IF(Estimates!I170&lt;0.1,"*",""))))</f>
        <v>0.136</v>
      </c>
      <c r="G17" s="15" t="str">
        <f aca="false">IF(Estimates!I171="","",TEXT(Estimates!E171,"0.000")&amp;IF(Estimates!I171&lt;0.01,"***",IF(Estimates!I171&lt;0.05,"**",IF(Estimates!I171&lt;0.1,"*",""))))</f>
        <v>0.518</v>
      </c>
    </row>
    <row r="18" customFormat="false" ht="15" hidden="false" customHeight="false" outlineLevel="0" collapsed="false">
      <c r="A18" s="16"/>
      <c r="B18" s="15" t="str">
        <f aca="false">IF(Estimates!H166="","","("&amp;TEXT(Estimates!H166,"0.00")&amp;")")</f>
        <v>(3.11)</v>
      </c>
      <c r="C18" s="15" t="str">
        <f aca="false">IF(Estimates!H167="","","("&amp;TEXT(Estimates!H167,"0.00")&amp;")")</f>
        <v>(1.89)</v>
      </c>
      <c r="D18" s="15" t="str">
        <f aca="false">IF(Estimates!H168="","","("&amp;TEXT(Estimates!H168,"0.00")&amp;")")</f>
        <v>(2.98)</v>
      </c>
      <c r="E18" s="15" t="str">
        <f aca="false">IF(Estimates!H169="","","("&amp;TEXT(Estimates!H169,"0.00")&amp;")")</f>
        <v>(1.19)</v>
      </c>
      <c r="F18" s="15" t="str">
        <f aca="false">IF(Estimates!H170="","","("&amp;TEXT(Estimates!H170,"0.00")&amp;")")</f>
        <v>(0.35)</v>
      </c>
      <c r="G18" s="15" t="str">
        <f aca="false">IF(Estimates!H171="","","("&amp;TEXT(Estimates!H171,"0.00")&amp;")")</f>
        <v>(0.92)</v>
      </c>
    </row>
    <row r="19" customFormat="false" ht="15" hidden="false" customHeight="false" outlineLevel="0" collapsed="false">
      <c r="A19" s="7" t="s">
        <v>44</v>
      </c>
      <c r="B19" s="8" t="str">
        <f aca="false">IF(Estimates!I172="","",TEXT(Estimates!E172,"0.000")&amp;IF(Estimates!I172&lt;0.01,"***",IF(Estimates!I172&lt;0.05,"**",IF(Estimates!I172&lt;0.1,"*",""))))</f>
        <v>0.894**</v>
      </c>
      <c r="C19" s="8" t="str">
        <f aca="false">IF(Estimates!I173="","",TEXT(Estimates!E173,"0.000")&amp;IF(Estimates!I173&lt;0.01,"***",IF(Estimates!I173&lt;0.05,"**",IF(Estimates!I173&lt;0.1,"*",""))))</f>
        <v>1.015***</v>
      </c>
      <c r="D19" s="8" t="str">
        <f aca="false">IF(Estimates!I174="","",TEXT(Estimates!E174,"0.000")&amp;IF(Estimates!I174&lt;0.01,"***",IF(Estimates!I174&lt;0.05,"**",IF(Estimates!I174&lt;0.1,"*",""))))</f>
        <v>1.158**</v>
      </c>
      <c r="E19" s="8" t="str">
        <f aca="false">IF(Estimates!I175="","",TEXT(Estimates!E175,"0.000")&amp;IF(Estimates!I175&lt;0.01,"***",IF(Estimates!I175&lt;0.05,"**",IF(Estimates!I175&lt;0.1,"*",""))))</f>
        <v>0.617</v>
      </c>
      <c r="F19" s="8" t="str">
        <f aca="false">IF(Estimates!I176="","",TEXT(Estimates!E176,"0.000")&amp;IF(Estimates!I176&lt;0.01,"***",IF(Estimates!I176&lt;0.05,"**",IF(Estimates!I176&lt;0.1,"*",""))))</f>
        <v>0.660*</v>
      </c>
      <c r="G19" s="8" t="str">
        <f aca="false">IF(Estimates!I177="","",TEXT(Estimates!E177,"0.000")&amp;IF(Estimates!I177&lt;0.01,"***",IF(Estimates!I177&lt;0.05,"**",IF(Estimates!I177&lt;0.1,"*",""))))</f>
        <v>0.817</v>
      </c>
    </row>
    <row r="20" customFormat="false" ht="15" hidden="false" customHeight="false" outlineLevel="0" collapsed="false">
      <c r="B20" s="8" t="str">
        <f aca="false">IF(Estimates!H172="","","("&amp;TEXT(Estimates!H172,"0.00")&amp;")")</f>
        <v>(2.24)</v>
      </c>
      <c r="C20" s="8" t="str">
        <f aca="false">IF(Estimates!H173="","","("&amp;TEXT(Estimates!H173,"0.00")&amp;")")</f>
        <v>(3.13)</v>
      </c>
      <c r="D20" s="8" t="str">
        <f aca="false">IF(Estimates!H174="","","("&amp;TEXT(Estimates!H174,"0.00")&amp;")")</f>
        <v>(2.23)</v>
      </c>
      <c r="E20" s="8" t="str">
        <f aca="false">IF(Estimates!H175="","","("&amp;TEXT(Estimates!H175,"0.00")&amp;")")</f>
        <v>(1.09)</v>
      </c>
      <c r="F20" s="8" t="str">
        <f aca="false">IF(Estimates!H176="","","("&amp;TEXT(Estimates!H176,"0.00")&amp;")")</f>
        <v>(1.80)</v>
      </c>
      <c r="G20" s="8" t="str">
        <f aca="false">IF(Estimates!H177="","","("&amp;TEXT(Estimates!H177,"0.00")&amp;")")</f>
        <v>(1.45)</v>
      </c>
    </row>
    <row r="21" customFormat="false" ht="15" hidden="false" customHeight="false" outlineLevel="0" collapsed="false">
      <c r="A21" s="7" t="s">
        <v>45</v>
      </c>
      <c r="B21" s="8" t="str">
        <f aca="false">IF(Estimates!I178="","",TEXT(Estimates!E178,"0.000")&amp;IF(Estimates!I178&lt;0.01,"***",IF(Estimates!I178&lt;0.05,"**",IF(Estimates!I178&lt;0.1,"*",""))))</f>
        <v>0.634</v>
      </c>
      <c r="C21" s="8" t="str">
        <f aca="false">IF(Estimates!I179="","",TEXT(Estimates!E179,"0.000")&amp;IF(Estimates!I179&lt;0.01,"***",IF(Estimates!I179&lt;0.05,"**",IF(Estimates!I179&lt;0.1,"*",""))))</f>
        <v>1.313**</v>
      </c>
      <c r="D21" s="8" t="str">
        <f aca="false">IF(Estimates!I180="","",TEXT(Estimates!E180,"0.000")&amp;IF(Estimates!I180&lt;0.01,"***",IF(Estimates!I180&lt;0.05,"**",IF(Estimates!I180&lt;0.1,"*",""))))</f>
        <v>1.053</v>
      </c>
      <c r="E21" s="8" t="str">
        <f aca="false">IF(Estimates!I181="","",TEXT(Estimates!E181,"0.000")&amp;IF(Estimates!I181&lt;0.01,"***",IF(Estimates!I181&lt;0.05,"**",IF(Estimates!I181&lt;0.1,"*",""))))</f>
        <v>0.334</v>
      </c>
      <c r="F21" s="8" t="str">
        <f aca="false">IF(Estimates!I182="","",TEXT(Estimates!E182,"0.000")&amp;IF(Estimates!I182&lt;0.01,"***",IF(Estimates!I182&lt;0.05,"**",IF(Estimates!I182&lt;0.1,"*",""))))</f>
        <v>0.303</v>
      </c>
      <c r="G21" s="8" t="str">
        <f aca="false">IF(Estimates!I183="","",TEXT(Estimates!E183,"0.000")&amp;IF(Estimates!I183&lt;0.01,"***",IF(Estimates!I183&lt;0.05,"**",IF(Estimates!I183&lt;0.1,"*",""))))</f>
        <v>0.758</v>
      </c>
    </row>
    <row r="22" customFormat="false" ht="15" hidden="false" customHeight="false" outlineLevel="0" collapsed="false">
      <c r="B22" s="8" t="str">
        <f aca="false">IF(Estimates!H178="","","("&amp;TEXT(Estimates!H178,"0.00")&amp;")")</f>
        <v>(1.11)</v>
      </c>
      <c r="C22" s="8" t="str">
        <f aca="false">IF(Estimates!H179="","","("&amp;TEXT(Estimates!H179,"0.00")&amp;")")</f>
        <v>(2.82)</v>
      </c>
      <c r="D22" s="8" t="str">
        <f aca="false">IF(Estimates!H180="","","("&amp;TEXT(Estimates!H180,"0.00")&amp;")")</f>
        <v>(1.69)</v>
      </c>
      <c r="E22" s="8" t="str">
        <f aca="false">IF(Estimates!H181="","","("&amp;TEXT(Estimates!H181,"0.00")&amp;")")</f>
        <v>(0.65)</v>
      </c>
      <c r="F22" s="8" t="str">
        <f aca="false">IF(Estimates!H182="","","("&amp;TEXT(Estimates!H182,"0.00")&amp;")")</f>
        <v>(0.68)</v>
      </c>
      <c r="G22" s="8" t="str">
        <f aca="false">IF(Estimates!H183="","","("&amp;TEXT(Estimates!H183,"0.00")&amp;")")</f>
        <v>(1.23)</v>
      </c>
    </row>
    <row r="23" customFormat="false" ht="15" hidden="false" customHeight="false" outlineLevel="0" collapsed="false">
      <c r="A23" s="7" t="s">
        <v>46</v>
      </c>
      <c r="B23" s="8" t="str">
        <f aca="false">IF(Estimates!I184="","",TEXT(Estimates!E184,"0.000")&amp;IF(Estimates!I184&lt;0.01,"***",IF(Estimates!I184&lt;0.05,"**",IF(Estimates!I184&lt;0.1,"*",""))))</f>
        <v>1.914***</v>
      </c>
      <c r="C23" s="8" t="str">
        <f aca="false">IF(Estimates!I185="","",TEXT(Estimates!E185,"0.000")&amp;IF(Estimates!I185&lt;0.01,"***",IF(Estimates!I185&lt;0.05,"**",IF(Estimates!I185&lt;0.1,"*",""))))</f>
        <v>2.231***</v>
      </c>
      <c r="D23" s="8" t="str">
        <f aca="false">IF(Estimates!I186="","",TEXT(Estimates!E186,"0.000")&amp;IF(Estimates!I186&lt;0.01,"***",IF(Estimates!I186&lt;0.05,"**",IF(Estimates!I186&lt;0.1,"*",""))))</f>
        <v>1.964**</v>
      </c>
      <c r="E23" s="8" t="str">
        <f aca="false">IF(Estimates!I187="","",TEXT(Estimates!E187,"0.000")&amp;IF(Estimates!I187&lt;0.01,"***",IF(Estimates!I187&lt;0.05,"**",IF(Estimates!I187&lt;0.1,"*",""))))</f>
        <v>1.323*</v>
      </c>
      <c r="F23" s="8" t="str">
        <f aca="false">IF(Estimates!I188="","",TEXT(Estimates!E188,"0.000")&amp;IF(Estimates!I188&lt;0.01,"***",IF(Estimates!I188&lt;0.05,"**",IF(Estimates!I188&lt;0.1,"*",""))))</f>
        <v>1.060*</v>
      </c>
      <c r="G23" s="8" t="str">
        <f aca="false">IF(Estimates!I189="","",TEXT(Estimates!E189,"0.000")&amp;IF(Estimates!I189&lt;0.01,"***",IF(Estimates!I189&lt;0.05,"**",IF(Estimates!I189&lt;0.1,"*",""))))</f>
        <v>1.270</v>
      </c>
    </row>
    <row r="24" customFormat="false" ht="15" hidden="false" customHeight="false" outlineLevel="0" collapsed="false">
      <c r="B24" s="8" t="str">
        <f aca="false">IF(Estimates!H184="","","("&amp;TEXT(Estimates!H184,"0.00")&amp;")")</f>
        <v>(3.45)</v>
      </c>
      <c r="C24" s="8" t="str">
        <f aca="false">IF(Estimates!H185="","","("&amp;TEXT(Estimates!H185,"0.00")&amp;")")</f>
        <v>(2.96)</v>
      </c>
      <c r="D24" s="8" t="str">
        <f aca="false">IF(Estimates!H186="","","("&amp;TEXT(Estimates!H186,"0.00")&amp;")")</f>
        <v>(2.27)</v>
      </c>
      <c r="E24" s="8" t="str">
        <f aca="false">IF(Estimates!H187="","","("&amp;TEXT(Estimates!H187,"0.00")&amp;")")</f>
        <v>(2.01)</v>
      </c>
      <c r="F24" s="8" t="str">
        <f aca="false">IF(Estimates!H188="","","("&amp;TEXT(Estimates!H188,"0.00")&amp;")")</f>
        <v>(1.82)</v>
      </c>
      <c r="G24" s="8" t="str">
        <f aca="false">IF(Estimates!H189="","","("&amp;TEXT(Estimates!H189,"0.00")&amp;")")</f>
        <v>(1.62)</v>
      </c>
    </row>
    <row r="26" customFormat="false" ht="15" hidden="false" customHeight="false" outlineLevel="0" collapsed="false">
      <c r="A26" s="7" t="s">
        <v>47</v>
      </c>
      <c r="B26" s="17" t="n">
        <v>0.41707932351862</v>
      </c>
      <c r="C26" s="17" t="n">
        <v>0.0621071798797671</v>
      </c>
      <c r="D26" s="17" t="n">
        <v>0.268007326811685</v>
      </c>
      <c r="E26" s="17" t="n">
        <v>0.723296161298852</v>
      </c>
      <c r="F26" s="17" t="n">
        <v>0.000569646446486664</v>
      </c>
      <c r="G26" s="17" t="n">
        <v>0.728802890011677</v>
      </c>
    </row>
    <row r="27" customFormat="false" ht="15" hidden="false" customHeight="false" outlineLevel="0" collapsed="false">
      <c r="A27" s="7" t="s">
        <v>48</v>
      </c>
      <c r="B27" s="17" t="n">
        <v>0.0189635249324855</v>
      </c>
      <c r="C27" s="17" t="n">
        <v>0.163954830094088</v>
      </c>
      <c r="D27" s="17" t="n">
        <v>0.0264461734046888</v>
      </c>
      <c r="E27" s="17" t="n">
        <v>0.0276675404923808</v>
      </c>
      <c r="F27" s="17" t="n">
        <v>0.679838477905453</v>
      </c>
      <c r="G27" s="17" t="n">
        <v>0.157063658479366</v>
      </c>
    </row>
    <row r="28" customFormat="false" ht="15" hidden="false" customHeight="false" outlineLevel="0" collapsed="false">
      <c r="A28" s="7" t="s">
        <v>49</v>
      </c>
      <c r="B28" s="17" t="n">
        <v>0.0117207610845929</v>
      </c>
      <c r="C28" s="17" t="n">
        <v>0.0162743537616375</v>
      </c>
      <c r="D28" s="17" t="n">
        <v>0.0675574360439653</v>
      </c>
      <c r="E28" s="17" t="n">
        <v>0.0426767195441935</v>
      </c>
      <c r="F28" s="17" t="n">
        <v>0.0660688204746455</v>
      </c>
      <c r="G28" s="17" t="n">
        <v>0.374089677958937</v>
      </c>
    </row>
    <row r="29" customFormat="false" ht="15" hidden="false" customHeight="false" outlineLevel="0" collapsed="false">
      <c r="A29" s="12" t="s">
        <v>11</v>
      </c>
      <c r="B29" s="18" t="n">
        <v>1566</v>
      </c>
      <c r="C29" s="18" t="n">
        <v>1565</v>
      </c>
      <c r="D29" s="18" t="n">
        <v>1565</v>
      </c>
      <c r="E29" s="18" t="n">
        <v>1395</v>
      </c>
      <c r="F29" s="18" t="n">
        <v>1394</v>
      </c>
      <c r="G29" s="18" t="n">
        <v>1394</v>
      </c>
    </row>
  </sheetData>
  <mergeCells count="3">
    <mergeCell ref="A2:G2"/>
    <mergeCell ref="B4:D4"/>
    <mergeCell ref="E4:G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5" min="2" style="0" width="15"/>
  </cols>
  <sheetData>
    <row r="1" customFormat="false" ht="15" hidden="false" customHeight="false" outlineLevel="0" collapsed="false">
      <c r="A1" s="1" t="s">
        <v>50</v>
      </c>
    </row>
    <row r="2" customFormat="false" ht="153.75" hidden="false" customHeight="true" outlineLevel="0" collapsed="false">
      <c r="A2" s="2" t="s">
        <v>51</v>
      </c>
      <c r="B2" s="2"/>
      <c r="C2" s="2"/>
      <c r="D2" s="2"/>
      <c r="E2" s="2"/>
    </row>
    <row r="4" customFormat="false" ht="30" hidden="false" customHeight="true" outlineLevel="0" collapsed="false">
      <c r="A4" s="3"/>
      <c r="B4" s="4" t="s">
        <v>2</v>
      </c>
      <c r="C4" s="4"/>
      <c r="D4" s="4" t="s">
        <v>3</v>
      </c>
      <c r="E4" s="4"/>
    </row>
    <row r="5" customFormat="false" ht="30" hidden="false" customHeight="true" outlineLevel="0" collapsed="false">
      <c r="A5" s="5"/>
      <c r="B5" s="6" t="s">
        <v>4</v>
      </c>
      <c r="C5" s="6" t="s">
        <v>6</v>
      </c>
      <c r="D5" s="6" t="s">
        <v>4</v>
      </c>
      <c r="E5" s="6" t="s">
        <v>6</v>
      </c>
    </row>
    <row r="6" customFormat="false" ht="15" hidden="false" customHeight="false" outlineLevel="0" collapsed="false">
      <c r="A6" s="19" t="s">
        <v>52</v>
      </c>
      <c r="B6" s="8" t="str">
        <f aca="false">IF(Estimates!I190="","",TEXT(Estimates!E190,"0.000")&amp;IF(Estimates!I190&lt;0.01,"***",IF(Estimates!I190&lt;0.05,"**",IF(Estimates!I190&lt;0.1,"*",""))))</f>
        <v>1.009**</v>
      </c>
      <c r="C6" s="8" t="str">
        <f aca="false">IF(Estimates!I191="","",TEXT(Estimates!E191,"0.000")&amp;IF(Estimates!I191&lt;0.01,"***",IF(Estimates!I191&lt;0.05,"**",IF(Estimates!I191&lt;0.1,"*",""))))</f>
        <v>0.908*</v>
      </c>
      <c r="D6" s="8" t="str">
        <f aca="false">IF(Estimates!I192="","",TEXT(Estimates!E192,"0.000")&amp;IF(Estimates!I192&lt;0.01,"***",IF(Estimates!I192&lt;0.05,"**",IF(Estimates!I192&lt;0.1,"*",""))))</f>
        <v>0.425**</v>
      </c>
      <c r="E6" s="8" t="str">
        <f aca="false">IF(Estimates!I193="","",TEXT(Estimates!E193,"0.000")&amp;IF(Estimates!I193&lt;0.01,"***",IF(Estimates!I193&lt;0.05,"**",IF(Estimates!I193&lt;0.1,"*",""))))</f>
        <v>0.315</v>
      </c>
    </row>
    <row r="7" customFormat="false" ht="15" hidden="false" customHeight="false" outlineLevel="0" collapsed="false">
      <c r="B7" s="8" t="str">
        <f aca="false">IF(Estimates!H190="","","("&amp;TEXT(Estimates!H190,"0.00")&amp;")")</f>
        <v>(2.72)</v>
      </c>
      <c r="C7" s="8" t="str">
        <f aca="false">IF(Estimates!H191="","","("&amp;TEXT(Estimates!H191,"0.00")&amp;")")</f>
        <v>(2.04)</v>
      </c>
      <c r="D7" s="8" t="str">
        <f aca="false">IF(Estimates!H192="","","("&amp;TEXT(Estimates!H192,"0.00")&amp;")")</f>
        <v>(2.69)</v>
      </c>
      <c r="E7" s="8" t="str">
        <f aca="false">IF(Estimates!H193="","","("&amp;TEXT(Estimates!H193,"0.00")&amp;")")</f>
        <v>(1.02)</v>
      </c>
    </row>
    <row r="8" customFormat="false" ht="15" hidden="false" customHeight="false" outlineLevel="0" collapsed="false">
      <c r="A8" s="19" t="s">
        <v>53</v>
      </c>
      <c r="B8" s="8" t="str">
        <f aca="false">IF(Estimates!I194="","",TEXT(Estimates!E194,"0.000")&amp;IF(Estimates!I194&lt;0.01,"***",IF(Estimates!I194&lt;0.05,"**",IF(Estimates!I194&lt;0.1,"*",""))))</f>
        <v>0.934**</v>
      </c>
      <c r="C8" s="8" t="str">
        <f aca="false">IF(Estimates!I195="","",TEXT(Estimates!E195,"0.000")&amp;IF(Estimates!I195&lt;0.01,"***",IF(Estimates!I195&lt;0.05,"**",IF(Estimates!I195&lt;0.1,"*",""))))</f>
        <v>0.813*</v>
      </c>
      <c r="D8" s="8" t="str">
        <f aca="false">IF(Estimates!I196="","",TEXT(Estimates!E196,"0.000")&amp;IF(Estimates!I196&lt;0.01,"***",IF(Estimates!I196&lt;0.05,"**",IF(Estimates!I196&lt;0.1,"*",""))))</f>
        <v>0.352**</v>
      </c>
      <c r="E8" s="8" t="str">
        <f aca="false">IF(Estimates!I197="","",TEXT(Estimates!E197,"0.000")&amp;IF(Estimates!I197&lt;0.01,"***",IF(Estimates!I197&lt;0.05,"**",IF(Estimates!I197&lt;0.1,"*",""))))</f>
        <v>0.211</v>
      </c>
    </row>
    <row r="9" customFormat="false" ht="15" hidden="false" customHeight="false" outlineLevel="0" collapsed="false">
      <c r="B9" s="8" t="str">
        <f aca="false">IF(Estimates!H194="","","("&amp;TEXT(Estimates!H194,"0.00")&amp;")")</f>
        <v>(2.58)</v>
      </c>
      <c r="C9" s="8" t="str">
        <f aca="false">IF(Estimates!H195="","","("&amp;TEXT(Estimates!H195,"0.00")&amp;")")</f>
        <v>(1.89)</v>
      </c>
      <c r="D9" s="8" t="str">
        <f aca="false">IF(Estimates!H196="","","("&amp;TEXT(Estimates!H196,"0.00")&amp;")")</f>
        <v>(2.36)</v>
      </c>
      <c r="E9" s="8" t="str">
        <f aca="false">IF(Estimates!H197="","","("&amp;TEXT(Estimates!H197,"0.00")&amp;")")</f>
        <v>(0.73)</v>
      </c>
    </row>
    <row r="10" customFormat="false" ht="15" hidden="false" customHeight="false" outlineLevel="0" collapsed="false">
      <c r="A10" s="19" t="s">
        <v>54</v>
      </c>
      <c r="B10" s="8" t="str">
        <f aca="false">IF(Estimates!I198="","",TEXT(Estimates!E198,"0.000")&amp;IF(Estimates!I198&lt;0.01,"***",IF(Estimates!I198&lt;0.05,"**",IF(Estimates!I198&lt;0.1,"*",""))))</f>
        <v>0.845**</v>
      </c>
      <c r="C10" s="8" t="str">
        <f aca="false">IF(Estimates!I199="","",TEXT(Estimates!E199,"0.000")&amp;IF(Estimates!I199&lt;0.01,"***",IF(Estimates!I199&lt;0.05,"**",IF(Estimates!I199&lt;0.1,"*",""))))</f>
        <v>0.679*</v>
      </c>
      <c r="D10" s="8" t="str">
        <f aca="false">IF(Estimates!I200="","",TEXT(Estimates!E200,"0.000")&amp;IF(Estimates!I200&lt;0.01,"***",IF(Estimates!I200&lt;0.05,"**",IF(Estimates!I200&lt;0.1,"*",""))))</f>
        <v>0.335**</v>
      </c>
      <c r="E10" s="8" t="str">
        <f aca="false">IF(Estimates!I201="","",TEXT(Estimates!E201,"0.000")&amp;IF(Estimates!I201&lt;0.01,"***",IF(Estimates!I201&lt;0.05,"**",IF(Estimates!I201&lt;0.1,"*",""))))</f>
        <v>0.123</v>
      </c>
    </row>
    <row r="11" customFormat="false" ht="15" hidden="false" customHeight="false" outlineLevel="0" collapsed="false">
      <c r="B11" s="8" t="str">
        <f aca="false">IF(Estimates!H198="","","("&amp;TEXT(Estimates!H198,"0.00")&amp;")")</f>
        <v>(2.87)</v>
      </c>
      <c r="C11" s="8" t="str">
        <f aca="false">IF(Estimates!H199="","","("&amp;TEXT(Estimates!H199,"0.00")&amp;")")</f>
        <v>(1.80)</v>
      </c>
      <c r="D11" s="8" t="str">
        <f aca="false">IF(Estimates!H200="","","("&amp;TEXT(Estimates!H200,"0.00")&amp;")")</f>
        <v>(2.54)</v>
      </c>
      <c r="E11" s="8" t="str">
        <f aca="false">IF(Estimates!H201="","","("&amp;TEXT(Estimates!H201,"0.00")&amp;")")</f>
        <v>(0.58)</v>
      </c>
    </row>
    <row r="12" customFormat="false" ht="15" hidden="false" customHeight="false" outlineLevel="0" collapsed="false">
      <c r="A12" s="19" t="s">
        <v>55</v>
      </c>
      <c r="B12" s="8" t="str">
        <f aca="false">IF(Estimates!I202="","",TEXT(Estimates!E202,"0.000")&amp;IF(Estimates!I202&lt;0.01,"***",IF(Estimates!I202&lt;0.05,"**",IF(Estimates!I202&lt;0.1,"*",""))))</f>
        <v>0.922**</v>
      </c>
      <c r="C12" s="8" t="str">
        <f aca="false">IF(Estimates!I203="","",TEXT(Estimates!E203,"0.000")&amp;IF(Estimates!I203&lt;0.01,"***",IF(Estimates!I203&lt;0.05,"**",IF(Estimates!I203&lt;0.1,"*",""))))</f>
        <v>0.784*</v>
      </c>
      <c r="D12" s="8" t="str">
        <f aca="false">IF(Estimates!I204="","",TEXT(Estimates!E204,"0.000")&amp;IF(Estimates!I204&lt;0.01,"***",IF(Estimates!I204&lt;0.05,"**",IF(Estimates!I204&lt;0.1,"*",""))))</f>
        <v>0.365*</v>
      </c>
      <c r="E12" s="8" t="str">
        <f aca="false">IF(Estimates!I205="","",TEXT(Estimates!E205,"0.000")&amp;IF(Estimates!I205&lt;0.01,"***",IF(Estimates!I205&lt;0.05,"**",IF(Estimates!I205&lt;0.1,"*",""))))</f>
        <v>0.214</v>
      </c>
    </row>
    <row r="13" customFormat="false" ht="15" hidden="false" customHeight="false" outlineLevel="0" collapsed="false">
      <c r="B13" s="8" t="str">
        <f aca="false">IF(Estimates!H202="","","("&amp;TEXT(Estimates!H202,"0.00")&amp;")")</f>
        <v>(2.31)</v>
      </c>
      <c r="C13" s="8" t="str">
        <f aca="false">IF(Estimates!H203="","","("&amp;TEXT(Estimates!H203,"0.00")&amp;")")</f>
        <v>(1.74)</v>
      </c>
      <c r="D13" s="8" t="str">
        <f aca="false">IF(Estimates!H204="","","("&amp;TEXT(Estimates!H204,"0.00")&amp;")")</f>
        <v>(1.97)</v>
      </c>
      <c r="E13" s="8" t="str">
        <f aca="false">IF(Estimates!H205="","","("&amp;TEXT(Estimates!H205,"0.00")&amp;")")</f>
        <v>(0.64)</v>
      </c>
    </row>
    <row r="14" customFormat="false" ht="15" hidden="false" customHeight="false" outlineLevel="0" collapsed="false">
      <c r="A14" s="19" t="s">
        <v>56</v>
      </c>
      <c r="B14" s="8" t="str">
        <f aca="false">IF(Estimates!I206="","",TEXT(Estimates!E206,"0.000")&amp;IF(Estimates!I206&lt;0.01,"***",IF(Estimates!I206&lt;0.05,"**",IF(Estimates!I206&lt;0.1,"*",""))))</f>
        <v>0.567*</v>
      </c>
      <c r="C14" s="8" t="str">
        <f aca="false">IF(Estimates!I207="","",TEXT(Estimates!E207,"0.000")&amp;IF(Estimates!I207&lt;0.01,"***",IF(Estimates!I207&lt;0.05,"**",IF(Estimates!I207&lt;0.1,"*",""))))</f>
        <v>0.399</v>
      </c>
      <c r="D14" s="8" t="str">
        <f aca="false">IF(Estimates!I208="","",TEXT(Estimates!E208,"0.000")&amp;IF(Estimates!I208&lt;0.01,"***",IF(Estimates!I208&lt;0.05,"**",IF(Estimates!I208&lt;0.1,"*",""))))</f>
        <v>0.157</v>
      </c>
      <c r="E14" s="8" t="str">
        <f aca="false">IF(Estimates!I209="","",TEXT(Estimates!E209,"0.000")&amp;IF(Estimates!I209&lt;0.01,"***",IF(Estimates!I209&lt;0.05,"**",IF(Estimates!I209&lt;0.1,"*",""))))</f>
        <v>-0.182</v>
      </c>
    </row>
    <row r="15" customFormat="false" ht="15" hidden="false" customHeight="false" outlineLevel="0" collapsed="false">
      <c r="B15" s="8" t="str">
        <f aca="false">IF(Estimates!H206="","","("&amp;TEXT(Estimates!H206,"0.00")&amp;")")</f>
        <v>(1.79)</v>
      </c>
      <c r="C15" s="8" t="str">
        <f aca="false">IF(Estimates!H207="","","("&amp;TEXT(Estimates!H207,"0.00")&amp;")")</f>
        <v>(0.88)</v>
      </c>
      <c r="D15" s="8" t="str">
        <f aca="false">IF(Estimates!H208="","","("&amp;TEXT(Estimates!H208,"0.00")&amp;")")</f>
        <v>(0.60)</v>
      </c>
      <c r="E15" s="8" t="str">
        <f aca="false">IF(Estimates!H209="","","("&amp;TEXT(Estimates!H209,"0.00")&amp;")")</f>
        <v>(-0.49)</v>
      </c>
    </row>
    <row r="16" customFormat="false" ht="15" hidden="false" customHeight="false" outlineLevel="0" collapsed="false">
      <c r="A16" s="12" t="s">
        <v>11</v>
      </c>
      <c r="B16" s="18" t="n">
        <v>1566</v>
      </c>
      <c r="C16" s="18" t="n">
        <v>1565</v>
      </c>
      <c r="D16" s="18" t="n">
        <v>1395</v>
      </c>
      <c r="E16" s="18" t="n">
        <v>1394</v>
      </c>
    </row>
  </sheetData>
  <mergeCells count="3">
    <mergeCell ref="A2:E2"/>
    <mergeCell ref="B4:C4"/>
    <mergeCell ref="D4:E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5"/>
  </cols>
  <sheetData>
    <row r="1" customFormat="false" ht="15" hidden="false" customHeight="false" outlineLevel="0" collapsed="false">
      <c r="A1" s="1" t="s">
        <v>57</v>
      </c>
    </row>
    <row r="2" customFormat="false" ht="168" hidden="false" customHeight="true" outlineLevel="0" collapsed="false">
      <c r="A2" s="2" t="s">
        <v>58</v>
      </c>
      <c r="B2" s="2"/>
      <c r="C2" s="2"/>
      <c r="D2" s="2"/>
      <c r="E2" s="2"/>
    </row>
    <row r="4" customFormat="false" ht="30" hidden="false" customHeight="true" outlineLevel="0" collapsed="false">
      <c r="A4" s="3"/>
      <c r="B4" s="4" t="s">
        <v>2</v>
      </c>
      <c r="C4" s="4"/>
      <c r="D4" s="4" t="s">
        <v>3</v>
      </c>
      <c r="E4" s="4"/>
    </row>
    <row r="5" customFormat="false" ht="30" hidden="false" customHeight="true" outlineLevel="0" collapsed="false">
      <c r="A5" s="5"/>
      <c r="B5" s="6" t="s">
        <v>4</v>
      </c>
      <c r="C5" s="6" t="s">
        <v>6</v>
      </c>
      <c r="D5" s="6" t="s">
        <v>4</v>
      </c>
      <c r="E5" s="6" t="s">
        <v>6</v>
      </c>
    </row>
    <row r="6" customFormat="false" ht="15" hidden="false" customHeight="false" outlineLevel="0" collapsed="false">
      <c r="A6" s="1" t="s">
        <v>59</v>
      </c>
    </row>
    <row r="7" customFormat="false" ht="15" hidden="false" customHeight="false" outlineLevel="0" collapsed="false">
      <c r="A7" s="7" t="s">
        <v>60</v>
      </c>
      <c r="B7" s="8" t="str">
        <f aca="false">IF(Estimates!I210="","",TEXT(Estimates!E210,"0.000")&amp;IF(Estimates!I210&lt;0.01,"***",IF(Estimates!I210&lt;0.05,"**",IF(Estimates!I210&lt;0.1,"*",""))))</f>
        <v>-0.710**</v>
      </c>
      <c r="C7" s="8" t="str">
        <f aca="false">IF(Estimates!I211="","",TEXT(Estimates!E211,"0.000")&amp;IF(Estimates!I211&lt;0.01,"***",IF(Estimates!I211&lt;0.05,"**",IF(Estimates!I211&lt;0.1,"*",""))))</f>
        <v>-0.444</v>
      </c>
      <c r="D7" s="8" t="str">
        <f aca="false">IF(Estimates!I212="","",TEXT(Estimates!E212,"0.000")&amp;IF(Estimates!I212&lt;0.01,"***",IF(Estimates!I212&lt;0.05,"**",IF(Estimates!I212&lt;0.1,"*",""))))</f>
        <v>-0.420***</v>
      </c>
      <c r="E7" s="8" t="str">
        <f aca="false">IF(Estimates!I213="","",TEXT(Estimates!E213,"0.000")&amp;IF(Estimates!I213&lt;0.01,"***",IF(Estimates!I213&lt;0.05,"**",IF(Estimates!I213&lt;0.1,"*",""))))</f>
        <v>-0.372</v>
      </c>
    </row>
    <row r="8" customFormat="false" ht="15" hidden="false" customHeight="false" outlineLevel="0" collapsed="false">
      <c r="B8" s="8" t="str">
        <f aca="false">IF(Estimates!H210="","","("&amp;TEXT(Estimates!H210,"0.00")&amp;")")</f>
        <v>(-2.12)</v>
      </c>
      <c r="C8" s="8" t="str">
        <f aca="false">IF(Estimates!H211="","","("&amp;TEXT(Estimates!H211,"0.00")&amp;")")</f>
        <v>(-1.08)</v>
      </c>
      <c r="D8" s="8" t="str">
        <f aca="false">IF(Estimates!H212="","","("&amp;TEXT(Estimates!H212,"0.00")&amp;")")</f>
        <v>(-2.88)</v>
      </c>
      <c r="E8" s="8" t="str">
        <f aca="false">IF(Estimates!H213="","","("&amp;TEXT(Estimates!H213,"0.00")&amp;")")</f>
        <v>(-1.43)</v>
      </c>
    </row>
    <row r="9" customFormat="false" ht="15" hidden="false" customHeight="false" outlineLevel="0" collapsed="false">
      <c r="A9" s="7" t="s">
        <v>61</v>
      </c>
      <c r="B9" s="8" t="str">
        <f aca="false">IF(Estimates!I214="","",TEXT(Estimates!E214,"0.000")&amp;IF(Estimates!I214&lt;0.01,"***",IF(Estimates!I214&lt;0.05,"**",IF(Estimates!I214&lt;0.1,"*",""))))</f>
        <v>-1.245***</v>
      </c>
      <c r="C9" s="8" t="str">
        <f aca="false">IF(Estimates!I215="","",TEXT(Estimates!E215,"0.000")&amp;IF(Estimates!I215&lt;0.01,"***",IF(Estimates!I215&lt;0.05,"**",IF(Estimates!I215&lt;0.1,"*",""))))</f>
        <v>-1.180**</v>
      </c>
      <c r="D9" s="8" t="str">
        <f aca="false">IF(Estimates!I216="","",TEXT(Estimates!E216,"0.000")&amp;IF(Estimates!I216&lt;0.01,"***",IF(Estimates!I216&lt;0.05,"**",IF(Estimates!I216&lt;0.1,"*",""))))</f>
        <v>-0.556</v>
      </c>
      <c r="E9" s="8" t="str">
        <f aca="false">IF(Estimates!I217="","",TEXT(Estimates!E217,"0.000")&amp;IF(Estimates!I217&lt;0.01,"***",IF(Estimates!I217&lt;0.05,"**",IF(Estimates!I217&lt;0.1,"*",""))))</f>
        <v>-0.532</v>
      </c>
    </row>
    <row r="10" customFormat="false" ht="15" hidden="false" customHeight="false" outlineLevel="0" collapsed="false">
      <c r="B10" s="8" t="str">
        <f aca="false">IF(Estimates!H214="","","("&amp;TEXT(Estimates!H214,"0.00")&amp;")")</f>
        <v>(-3.07)</v>
      </c>
      <c r="C10" s="8" t="str">
        <f aca="false">IF(Estimates!H215="","","("&amp;TEXT(Estimates!H215,"0.00")&amp;")")</f>
        <v>(-2.45)</v>
      </c>
      <c r="D10" s="8" t="str">
        <f aca="false">IF(Estimates!H216="","","("&amp;TEXT(Estimates!H216,"0.00")&amp;")")</f>
        <v>(-1.61)</v>
      </c>
      <c r="E10" s="8" t="str">
        <f aca="false">IF(Estimates!H217="","","("&amp;TEXT(Estimates!H217,"0.00")&amp;")")</f>
        <v>(-1.25)</v>
      </c>
    </row>
    <row r="11" customFormat="false" ht="15" hidden="false" customHeight="false" outlineLevel="0" collapsed="false">
      <c r="A11" s="7" t="s">
        <v>62</v>
      </c>
      <c r="B11" s="8" t="str">
        <f aca="false">IF(Estimates!I218="","",TEXT(Estimates!E218,"0.000")&amp;IF(Estimates!I218&lt;0.01,"***",IF(Estimates!I218&lt;0.05,"**",IF(Estimates!I218&lt;0.1,"*",""))))</f>
        <v>-1.251***</v>
      </c>
      <c r="C11" s="8" t="str">
        <f aca="false">IF(Estimates!I219="","",TEXT(Estimates!E219,"0.000")&amp;IF(Estimates!I219&lt;0.01,"***",IF(Estimates!I219&lt;0.05,"**",IF(Estimates!I219&lt;0.1,"*",""))))</f>
        <v>-1.334**</v>
      </c>
      <c r="D11" s="8" t="str">
        <f aca="false">IF(Estimates!I220="","",TEXT(Estimates!E220,"0.000")&amp;IF(Estimates!I220&lt;0.01,"***",IF(Estimates!I220&lt;0.05,"**",IF(Estimates!I220&lt;0.1,"*",""))))</f>
        <v>-0.443</v>
      </c>
      <c r="E11" s="8" t="str">
        <f aca="false">IF(Estimates!I221="","",TEXT(Estimates!E221,"0.000")&amp;IF(Estimates!I221&lt;0.01,"***",IF(Estimates!I221&lt;0.05,"**",IF(Estimates!I221&lt;0.1,"*",""))))</f>
        <v>-0.475</v>
      </c>
    </row>
    <row r="12" customFormat="false" ht="15" hidden="false" customHeight="false" outlineLevel="0" collapsed="false">
      <c r="B12" s="8" t="str">
        <f aca="false">IF(Estimates!H218="","","("&amp;TEXT(Estimates!H218,"0.00")&amp;")")</f>
        <v>(-3.13)</v>
      </c>
      <c r="C12" s="8" t="str">
        <f aca="false">IF(Estimates!H219="","","("&amp;TEXT(Estimates!H219,"0.00")&amp;")")</f>
        <v>(-2.65)</v>
      </c>
      <c r="D12" s="8" t="str">
        <f aca="false">IF(Estimates!H220="","","("&amp;TEXT(Estimates!H220,"0.00")&amp;")")</f>
        <v>(-1.22)</v>
      </c>
      <c r="E12" s="8" t="str">
        <f aca="false">IF(Estimates!H221="","","("&amp;TEXT(Estimates!H221,"0.00")&amp;")")</f>
        <v>(-1.06)</v>
      </c>
    </row>
    <row r="13" customFormat="false" ht="15" hidden="false" customHeight="false" outlineLevel="0" collapsed="false">
      <c r="A13" s="7" t="s">
        <v>63</v>
      </c>
      <c r="B13" s="8" t="str">
        <f aca="false">IF(Estimates!I222="","",TEXT(Estimates!E222,"0.000")&amp;IF(Estimates!I222&lt;0.01,"***",IF(Estimates!I222&lt;0.05,"**",IF(Estimates!I222&lt;0.1,"*",""))))</f>
        <v>-0.499</v>
      </c>
      <c r="C13" s="8" t="str">
        <f aca="false">IF(Estimates!I223="","",TEXT(Estimates!E223,"0.000")&amp;IF(Estimates!I223&lt;0.01,"***",IF(Estimates!I223&lt;0.05,"**",IF(Estimates!I223&lt;0.1,"*",""))))</f>
        <v>-0.618</v>
      </c>
      <c r="D13" s="8" t="str">
        <f aca="false">IF(Estimates!I224="","",TEXT(Estimates!E224,"0.000")&amp;IF(Estimates!I224&lt;0.01,"***",IF(Estimates!I224&lt;0.05,"**",IF(Estimates!I224&lt;0.1,"*",""))))</f>
        <v>-0.210</v>
      </c>
      <c r="E13" s="8" t="str">
        <f aca="false">IF(Estimates!I225="","",TEXT(Estimates!E225,"0.000")&amp;IF(Estimates!I225&lt;0.01,"***",IF(Estimates!I225&lt;0.05,"**",IF(Estimates!I225&lt;0.1,"*",""))))</f>
        <v>-0.203</v>
      </c>
    </row>
    <row r="14" customFormat="false" ht="15" hidden="false" customHeight="false" outlineLevel="0" collapsed="false">
      <c r="B14" s="8" t="str">
        <f aca="false">IF(Estimates!H222="","","("&amp;TEXT(Estimates!H222,"0.00")&amp;")")</f>
        <v>(-1.01)</v>
      </c>
      <c r="C14" s="8" t="str">
        <f aca="false">IF(Estimates!H223="","","("&amp;TEXT(Estimates!H223,"0.00")&amp;")")</f>
        <v>(-1.15)</v>
      </c>
      <c r="D14" s="8" t="str">
        <f aca="false">IF(Estimates!H224="","","("&amp;TEXT(Estimates!H224,"0.00")&amp;")")</f>
        <v>(-0.88)</v>
      </c>
      <c r="E14" s="8" t="str">
        <f aca="false">IF(Estimates!H225="","","("&amp;TEXT(Estimates!H225,"0.00")&amp;")")</f>
        <v>(-0.64)</v>
      </c>
    </row>
    <row r="15" customFormat="false" ht="15" hidden="false" customHeight="false" outlineLevel="0" collapsed="false">
      <c r="A15" s="7" t="s">
        <v>64</v>
      </c>
      <c r="B15" s="8" t="str">
        <f aca="false">IF(Estimates!I226="","",TEXT(Estimates!E226,"0.000")&amp;IF(Estimates!I226&lt;0.01,"***",IF(Estimates!I226&lt;0.05,"**",IF(Estimates!I226&lt;0.1,"*",""))))</f>
        <v>-0.365</v>
      </c>
      <c r="C15" s="8" t="str">
        <f aca="false">IF(Estimates!I227="","",TEXT(Estimates!E227,"0.000")&amp;IF(Estimates!I227&lt;0.01,"***",IF(Estimates!I227&lt;0.05,"**",IF(Estimates!I227&lt;0.1,"*",""))))</f>
        <v>-0.589</v>
      </c>
      <c r="D15" s="8" t="str">
        <f aca="false">IF(Estimates!I228="","",TEXT(Estimates!E228,"0.000")&amp;IF(Estimates!I228&lt;0.01,"***",IF(Estimates!I228&lt;0.05,"**",IF(Estimates!I228&lt;0.1,"*",""))))</f>
        <v>-0.026</v>
      </c>
      <c r="E15" s="8" t="str">
        <f aca="false">IF(Estimates!I229="","",TEXT(Estimates!E229,"0.000")&amp;IF(Estimates!I229&lt;0.01,"***",IF(Estimates!I229&lt;0.05,"**",IF(Estimates!I229&lt;0.1,"*",""))))</f>
        <v>-0.063</v>
      </c>
    </row>
    <row r="16" customFormat="false" ht="15" hidden="false" customHeight="false" outlineLevel="0" collapsed="false">
      <c r="B16" s="8" t="str">
        <f aca="false">IF(Estimates!H226="","","("&amp;TEXT(Estimates!H226,"0.00")&amp;")")</f>
        <v>(-0.82)</v>
      </c>
      <c r="C16" s="8" t="str">
        <f aca="false">IF(Estimates!H227="","","("&amp;TEXT(Estimates!H227,"0.00")&amp;")")</f>
        <v>(-1.22)</v>
      </c>
      <c r="D16" s="8" t="str">
        <f aca="false">IF(Estimates!H228="","","("&amp;TEXT(Estimates!H228,"0.00")&amp;")")</f>
        <v>(-0.13)</v>
      </c>
      <c r="E16" s="8" t="str">
        <f aca="false">IF(Estimates!H229="","","("&amp;TEXT(Estimates!H229,"0.00")&amp;")")</f>
        <v>(-0.29)</v>
      </c>
    </row>
    <row r="17" customFormat="false" ht="15" hidden="false" customHeight="false" outlineLevel="0" collapsed="false">
      <c r="A17" s="7" t="s">
        <v>65</v>
      </c>
      <c r="B17" s="8" t="str">
        <f aca="false">IF(Estimates!I230="","",TEXT(Estimates!E230,"0.000")&amp;IF(Estimates!I230&lt;0.01,"***",IF(Estimates!I230&lt;0.05,"**",IF(Estimates!I230&lt;0.1,"*",""))))</f>
        <v>0.172</v>
      </c>
      <c r="C17" s="8" t="str">
        <f aca="false">IF(Estimates!I231="","",TEXT(Estimates!E231,"0.000")&amp;IF(Estimates!I231&lt;0.01,"***",IF(Estimates!I231&lt;0.05,"**",IF(Estimates!I231&lt;0.1,"*",""))))</f>
        <v>-0.100</v>
      </c>
      <c r="D17" s="8" t="str">
        <f aca="false">IF(Estimates!I232="","",TEXT(Estimates!E232,"0.000")&amp;IF(Estimates!I232&lt;0.01,"***",IF(Estimates!I232&lt;0.05,"**",IF(Estimates!I232&lt;0.1,"*",""))))</f>
        <v>0.148</v>
      </c>
      <c r="E17" s="8" t="str">
        <f aca="false">IF(Estimates!I233="","",TEXT(Estimates!E233,"0.000")&amp;IF(Estimates!I233&lt;0.01,"***",IF(Estimates!I233&lt;0.05,"**",IF(Estimates!I233&lt;0.1,"*",""))))</f>
        <v>0.032</v>
      </c>
    </row>
    <row r="18" customFormat="false" ht="15" hidden="false" customHeight="false" outlineLevel="0" collapsed="false">
      <c r="B18" s="8" t="str">
        <f aca="false">IF(Estimates!H230="","","("&amp;TEXT(Estimates!H230,"0.00")&amp;")")</f>
        <v>(0.37)</v>
      </c>
      <c r="C18" s="8" t="str">
        <f aca="false">IF(Estimates!H231="","","("&amp;TEXT(Estimates!H231,"0.00")&amp;")")</f>
        <v>(-0.20)</v>
      </c>
      <c r="D18" s="8" t="str">
        <f aca="false">IF(Estimates!H232="","","("&amp;TEXT(Estimates!H232,"0.00")&amp;")")</f>
        <v>(0.61)</v>
      </c>
      <c r="E18" s="8" t="str">
        <f aca="false">IF(Estimates!H233="","","("&amp;TEXT(Estimates!H233,"0.00")&amp;")")</f>
        <v>(0.11)</v>
      </c>
    </row>
    <row r="19" customFormat="false" ht="15" hidden="false" customHeight="false" outlineLevel="0" collapsed="false">
      <c r="A19" s="7" t="s">
        <v>66</v>
      </c>
      <c r="B19" s="8" t="str">
        <f aca="false">IF(Estimates!I234="","",TEXT(Estimates!E234,"0.000")&amp;IF(Estimates!I234&lt;0.01,"***",IF(Estimates!I234&lt;0.05,"**",IF(Estimates!I234&lt;0.1,"*",""))))</f>
        <v>0.790*</v>
      </c>
      <c r="C19" s="8" t="str">
        <f aca="false">IF(Estimates!I235="","",TEXT(Estimates!E235,"0.000")&amp;IF(Estimates!I235&lt;0.01,"***",IF(Estimates!I235&lt;0.05,"**",IF(Estimates!I235&lt;0.1,"*",""))))</f>
        <v>0.669</v>
      </c>
      <c r="D19" s="8" t="str">
        <f aca="false">IF(Estimates!I236="","",TEXT(Estimates!E236,"0.000")&amp;IF(Estimates!I236&lt;0.01,"***",IF(Estimates!I236&lt;0.05,"**",IF(Estimates!I236&lt;0.1,"*",""))))</f>
        <v>0.474***</v>
      </c>
      <c r="E19" s="8" t="str">
        <f aca="false">IF(Estimates!I237="","",TEXT(Estimates!E237,"0.000")&amp;IF(Estimates!I237&lt;0.01,"***",IF(Estimates!I237&lt;0.05,"**",IF(Estimates!I237&lt;0.1,"*",""))))</f>
        <v>0.419*</v>
      </c>
    </row>
    <row r="20" customFormat="false" ht="15" hidden="false" customHeight="false" outlineLevel="0" collapsed="false">
      <c r="B20" s="8" t="str">
        <f aca="false">IF(Estimates!H234="","","("&amp;TEXT(Estimates!H234,"0.00")&amp;")")</f>
        <v>(2.10)</v>
      </c>
      <c r="C20" s="8" t="str">
        <f aca="false">IF(Estimates!H235="","","("&amp;TEXT(Estimates!H235,"0.00")&amp;")")</f>
        <v>(1.38)</v>
      </c>
      <c r="D20" s="8" t="str">
        <f aca="false">IF(Estimates!H236="","","("&amp;TEXT(Estimates!H236,"0.00")&amp;")")</f>
        <v>(4.40)</v>
      </c>
      <c r="E20" s="8" t="str">
        <f aca="false">IF(Estimates!H237="","","("&amp;TEXT(Estimates!H237,"0.00")&amp;")")</f>
        <v>(1.75)</v>
      </c>
    </row>
    <row r="21" customFormat="false" ht="15" hidden="false" customHeight="false" outlineLevel="0" collapsed="false">
      <c r="A21" s="20" t="s">
        <v>67</v>
      </c>
      <c r="B21" s="15" t="str">
        <f aca="false">IF(Estimates!I238="","",TEXT(Estimates!E238,"0.000")&amp;IF(Estimates!I238&lt;0.01,"***",IF(Estimates!I238&lt;0.05,"**",IF(Estimates!I238&lt;0.1,"*",""))))</f>
        <v>1.009**</v>
      </c>
      <c r="C21" s="15" t="str">
        <f aca="false">IF(Estimates!I239="","",TEXT(Estimates!E239,"0.000")&amp;IF(Estimates!I239&lt;0.01,"***",IF(Estimates!I239&lt;0.05,"**",IF(Estimates!I239&lt;0.1,"*",""))))</f>
        <v>0.908*</v>
      </c>
      <c r="D21" s="15" t="str">
        <f aca="false">IF(Estimates!I240="","",TEXT(Estimates!E240,"0.000")&amp;IF(Estimates!I240&lt;0.01,"***",IF(Estimates!I240&lt;0.05,"**",IF(Estimates!I240&lt;0.1,"*",""))))</f>
        <v>0.425**</v>
      </c>
      <c r="E21" s="15" t="str">
        <f aca="false">IF(Estimates!I241="","",TEXT(Estimates!E241,"0.000")&amp;IF(Estimates!I241&lt;0.01,"***",IF(Estimates!I241&lt;0.05,"**",IF(Estimates!I241&lt;0.1,"*",""))))</f>
        <v>0.315</v>
      </c>
    </row>
    <row r="22" customFormat="false" ht="15" hidden="false" customHeight="false" outlineLevel="0" collapsed="false">
      <c r="A22" s="16"/>
      <c r="B22" s="15" t="str">
        <f aca="false">IF(Estimates!H238="","","("&amp;TEXT(Estimates!H238,"0.00")&amp;")")</f>
        <v>(2.72)</v>
      </c>
      <c r="C22" s="15" t="str">
        <f aca="false">IF(Estimates!H239="","","("&amp;TEXT(Estimates!H239,"0.00")&amp;")")</f>
        <v>(2.04)</v>
      </c>
      <c r="D22" s="15" t="str">
        <f aca="false">IF(Estimates!H240="","","("&amp;TEXT(Estimates!H240,"0.00")&amp;")")</f>
        <v>(2.69)</v>
      </c>
      <c r="E22" s="15" t="str">
        <f aca="false">IF(Estimates!H241="","","("&amp;TEXT(Estimates!H241,"0.00")&amp;")")</f>
        <v>(1.02)</v>
      </c>
    </row>
    <row r="23" customFormat="false" ht="15" hidden="false" customHeight="false" outlineLevel="0" collapsed="false">
      <c r="A23" s="7" t="s">
        <v>68</v>
      </c>
      <c r="B23" s="8" t="str">
        <f aca="false">IF(Estimates!I242="","",TEXT(Estimates!E242,"0.000")&amp;IF(Estimates!I242&lt;0.01,"***",IF(Estimates!I242&lt;0.05,"**",IF(Estimates!I242&lt;0.1,"*",""))))</f>
        <v>0.533*</v>
      </c>
      <c r="C23" s="8" t="str">
        <f aca="false">IF(Estimates!I243="","",TEXT(Estimates!E243,"0.000")&amp;IF(Estimates!I243&lt;0.01,"***",IF(Estimates!I243&lt;0.05,"**",IF(Estimates!I243&lt;0.1,"*",""))))</f>
        <v>0.368</v>
      </c>
      <c r="D23" s="8" t="str">
        <f aca="false">IF(Estimates!I244="","",TEXT(Estimates!E244,"0.000")&amp;IF(Estimates!I244&lt;0.01,"***",IF(Estimates!I244&lt;0.05,"**",IF(Estimates!I244&lt;0.1,"*",""))))</f>
        <v>0.353</v>
      </c>
      <c r="E23" s="8" t="str">
        <f aca="false">IF(Estimates!I245="","",TEXT(Estimates!E245,"0.000")&amp;IF(Estimates!I245&lt;0.01,"***",IF(Estimates!I245&lt;0.05,"**",IF(Estimates!I245&lt;0.1,"*",""))))</f>
        <v>0.226</v>
      </c>
    </row>
    <row r="24" customFormat="false" ht="15" hidden="false" customHeight="false" outlineLevel="0" collapsed="false">
      <c r="B24" s="8" t="str">
        <f aca="false">IF(Estimates!H242="","","("&amp;TEXT(Estimates!H242,"0.00")&amp;")")</f>
        <v>(1.82)</v>
      </c>
      <c r="C24" s="8" t="str">
        <f aca="false">IF(Estimates!H243="","","("&amp;TEXT(Estimates!H243,"0.00")&amp;")")</f>
        <v>(1.07)</v>
      </c>
      <c r="D24" s="8" t="str">
        <f aca="false">IF(Estimates!H244="","","("&amp;TEXT(Estimates!H244,"0.00")&amp;")")</f>
        <v>(1.60)</v>
      </c>
      <c r="E24" s="8" t="str">
        <f aca="false">IF(Estimates!H245="","","("&amp;TEXT(Estimates!H245,"0.00")&amp;")")</f>
        <v>(0.92)</v>
      </c>
    </row>
    <row r="25" customFormat="false" ht="15" hidden="false" customHeight="false" outlineLevel="0" collapsed="false">
      <c r="A25" s="7" t="s">
        <v>69</v>
      </c>
      <c r="B25" s="8" t="str">
        <f aca="false">IF(Estimates!I246="","",TEXT(Estimates!E246,"0.000")&amp;IF(Estimates!I246&lt;0.01,"***",IF(Estimates!I246&lt;0.05,"**",IF(Estimates!I246&lt;0.1,"*",""))))</f>
        <v>0.475*</v>
      </c>
      <c r="C25" s="8" t="str">
        <f aca="false">IF(Estimates!I247="","",TEXT(Estimates!E247,"0.000")&amp;IF(Estimates!I247&lt;0.01,"***",IF(Estimates!I247&lt;0.05,"**",IF(Estimates!I247&lt;0.1,"*",""))))</f>
        <v>0.374</v>
      </c>
      <c r="D25" s="8" t="str">
        <f aca="false">IF(Estimates!I248="","",TEXT(Estimates!E248,"0.000")&amp;IF(Estimates!I248&lt;0.01,"***",IF(Estimates!I248&lt;0.05,"**",IF(Estimates!I248&lt;0.1,"*",""))))</f>
        <v>0.159</v>
      </c>
      <c r="E25" s="8" t="str">
        <f aca="false">IF(Estimates!I249="","",TEXT(Estimates!E249,"0.000")&amp;IF(Estimates!I249&lt;0.01,"***",IF(Estimates!I249&lt;0.05,"**",IF(Estimates!I249&lt;0.1,"*",""))))</f>
        <v>0.102</v>
      </c>
    </row>
    <row r="26" customFormat="false" ht="15" hidden="false" customHeight="false" outlineLevel="0" collapsed="false">
      <c r="B26" s="8" t="str">
        <f aca="false">IF(Estimates!H246="","","("&amp;TEXT(Estimates!H246,"0.00")&amp;")")</f>
        <v>(1.89)</v>
      </c>
      <c r="C26" s="8" t="str">
        <f aca="false">IF(Estimates!H247="","","("&amp;TEXT(Estimates!H247,"0.00")&amp;")")</f>
        <v>(1.34)</v>
      </c>
      <c r="D26" s="8" t="str">
        <f aca="false">IF(Estimates!H248="","","("&amp;TEXT(Estimates!H248,"0.00")&amp;")")</f>
        <v>(0.76)</v>
      </c>
      <c r="E26" s="8" t="str">
        <f aca="false">IF(Estimates!H249="","","("&amp;TEXT(Estimates!H249,"0.00")&amp;")")</f>
        <v>(0.58)</v>
      </c>
    </row>
    <row r="27" customFormat="false" ht="15" hidden="false" customHeight="false" outlineLevel="0" collapsed="false">
      <c r="A27" s="7" t="s">
        <v>70</v>
      </c>
      <c r="B27" s="8" t="str">
        <f aca="false">IF(Estimates!I250="","",TEXT(Estimates!E250,"0.000")&amp;IF(Estimates!I250&lt;0.01,"***",IF(Estimates!I250&lt;0.05,"**",IF(Estimates!I250&lt;0.1,"*",""))))</f>
        <v>0.221</v>
      </c>
      <c r="C27" s="8" t="str">
        <f aca="false">IF(Estimates!I251="","",TEXT(Estimates!E251,"0.000")&amp;IF(Estimates!I251&lt;0.01,"***",IF(Estimates!I251&lt;0.05,"**",IF(Estimates!I251&lt;0.1,"*",""))))</f>
        <v>0.293</v>
      </c>
      <c r="D27" s="8" t="str">
        <f aca="false">IF(Estimates!I252="","",TEXT(Estimates!E252,"0.000")&amp;IF(Estimates!I252&lt;0.01,"***",IF(Estimates!I252&lt;0.05,"**",IF(Estimates!I252&lt;0.1,"*",""))))</f>
        <v>0.045</v>
      </c>
      <c r="E27" s="8" t="str">
        <f aca="false">IF(Estimates!I253="","",TEXT(Estimates!E253,"0.000")&amp;IF(Estimates!I253&lt;0.01,"***",IF(Estimates!I253&lt;0.05,"**",IF(Estimates!I253&lt;0.1,"*",""))))</f>
        <v>0.183</v>
      </c>
    </row>
    <row r="28" customFormat="false" ht="15" hidden="false" customHeight="false" outlineLevel="0" collapsed="false">
      <c r="B28" s="8" t="str">
        <f aca="false">IF(Estimates!H250="","","("&amp;TEXT(Estimates!H250,"0.00")&amp;")")</f>
        <v>(0.70)</v>
      </c>
      <c r="C28" s="8" t="str">
        <f aca="false">IF(Estimates!H251="","","("&amp;TEXT(Estimates!H251,"0.00")&amp;")")</f>
        <v>(0.98)</v>
      </c>
      <c r="D28" s="8" t="str">
        <f aca="false">IF(Estimates!H252="","","("&amp;TEXT(Estimates!H252,"0.00")&amp;")")</f>
        <v>(0.25)</v>
      </c>
      <c r="E28" s="8" t="str">
        <f aca="false">IF(Estimates!H253="","","("&amp;TEXT(Estimates!H253,"0.00")&amp;")")</f>
        <v>(1.04)</v>
      </c>
    </row>
    <row r="29" customFormat="false" ht="15" hidden="false" customHeight="false" outlineLevel="0" collapsed="false">
      <c r="A29" s="7" t="s">
        <v>71</v>
      </c>
      <c r="B29" s="8" t="str">
        <f aca="false">IF(Estimates!I254="","",TEXT(Estimates!E254,"0.000")&amp;IF(Estimates!I254&lt;0.01,"***",IF(Estimates!I254&lt;0.05,"**",IF(Estimates!I254&lt;0.1,"*",""))))</f>
        <v>0.237</v>
      </c>
      <c r="C29" s="8" t="str">
        <f aca="false">IF(Estimates!I255="","",TEXT(Estimates!E255,"0.000")&amp;IF(Estimates!I255&lt;0.01,"***",IF(Estimates!I255&lt;0.05,"**",IF(Estimates!I255&lt;0.1,"*",""))))</f>
        <v>0.293</v>
      </c>
      <c r="D29" s="8" t="str">
        <f aca="false">IF(Estimates!I256="","",TEXT(Estimates!E256,"0.000")&amp;IF(Estimates!I256&lt;0.01,"***",IF(Estimates!I256&lt;0.05,"**",IF(Estimates!I256&lt;0.1,"*",""))))</f>
        <v>0.034</v>
      </c>
      <c r="E29" s="8" t="str">
        <f aca="false">IF(Estimates!I257="","",TEXT(Estimates!E257,"0.000")&amp;IF(Estimates!I257&lt;0.01,"***",IF(Estimates!I257&lt;0.05,"**",IF(Estimates!I257&lt;0.1,"*",""))))</f>
        <v>0.171</v>
      </c>
    </row>
    <row r="30" customFormat="false" ht="15" hidden="false" customHeight="false" outlineLevel="0" collapsed="false">
      <c r="B30" s="8" t="str">
        <f aca="false">IF(Estimates!H254="","","("&amp;TEXT(Estimates!H254,"0.00")&amp;")")</f>
        <v>(0.70)</v>
      </c>
      <c r="C30" s="8" t="str">
        <f aca="false">IF(Estimates!H255="","","("&amp;TEXT(Estimates!H255,"0.00")&amp;")")</f>
        <v>(0.92)</v>
      </c>
      <c r="D30" s="8" t="str">
        <f aca="false">IF(Estimates!H256="","","("&amp;TEXT(Estimates!H256,"0.00")&amp;")")</f>
        <v>(0.19)</v>
      </c>
      <c r="E30" s="8" t="str">
        <f aca="false">IF(Estimates!H257="","","("&amp;TEXT(Estimates!H257,"0.00")&amp;")")</f>
        <v>(0.80)</v>
      </c>
    </row>
    <row r="31" customFormat="false" ht="15" hidden="false" customHeight="false" outlineLevel="0" collapsed="false">
      <c r="A31" s="7" t="s">
        <v>72</v>
      </c>
      <c r="B31" s="8" t="str">
        <f aca="false">IF(Estimates!I258="","",TEXT(Estimates!E258,"0.000")&amp;IF(Estimates!I258&lt;0.01,"***",IF(Estimates!I258&lt;0.05,"**",IF(Estimates!I258&lt;0.1,"*",""))))</f>
        <v>0.057</v>
      </c>
      <c r="C31" s="8" t="str">
        <f aca="false">IF(Estimates!I259="","",TEXT(Estimates!E259,"0.000")&amp;IF(Estimates!I259&lt;0.01,"***",IF(Estimates!I259&lt;0.05,"**",IF(Estimates!I259&lt;0.1,"*",""))))</f>
        <v>0.063</v>
      </c>
      <c r="D31" s="8" t="str">
        <f aca="false">IF(Estimates!I260="","",TEXT(Estimates!E260,"0.000")&amp;IF(Estimates!I260&lt;0.01,"***",IF(Estimates!I260&lt;0.05,"**",IF(Estimates!I260&lt;0.1,"*",""))))</f>
        <v>0.089</v>
      </c>
      <c r="E31" s="8" t="str">
        <f aca="false">IF(Estimates!I261="","",TEXT(Estimates!E261,"0.000")&amp;IF(Estimates!I261&lt;0.01,"***",IF(Estimates!I261&lt;0.05,"**",IF(Estimates!I261&lt;0.1,"*",""))))</f>
        <v>0.285</v>
      </c>
    </row>
    <row r="32" customFormat="false" ht="15" hidden="false" customHeight="false" outlineLevel="0" collapsed="false">
      <c r="B32" s="8" t="str">
        <f aca="false">IF(Estimates!H258="","","("&amp;TEXT(Estimates!H258,"0.00")&amp;")")</f>
        <v>(0.21)</v>
      </c>
      <c r="C32" s="8" t="str">
        <f aca="false">IF(Estimates!H259="","","("&amp;TEXT(Estimates!H259,"0.00")&amp;")")</f>
        <v>(0.21)</v>
      </c>
      <c r="D32" s="8" t="str">
        <f aca="false">IF(Estimates!H260="","","("&amp;TEXT(Estimates!H260,"0.00")&amp;")")</f>
        <v>(0.39)</v>
      </c>
      <c r="E32" s="8" t="str">
        <f aca="false">IF(Estimates!H261="","","("&amp;TEXT(Estimates!H261,"0.00")&amp;")")</f>
        <v>(0.93)</v>
      </c>
    </row>
    <row r="33" customFormat="false" ht="15" hidden="false" customHeight="false" outlineLevel="0" collapsed="false">
      <c r="A33" s="7" t="s">
        <v>73</v>
      </c>
      <c r="B33" s="8" t="str">
        <f aca="false">IF(Estimates!I262="","",TEXT(Estimates!E262,"0.000")&amp;IF(Estimates!I262&lt;0.01,"***",IF(Estimates!I262&lt;0.05,"**",IF(Estimates!I262&lt;0.1,"*",""))))</f>
        <v>0.194</v>
      </c>
      <c r="C33" s="8" t="str">
        <f aca="false">IF(Estimates!I263="","",TEXT(Estimates!E263,"0.000")&amp;IF(Estimates!I263&lt;0.01,"***",IF(Estimates!I263&lt;0.05,"**",IF(Estimates!I263&lt;0.1,"*",""))))</f>
        <v>0.257</v>
      </c>
      <c r="D33" s="8" t="str">
        <f aca="false">IF(Estimates!I264="","",TEXT(Estimates!E264,"0.000")&amp;IF(Estimates!I264&lt;0.01,"***",IF(Estimates!I264&lt;0.05,"**",IF(Estimates!I264&lt;0.1,"*",""))))</f>
        <v>-0.022</v>
      </c>
      <c r="E33" s="8" t="str">
        <f aca="false">IF(Estimates!I265="","",TEXT(Estimates!E265,"0.000")&amp;IF(Estimates!I265&lt;0.01,"***",IF(Estimates!I265&lt;0.05,"**",IF(Estimates!I265&lt;0.1,"*",""))))</f>
        <v>0.145</v>
      </c>
    </row>
    <row r="34" customFormat="false" ht="15" hidden="false" customHeight="false" outlineLevel="0" collapsed="false">
      <c r="B34" s="8" t="str">
        <f aca="false">IF(Estimates!H262="","","("&amp;TEXT(Estimates!H262,"0.00")&amp;")")</f>
        <v>(0.61)</v>
      </c>
      <c r="C34" s="8" t="str">
        <f aca="false">IF(Estimates!H263="","","("&amp;TEXT(Estimates!H263,"0.00")&amp;")")</f>
        <v>(0.80)</v>
      </c>
      <c r="D34" s="8" t="str">
        <f aca="false">IF(Estimates!H264="","","("&amp;TEXT(Estimates!H264,"0.00")&amp;")")</f>
        <v>(-0.10)</v>
      </c>
      <c r="E34" s="8" t="str">
        <f aca="false">IF(Estimates!H265="","","("&amp;TEXT(Estimates!H265,"0.00")&amp;")")</f>
        <v>(0.50)</v>
      </c>
    </row>
    <row r="35" customFormat="false" ht="15" hidden="false" customHeight="false" outlineLevel="0" collapsed="false">
      <c r="A35" s="7" t="s">
        <v>74</v>
      </c>
      <c r="B35" s="8" t="str">
        <f aca="false">IF(Estimates!I266="","",TEXT(Estimates!E266,"0.000")&amp;IF(Estimates!I266&lt;0.01,"***",IF(Estimates!I266&lt;0.05,"**",IF(Estimates!I266&lt;0.1,"*",""))))</f>
        <v>0.282</v>
      </c>
      <c r="C35" s="8" t="str">
        <f aca="false">IF(Estimates!I267="","",TEXT(Estimates!E267,"0.000")&amp;IF(Estimates!I267&lt;0.01,"***",IF(Estimates!I267&lt;0.05,"**",IF(Estimates!I267&lt;0.1,"*",""))))</f>
        <v>0.278</v>
      </c>
      <c r="D35" s="8" t="str">
        <f aca="false">IF(Estimates!I268="","",TEXT(Estimates!E268,"0.000")&amp;IF(Estimates!I268&lt;0.01,"***",IF(Estimates!I268&lt;0.05,"**",IF(Estimates!I268&lt;0.1,"*",""))))</f>
        <v>0.238</v>
      </c>
      <c r="E35" s="8" t="str">
        <f aca="false">IF(Estimates!I269="","",TEXT(Estimates!E269,"0.000")&amp;IF(Estimates!I269&lt;0.01,"***",IF(Estimates!I269&lt;0.05,"**",IF(Estimates!I269&lt;0.1,"*",""))))</f>
        <v>0.389</v>
      </c>
    </row>
    <row r="36" customFormat="false" ht="15" hidden="false" customHeight="false" outlineLevel="0" collapsed="false">
      <c r="B36" s="8" t="str">
        <f aca="false">IF(Estimates!H266="","","("&amp;TEXT(Estimates!H266,"0.00")&amp;")")</f>
        <v>(0.61)</v>
      </c>
      <c r="C36" s="8" t="str">
        <f aca="false">IF(Estimates!H267="","","("&amp;TEXT(Estimates!H267,"0.00")&amp;")")</f>
        <v>(0.63)</v>
      </c>
      <c r="D36" s="8" t="str">
        <f aca="false">IF(Estimates!H268="","","("&amp;TEXT(Estimates!H268,"0.00")&amp;")")</f>
        <v>(0.75)</v>
      </c>
      <c r="E36" s="8" t="str">
        <f aca="false">IF(Estimates!H269="","","("&amp;TEXT(Estimates!H269,"0.00")&amp;")")</f>
        <v>(1.13)</v>
      </c>
    </row>
    <row r="38" customFormat="false" ht="15" hidden="false" customHeight="false" outlineLevel="0" collapsed="false">
      <c r="A38" s="1" t="s">
        <v>75</v>
      </c>
    </row>
    <row r="39" customFormat="false" ht="15" hidden="false" customHeight="false" outlineLevel="0" collapsed="false">
      <c r="A39" s="7" t="s">
        <v>76</v>
      </c>
      <c r="B39" s="8" t="str">
        <f aca="false">IF(Estimates!I270="","",TEXT(Estimates!E270,"0.000")&amp;IF(Estimates!I270&lt;0.01,"***",IF(Estimates!I270&lt;0.05,"**",IF(Estimates!I270&lt;0.1,"*",""))))</f>
        <v>-0.645</v>
      </c>
      <c r="C39" s="8" t="str">
        <f aca="false">IF(Estimates!I271="","",TEXT(Estimates!E271,"0.000")&amp;IF(Estimates!I271&lt;0.01,"***",IF(Estimates!I271&lt;0.05,"**",IF(Estimates!I271&lt;0.1,"*",""))))</f>
        <v>-0.952</v>
      </c>
      <c r="D39" s="8" t="str">
        <f aca="false">IF(Estimates!I272="","",TEXT(Estimates!E272,"0.000")&amp;IF(Estimates!I272&lt;0.01,"***",IF(Estimates!I272&lt;0.05,"**",IF(Estimates!I272&lt;0.1,"*",""))))</f>
        <v>0.152</v>
      </c>
      <c r="E39" s="8" t="str">
        <f aca="false">IF(Estimates!I273="","",TEXT(Estimates!E273,"0.000")&amp;IF(Estimates!I273&lt;0.01,"***",IF(Estimates!I273&lt;0.05,"**",IF(Estimates!I273&lt;0.1,"*",""))))</f>
        <v>0.170</v>
      </c>
    </row>
    <row r="40" customFormat="false" ht="15" hidden="false" customHeight="false" outlineLevel="0" collapsed="false">
      <c r="B40" s="8" t="str">
        <f aca="false">IF(Estimates!H270="","","("&amp;TEXT(Estimates!H270,"0.00")&amp;")")</f>
        <v>(-1.35)</v>
      </c>
      <c r="C40" s="8" t="str">
        <f aca="false">IF(Estimates!H271="","","("&amp;TEXT(Estimates!H271,"0.00")&amp;")")</f>
        <v>(-1.13)</v>
      </c>
      <c r="D40" s="8" t="str">
        <f aca="false">IF(Estimates!H272="","","("&amp;TEXT(Estimates!H272,"0.00")&amp;")")</f>
        <v>(0.73)</v>
      </c>
      <c r="E40" s="8" t="str">
        <f aca="false">IF(Estimates!H273="","","("&amp;TEXT(Estimates!H273,"0.00")&amp;")")</f>
        <v>(0.68)</v>
      </c>
    </row>
    <row r="41" customFormat="false" ht="15" hidden="false" customHeight="false" outlineLevel="0" collapsed="false">
      <c r="A41" s="12" t="s">
        <v>77</v>
      </c>
      <c r="B41" s="18" t="n">
        <v>603</v>
      </c>
      <c r="C41" s="18" t="n">
        <v>600</v>
      </c>
      <c r="D41" s="18" t="n">
        <v>495</v>
      </c>
      <c r="E41" s="18" t="n">
        <v>488</v>
      </c>
    </row>
  </sheetData>
  <mergeCells count="3">
    <mergeCell ref="A2:E2"/>
    <mergeCell ref="B4:C4"/>
    <mergeCell ref="D4:E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3" min="2" style="0" width="11"/>
  </cols>
  <sheetData>
    <row r="1" customFormat="false" ht="15" hidden="false" customHeight="false" outlineLevel="0" collapsed="false">
      <c r="A1" s="1" t="s">
        <v>78</v>
      </c>
    </row>
    <row r="2" customFormat="false" ht="153.75" hidden="false" customHeight="true" outlineLevel="0" collapsed="false">
      <c r="A2" s="2" t="s">
        <v>79</v>
      </c>
      <c r="B2" s="2"/>
      <c r="C2" s="2"/>
      <c r="D2" s="2"/>
      <c r="E2" s="2"/>
      <c r="F2" s="2"/>
      <c r="G2" s="2"/>
      <c r="H2" s="2"/>
      <c r="I2" s="2"/>
      <c r="J2" s="2"/>
      <c r="K2" s="2"/>
      <c r="L2" s="2"/>
      <c r="M2" s="2"/>
    </row>
    <row r="4" customFormat="false" ht="15" hidden="false" customHeight="true" outlineLevel="0" collapsed="false">
      <c r="A4" s="3"/>
      <c r="B4" s="4" t="s">
        <v>2</v>
      </c>
      <c r="C4" s="4"/>
      <c r="D4" s="4"/>
      <c r="E4" s="4"/>
      <c r="F4" s="4"/>
      <c r="G4" s="4"/>
      <c r="H4" s="4" t="s">
        <v>3</v>
      </c>
      <c r="I4" s="4"/>
      <c r="J4" s="4"/>
      <c r="K4" s="4"/>
      <c r="L4" s="4"/>
      <c r="M4" s="4"/>
    </row>
    <row r="5" customFormat="false" ht="15" hidden="false" customHeight="true" outlineLevel="0" collapsed="false">
      <c r="B5" s="21" t="s">
        <v>4</v>
      </c>
      <c r="C5" s="21"/>
      <c r="D5" s="21"/>
      <c r="E5" s="21" t="s">
        <v>6</v>
      </c>
      <c r="F5" s="21"/>
      <c r="G5" s="21"/>
      <c r="H5" s="21" t="s">
        <v>4</v>
      </c>
      <c r="I5" s="21"/>
      <c r="J5" s="21"/>
      <c r="K5" s="21" t="s">
        <v>6</v>
      </c>
      <c r="L5" s="21"/>
      <c r="M5" s="21"/>
    </row>
    <row r="6" customFormat="false" ht="30" hidden="false" customHeight="true" outlineLevel="0" collapsed="false">
      <c r="A6" s="5"/>
      <c r="B6" s="6" t="s">
        <v>80</v>
      </c>
      <c r="C6" s="6" t="s">
        <v>81</v>
      </c>
      <c r="D6" s="6" t="s">
        <v>82</v>
      </c>
      <c r="E6" s="6" t="s">
        <v>80</v>
      </c>
      <c r="F6" s="6" t="s">
        <v>81</v>
      </c>
      <c r="G6" s="6" t="s">
        <v>82</v>
      </c>
      <c r="H6" s="6" t="s">
        <v>80</v>
      </c>
      <c r="I6" s="6" t="s">
        <v>81</v>
      </c>
      <c r="J6" s="6" t="s">
        <v>82</v>
      </c>
      <c r="K6" s="6" t="s">
        <v>80</v>
      </c>
      <c r="L6" s="6" t="s">
        <v>81</v>
      </c>
      <c r="M6" s="6" t="s">
        <v>82</v>
      </c>
    </row>
    <row r="7" customFormat="false" ht="15" hidden="false" customHeight="false" outlineLevel="0" collapsed="false">
      <c r="A7" s="7" t="s">
        <v>83</v>
      </c>
      <c r="B7" s="8" t="str">
        <f aca="false">IF(Estimates!I274="","",TEXT(Estimates!E274,"0.000")&amp;IF(Estimates!I274&lt;0.01,"***",IF(Estimates!I274&lt;0.05,"**",IF(Estimates!I274&lt;0.1,"*",""))))</f>
        <v>0.386</v>
      </c>
      <c r="C7" s="8" t="str">
        <f aca="false">IF(Estimates!I275="","",TEXT(Estimates!E275,"0.000")&amp;IF(Estimates!I275&lt;0.01,"***",IF(Estimates!I275&lt;0.05,"**",IF(Estimates!I275&lt;0.1,"*",""))))</f>
        <v>-0.886***</v>
      </c>
      <c r="D7" s="10" t="str">
        <f aca="false">IF(Estimates!I276="","",TEXT(Estimates!E276,"0.000")&amp;IF(Estimates!I276&lt;0.01,"***",IF(Estimates!I276&lt;0.05,"**",IF(Estimates!I276&lt;0.1,"*",""))))</f>
        <v>1.272***</v>
      </c>
      <c r="E7" s="8" t="str">
        <f aca="false">IF(Estimates!I277="","",TEXT(Estimates!E277,"0.000")&amp;IF(Estimates!I277&lt;0.01,"***",IF(Estimates!I277&lt;0.05,"**",IF(Estimates!I277&lt;0.1,"*",""))))</f>
        <v>0.320</v>
      </c>
      <c r="F7" s="8" t="str">
        <f aca="false">IF(Estimates!I278="","",TEXT(Estimates!E278,"0.000")&amp;IF(Estimates!I278&lt;0.01,"***",IF(Estimates!I278&lt;0.05,"**",IF(Estimates!I278&lt;0.1,"*",""))))</f>
        <v>-0.807**</v>
      </c>
      <c r="G7" s="10" t="str">
        <f aca="false">IF(Estimates!I279="","",TEXT(Estimates!E279,"0.000")&amp;IF(Estimates!I279&lt;0.01,"***",IF(Estimates!I279&lt;0.05,"**",IF(Estimates!I279&lt;0.1,"*",""))))</f>
        <v>1.126**</v>
      </c>
      <c r="H7" s="8" t="str">
        <f aca="false">IF(Estimates!I280="","",TEXT(Estimates!E280,"0.000")&amp;IF(Estimates!I280&lt;0.01,"***",IF(Estimates!I280&lt;0.05,"**",IF(Estimates!I280&lt;0.1,"*",""))))</f>
        <v>-0.143</v>
      </c>
      <c r="I7" s="8" t="str">
        <f aca="false">IF(Estimates!I281="","",TEXT(Estimates!E281,"0.000")&amp;IF(Estimates!I281&lt;0.01,"***",IF(Estimates!I281&lt;0.05,"**",IF(Estimates!I281&lt;0.1,"*",""))))</f>
        <v>-0.797***</v>
      </c>
      <c r="J7" s="10" t="str">
        <f aca="false">IF(Estimates!I282="","",TEXT(Estimates!E282,"0.000")&amp;IF(Estimates!I282&lt;0.01,"***",IF(Estimates!I282&lt;0.05,"**",IF(Estimates!I282&lt;0.1,"*",""))))</f>
        <v>0.654***</v>
      </c>
      <c r="K7" s="8" t="str">
        <f aca="false">IF(Estimates!I283="","",TEXT(Estimates!E283,"0.000")&amp;IF(Estimates!I283&lt;0.01,"***",IF(Estimates!I283&lt;0.05,"**",IF(Estimates!I283&lt;0.1,"*",""))))</f>
        <v>-0.177</v>
      </c>
      <c r="L7" s="8" t="str">
        <f aca="false">IF(Estimates!I284="","",TEXT(Estimates!E284,"0.000")&amp;IF(Estimates!I284&lt;0.01,"***",IF(Estimates!I284&lt;0.05,"**",IF(Estimates!I284&lt;0.1,"*",""))))</f>
        <v>-0.675**</v>
      </c>
      <c r="M7" s="10" t="str">
        <f aca="false">IF(Estimates!I285="","",TEXT(Estimates!E285,"0.000")&amp;IF(Estimates!I285&lt;0.01,"***",IF(Estimates!I285&lt;0.05,"**",IF(Estimates!I285&lt;0.1,"*",""))))</f>
        <v>0.498</v>
      </c>
    </row>
    <row r="8" customFormat="false" ht="15" hidden="false" customHeight="false" outlineLevel="0" collapsed="false">
      <c r="B8" s="8" t="str">
        <f aca="false">IF(Estimates!H274="","","("&amp;TEXT(Estimates!H274,"0.00")&amp;")")</f>
        <v>(1.35)</v>
      </c>
      <c r="C8" s="8" t="str">
        <f aca="false">IF(Estimates!H275="","","("&amp;TEXT(Estimates!H275,"0.00")&amp;")")</f>
        <v>(-3.09)</v>
      </c>
      <c r="D8" s="10" t="str">
        <f aca="false">IF(Estimates!H276="","","("&amp;TEXT(Estimates!H276,"0.00")&amp;")")</f>
        <v>(2.95)</v>
      </c>
      <c r="E8" s="8" t="str">
        <f aca="false">IF(Estimates!H277="","","("&amp;TEXT(Estimates!H277,"0.00")&amp;")")</f>
        <v>(0.82)</v>
      </c>
      <c r="F8" s="8" t="str">
        <f aca="false">IF(Estimates!H278="","","("&amp;TEXT(Estimates!H278,"0.00")&amp;")")</f>
        <v>(-2.65)</v>
      </c>
      <c r="G8" s="10" t="str">
        <f aca="false">IF(Estimates!H279="","","("&amp;TEXT(Estimates!H279,"0.00")&amp;")")</f>
        <v>(2.25)</v>
      </c>
      <c r="H8" s="8" t="str">
        <f aca="false">IF(Estimates!H280="","","("&amp;TEXT(Estimates!H280,"0.00")&amp;")")</f>
        <v>(-0.63)</v>
      </c>
      <c r="I8" s="8" t="str">
        <f aca="false">IF(Estimates!H281="","","("&amp;TEXT(Estimates!H281,"0.00")&amp;")")</f>
        <v>(-3.29)</v>
      </c>
      <c r="J8" s="10" t="str">
        <f aca="false">IF(Estimates!H282="","","("&amp;TEXT(Estimates!H282,"0.00")&amp;")")</f>
        <v>(3.71)</v>
      </c>
      <c r="K8" s="8" t="str">
        <f aca="false">IF(Estimates!H283="","","("&amp;TEXT(Estimates!H283,"0.00")&amp;")")</f>
        <v>(-0.45)</v>
      </c>
      <c r="L8" s="8" t="str">
        <f aca="false">IF(Estimates!H284="","","("&amp;TEXT(Estimates!H284,"0.00")&amp;")")</f>
        <v>(-2.28)</v>
      </c>
      <c r="M8" s="10" t="str">
        <f aca="false">IF(Estimates!H285="","","("&amp;TEXT(Estimates!H285,"0.00")&amp;")")</f>
        <v>(1.60)</v>
      </c>
    </row>
    <row r="9" customFormat="false" ht="15" hidden="false" customHeight="false" outlineLevel="0" collapsed="false">
      <c r="A9" s="7" t="s">
        <v>84</v>
      </c>
      <c r="B9" s="8" t="str">
        <f aca="false">IF(Estimates!I286="","",TEXT(Estimates!E286,"0.000")&amp;IF(Estimates!I286&lt;0.01,"***",IF(Estimates!I286&lt;0.05,"**",IF(Estimates!I286&lt;0.1,"*",""))))</f>
        <v>0.763**</v>
      </c>
      <c r="C9" s="8" t="str">
        <f aca="false">IF(Estimates!I287="","",TEXT(Estimates!E287,"0.000")&amp;IF(Estimates!I287&lt;0.01,"***",IF(Estimates!I287&lt;0.05,"**",IF(Estimates!I287&lt;0.1,"*",""))))</f>
        <v>-0.524</v>
      </c>
      <c r="D9" s="10" t="str">
        <f aca="false">IF(Estimates!I288="","",TEXT(Estimates!E288,"0.000")&amp;IF(Estimates!I288&lt;0.01,"***",IF(Estimates!I288&lt;0.05,"**",IF(Estimates!I288&lt;0.1,"*",""))))</f>
        <v>1.288**</v>
      </c>
      <c r="E9" s="8" t="str">
        <f aca="false">IF(Estimates!I289="","",TEXT(Estimates!E289,"0.000")&amp;IF(Estimates!I289&lt;0.01,"***",IF(Estimates!I289&lt;0.05,"**",IF(Estimates!I289&lt;0.1,"*",""))))</f>
        <v>0.665</v>
      </c>
      <c r="F9" s="8" t="str">
        <f aca="false">IF(Estimates!I290="","",TEXT(Estimates!E290,"0.000")&amp;IF(Estimates!I290&lt;0.01,"***",IF(Estimates!I290&lt;0.05,"**",IF(Estimates!I290&lt;0.1,"*",""))))</f>
        <v>-0.494</v>
      </c>
      <c r="G9" s="10" t="str">
        <f aca="false">IF(Estimates!I291="","",TEXT(Estimates!E291,"0.000")&amp;IF(Estimates!I291&lt;0.01,"***",IF(Estimates!I291&lt;0.05,"**",IF(Estimates!I291&lt;0.1,"*",""))))</f>
        <v>1.159**</v>
      </c>
      <c r="H9" s="8" t="str">
        <f aca="false">IF(Estimates!I292="","",TEXT(Estimates!E292,"0.000")&amp;IF(Estimates!I292&lt;0.01,"***",IF(Estimates!I292&lt;0.05,"**",IF(Estimates!I292&lt;0.1,"*",""))))</f>
        <v>0.018</v>
      </c>
      <c r="I9" s="8" t="str">
        <f aca="false">IF(Estimates!I293="","",TEXT(Estimates!E293,"0.000")&amp;IF(Estimates!I293&lt;0.01,"***",IF(Estimates!I293&lt;0.05,"**",IF(Estimates!I293&lt;0.1,"*",""))))</f>
        <v>-0.842*</v>
      </c>
      <c r="J9" s="10" t="str">
        <f aca="false">IF(Estimates!I294="","",TEXT(Estimates!E294,"0.000")&amp;IF(Estimates!I294&lt;0.01,"***",IF(Estimates!I294&lt;0.05,"**",IF(Estimates!I294&lt;0.1,"*",""))))</f>
        <v>0.860***</v>
      </c>
      <c r="K9" s="8" t="str">
        <f aca="false">IF(Estimates!I295="","",TEXT(Estimates!E295,"0.000")&amp;IF(Estimates!I295&lt;0.01,"***",IF(Estimates!I295&lt;0.05,"**",IF(Estimates!I295&lt;0.1,"*",""))))</f>
        <v>0.014</v>
      </c>
      <c r="L9" s="8" t="str">
        <f aca="false">IF(Estimates!I296="","",TEXT(Estimates!E296,"0.000")&amp;IF(Estimates!I296&lt;0.01,"***",IF(Estimates!I296&lt;0.05,"**",IF(Estimates!I296&lt;0.1,"*",""))))</f>
        <v>-0.626</v>
      </c>
      <c r="M9" s="10" t="str">
        <f aca="false">IF(Estimates!I297="","",TEXT(Estimates!E297,"0.000")&amp;IF(Estimates!I297&lt;0.01,"***",IF(Estimates!I297&lt;0.05,"**",IF(Estimates!I297&lt;0.1,"*",""))))</f>
        <v>0.640</v>
      </c>
    </row>
    <row r="10" customFormat="false" ht="15" hidden="false" customHeight="false" outlineLevel="0" collapsed="false">
      <c r="B10" s="8" t="str">
        <f aca="false">IF(Estimates!H286="","","("&amp;TEXT(Estimates!H286,"0.00")&amp;")")</f>
        <v>(2.26)</v>
      </c>
      <c r="C10" s="8" t="str">
        <f aca="false">IF(Estimates!H287="","","("&amp;TEXT(Estimates!H287,"0.00")&amp;")")</f>
        <v>(-1.71)</v>
      </c>
      <c r="D10" s="10" t="str">
        <f aca="false">IF(Estimates!H288="","","("&amp;TEXT(Estimates!H288,"0.00")&amp;")")</f>
        <v>(2.82)</v>
      </c>
      <c r="E10" s="8" t="str">
        <f aca="false">IF(Estimates!H289="","","("&amp;TEXT(Estimates!H289,"0.00")&amp;")")</f>
        <v>(1.53)</v>
      </c>
      <c r="F10" s="8" t="str">
        <f aca="false">IF(Estimates!H290="","","("&amp;TEXT(Estimates!H290,"0.00")&amp;")")</f>
        <v>(-1.66)</v>
      </c>
      <c r="G10" s="10" t="str">
        <f aca="false">IF(Estimates!H291="","","("&amp;TEXT(Estimates!H291,"0.00")&amp;")")</f>
        <v>(2.30)</v>
      </c>
      <c r="H10" s="8" t="str">
        <f aca="false">IF(Estimates!H292="","","("&amp;TEXT(Estimates!H292,"0.00")&amp;")")</f>
        <v>(0.07)</v>
      </c>
      <c r="I10" s="8" t="str">
        <f aca="false">IF(Estimates!H293="","","("&amp;TEXT(Estimates!H293,"0.00")&amp;")")</f>
        <v>(-1.96)</v>
      </c>
      <c r="J10" s="10" t="str">
        <f aca="false">IF(Estimates!H294="","","("&amp;TEXT(Estimates!H294,"0.00")&amp;")")</f>
        <v>(3.16)</v>
      </c>
      <c r="K10" s="8" t="str">
        <f aca="false">IF(Estimates!H295="","","("&amp;TEXT(Estimates!H295,"0.00")&amp;")")</f>
        <v>(0.04)</v>
      </c>
      <c r="L10" s="8" t="str">
        <f aca="false">IF(Estimates!H296="","","("&amp;TEXT(Estimates!H296,"0.00")&amp;")")</f>
        <v>(-1.39)</v>
      </c>
      <c r="M10" s="10" t="str">
        <f aca="false">IF(Estimates!H297="","","("&amp;TEXT(Estimates!H297,"0.00")&amp;")")</f>
        <v>(1.72)</v>
      </c>
    </row>
    <row r="11" customFormat="false" ht="15" hidden="false" customHeight="false" outlineLevel="0" collapsed="false">
      <c r="A11" s="7" t="s">
        <v>85</v>
      </c>
      <c r="B11" s="8" t="str">
        <f aca="false">IF(Estimates!I298="","",TEXT(Estimates!E298,"0.000")&amp;IF(Estimates!I298&lt;0.01,"***",IF(Estimates!I298&lt;0.05,"**",IF(Estimates!I298&lt;0.1,"*",""))))</f>
        <v>0.943**</v>
      </c>
      <c r="C11" s="8" t="str">
        <f aca="false">IF(Estimates!I299="","",TEXT(Estimates!E299,"0.000")&amp;IF(Estimates!I299&lt;0.01,"***",IF(Estimates!I299&lt;0.05,"**",IF(Estimates!I299&lt;0.1,"*",""))))</f>
        <v>-0.276</v>
      </c>
      <c r="D11" s="10" t="str">
        <f aca="false">IF(Estimates!I300="","",TEXT(Estimates!E300,"0.000")&amp;IF(Estimates!I300&lt;0.01,"***",IF(Estimates!I300&lt;0.05,"**",IF(Estimates!I300&lt;0.1,"*",""))))</f>
        <v>1.219**</v>
      </c>
      <c r="E11" s="8" t="str">
        <f aca="false">IF(Estimates!I301="","",TEXT(Estimates!E301,"0.000")&amp;IF(Estimates!I301&lt;0.01,"***",IF(Estimates!I301&lt;0.05,"**",IF(Estimates!I301&lt;0.1,"*",""))))</f>
        <v>0.859*</v>
      </c>
      <c r="F11" s="8" t="str">
        <f aca="false">IF(Estimates!I302="","",TEXT(Estimates!E302,"0.000")&amp;IF(Estimates!I302&lt;0.01,"***",IF(Estimates!I302&lt;0.05,"**",IF(Estimates!I302&lt;0.1,"*",""))))</f>
        <v>-0.234</v>
      </c>
      <c r="G11" s="10" t="str">
        <f aca="false">IF(Estimates!I303="","",TEXT(Estimates!E303,"0.000")&amp;IF(Estimates!I303&lt;0.01,"***",IF(Estimates!I303&lt;0.05,"**",IF(Estimates!I303&lt;0.1,"*",""))))</f>
        <v>1.092</v>
      </c>
      <c r="H11" s="8" t="str">
        <f aca="false">IF(Estimates!I304="","",TEXT(Estimates!E304,"0.000")&amp;IF(Estimates!I304&lt;0.01,"***",IF(Estimates!I304&lt;0.05,"**",IF(Estimates!I304&lt;0.1,"*",""))))</f>
        <v>0.494**</v>
      </c>
      <c r="I11" s="8" t="str">
        <f aca="false">IF(Estimates!I305="","",TEXT(Estimates!E305,"0.000")&amp;IF(Estimates!I305&lt;0.01,"***",IF(Estimates!I305&lt;0.05,"**",IF(Estimates!I305&lt;0.1,"*",""))))</f>
        <v>0.358</v>
      </c>
      <c r="J11" s="10" t="str">
        <f aca="false">IF(Estimates!I306="","",TEXT(Estimates!E306,"0.000")&amp;IF(Estimates!I306&lt;0.01,"***",IF(Estimates!I306&lt;0.05,"**",IF(Estimates!I306&lt;0.1,"*",""))))</f>
        <v>0.137</v>
      </c>
      <c r="K11" s="8" t="str">
        <f aca="false">IF(Estimates!I307="","",TEXT(Estimates!E307,"0.000")&amp;IF(Estimates!I307&lt;0.01,"***",IF(Estimates!I307&lt;0.05,"**",IF(Estimates!I307&lt;0.1,"*",""))))</f>
        <v>0.363</v>
      </c>
      <c r="L11" s="8" t="str">
        <f aca="false">IF(Estimates!I308="","",TEXT(Estimates!E308,"0.000")&amp;IF(Estimates!I308&lt;0.01,"***",IF(Estimates!I308&lt;0.05,"**",IF(Estimates!I308&lt;0.1,"*",""))))</f>
        <v>0.165</v>
      </c>
      <c r="M11" s="10" t="str">
        <f aca="false">IF(Estimates!I309="","",TEXT(Estimates!E309,"0.000")&amp;IF(Estimates!I309&lt;0.01,"***",IF(Estimates!I309&lt;0.05,"**",IF(Estimates!I309&lt;0.1,"*",""))))</f>
        <v>0.198</v>
      </c>
    </row>
    <row r="12" customFormat="false" ht="15" hidden="false" customHeight="false" outlineLevel="0" collapsed="false">
      <c r="B12" s="8" t="str">
        <f aca="false">IF(Estimates!H298="","","("&amp;TEXT(Estimates!H298,"0.00")&amp;")")</f>
        <v>(2.51)</v>
      </c>
      <c r="C12" s="8" t="str">
        <f aca="false">IF(Estimates!H299="","","("&amp;TEXT(Estimates!H299,"0.00")&amp;")")</f>
        <v>(-0.57)</v>
      </c>
      <c r="D12" s="10" t="str">
        <f aca="false">IF(Estimates!H300="","","("&amp;TEXT(Estimates!H300,"0.00")&amp;")")</f>
        <v>(2.15)</v>
      </c>
      <c r="E12" s="8" t="str">
        <f aca="false">IF(Estimates!H301="","","("&amp;TEXT(Estimates!H301,"0.00")&amp;")")</f>
        <v>(1.97)</v>
      </c>
      <c r="F12" s="8" t="str">
        <f aca="false">IF(Estimates!H302="","","("&amp;TEXT(Estimates!H302,"0.00")&amp;")")</f>
        <v>(-0.47)</v>
      </c>
      <c r="G12" s="10" t="str">
        <f aca="false">IF(Estimates!H303="","","("&amp;TEXT(Estimates!H303,"0.00")&amp;")")</f>
        <v>(1.67)</v>
      </c>
      <c r="H12" s="8" t="str">
        <f aca="false">IF(Estimates!H304="","","("&amp;TEXT(Estimates!H304,"0.00")&amp;")")</f>
        <v>(2.51)</v>
      </c>
      <c r="I12" s="8" t="str">
        <f aca="false">IF(Estimates!H305="","","("&amp;TEXT(Estimates!H305,"0.00")&amp;")")</f>
        <v>(0.85)</v>
      </c>
      <c r="J12" s="10" t="str">
        <f aca="false">IF(Estimates!H306="","","("&amp;TEXT(Estimates!H306,"0.00")&amp;")")</f>
        <v>(0.42)</v>
      </c>
      <c r="K12" s="8" t="str">
        <f aca="false">IF(Estimates!H307="","","("&amp;TEXT(Estimates!H307,"0.00")&amp;")")</f>
        <v>(1.16)</v>
      </c>
      <c r="L12" s="8" t="str">
        <f aca="false">IF(Estimates!H308="","","("&amp;TEXT(Estimates!H308,"0.00")&amp;")")</f>
        <v>(0.44)</v>
      </c>
      <c r="M12" s="10" t="str">
        <f aca="false">IF(Estimates!H309="","","("&amp;TEXT(Estimates!H309,"0.00")&amp;")")</f>
        <v>(0.47)</v>
      </c>
    </row>
    <row r="13" customFormat="false" ht="15" hidden="false" customHeight="false" outlineLevel="0" collapsed="false">
      <c r="A13" s="12" t="s">
        <v>11</v>
      </c>
      <c r="B13" s="18" t="n">
        <v>1566</v>
      </c>
      <c r="C13" s="18" t="n">
        <v>1566</v>
      </c>
      <c r="D13" s="18" t="n">
        <v>1566</v>
      </c>
      <c r="E13" s="18" t="n">
        <v>1565</v>
      </c>
      <c r="F13" s="18" t="n">
        <v>1565</v>
      </c>
      <c r="G13" s="18" t="n">
        <v>1565</v>
      </c>
      <c r="H13" s="18" t="n">
        <v>1395</v>
      </c>
      <c r="I13" s="18" t="n">
        <v>1395</v>
      </c>
      <c r="J13" s="18" t="n">
        <v>1395</v>
      </c>
      <c r="K13" s="18" t="n">
        <v>1394</v>
      </c>
      <c r="L13" s="18" t="n">
        <v>1394</v>
      </c>
      <c r="M13" s="18" t="n">
        <v>1394</v>
      </c>
    </row>
    <row r="15" customFormat="false" ht="15" hidden="false" customHeight="false" outlineLevel="0" collapsed="false">
      <c r="A15" s="9" t="s">
        <v>86</v>
      </c>
    </row>
  </sheetData>
  <mergeCells count="7">
    <mergeCell ref="A2:M2"/>
    <mergeCell ref="B4:G4"/>
    <mergeCell ref="H4:M4"/>
    <mergeCell ref="B5:D5"/>
    <mergeCell ref="E5:G5"/>
    <mergeCell ref="H5:J5"/>
    <mergeCell ref="K5:M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8"/>
    <col collapsed="false" customWidth="true" hidden="false" outlineLevel="0" max="4" min="3" style="0" width="34"/>
  </cols>
  <sheetData>
    <row r="1" customFormat="false" ht="15" hidden="false" customHeight="false" outlineLevel="0" collapsed="false">
      <c r="A1" s="9" t="s">
        <v>87</v>
      </c>
    </row>
    <row r="3" customFormat="false" ht="15" hidden="false" customHeight="false" outlineLevel="0" collapsed="false">
      <c r="A3" s="1" t="s">
        <v>88</v>
      </c>
      <c r="B3" s="1" t="s">
        <v>89</v>
      </c>
      <c r="C3" s="1" t="s">
        <v>90</v>
      </c>
      <c r="D3" s="1" t="s">
        <v>91</v>
      </c>
      <c r="E3" s="1" t="s">
        <v>92</v>
      </c>
      <c r="F3" s="1" t="s">
        <v>93</v>
      </c>
      <c r="G3" s="1" t="s">
        <v>94</v>
      </c>
      <c r="H3" s="1" t="s">
        <v>95</v>
      </c>
      <c r="I3" s="1" t="s">
        <v>96</v>
      </c>
    </row>
    <row r="4" customFormat="false" ht="15" hidden="false" customHeight="false" outlineLevel="0" collapsed="false">
      <c r="A4" s="7" t="s">
        <v>97</v>
      </c>
      <c r="B4" s="7" t="s">
        <v>2</v>
      </c>
      <c r="C4" s="7" t="s">
        <v>4</v>
      </c>
      <c r="D4" s="7" t="s">
        <v>7</v>
      </c>
      <c r="E4" s="22" t="n">
        <v>-0.572965881933974</v>
      </c>
      <c r="F4" s="22" t="n">
        <v>0.168081469649395</v>
      </c>
      <c r="G4" s="23" t="n">
        <v>19</v>
      </c>
      <c r="H4" s="24" t="n">
        <f aca="false">IF(AND(ISNUMBER(E4),F4&gt;0),E4/F4,"")</f>
        <v>-3.40885811582406</v>
      </c>
      <c r="I4" s="24" t="n">
        <f aca="false">IF(H4="","",TDIST(ABS(H4),G4-1,2))</f>
        <v>0.00312950069730116</v>
      </c>
    </row>
    <row r="5" customFormat="false" ht="15" hidden="false" customHeight="false" outlineLevel="0" collapsed="false">
      <c r="A5" s="7" t="s">
        <v>97</v>
      </c>
      <c r="B5" s="7" t="s">
        <v>2</v>
      </c>
      <c r="C5" s="7" t="s">
        <v>5</v>
      </c>
      <c r="D5" s="7" t="s">
        <v>7</v>
      </c>
      <c r="E5" s="22" t="n">
        <v>-0.686818092620605</v>
      </c>
      <c r="F5" s="22" t="n">
        <v>0.252135634107025</v>
      </c>
      <c r="G5" s="23" t="n">
        <v>19</v>
      </c>
      <c r="H5" s="24" t="n">
        <f aca="false">IF(AND(ISNUMBER(E5),F5&gt;0),E5/F5,"")</f>
        <v>-2.72400248006622</v>
      </c>
      <c r="I5" s="24" t="n">
        <f aca="false">IF(H5="","",TDIST(ABS(H5),G5-1,2))</f>
        <v>0.0139227110306616</v>
      </c>
    </row>
    <row r="6" customFormat="false" ht="15" hidden="false" customHeight="false" outlineLevel="0" collapsed="false">
      <c r="A6" s="7" t="s">
        <v>97</v>
      </c>
      <c r="B6" s="7" t="s">
        <v>2</v>
      </c>
      <c r="C6" s="7" t="s">
        <v>6</v>
      </c>
      <c r="D6" s="7" t="s">
        <v>7</v>
      </c>
      <c r="E6" s="22" t="n">
        <v>-0.707091712564775</v>
      </c>
      <c r="F6" s="22" t="n">
        <v>0.253038810623591</v>
      </c>
      <c r="G6" s="23" t="n">
        <v>19</v>
      </c>
      <c r="H6" s="24" t="n">
        <f aca="false">IF(AND(ISNUMBER(E6),F6&gt;0),E6/F6,"")</f>
        <v>-2.79440023774302</v>
      </c>
      <c r="I6" s="24" t="n">
        <f aca="false">IF(H6="","",TDIST(ABS(H6),G6-1,2))</f>
        <v>0.0119795789947573</v>
      </c>
    </row>
    <row r="7" customFormat="false" ht="15" hidden="false" customHeight="false" outlineLevel="0" collapsed="false">
      <c r="A7" s="7" t="s">
        <v>97</v>
      </c>
      <c r="B7" s="7" t="s">
        <v>3</v>
      </c>
      <c r="C7" s="7" t="s">
        <v>4</v>
      </c>
      <c r="D7" s="7" t="s">
        <v>7</v>
      </c>
      <c r="E7" s="22" t="n">
        <v>-0.408092296807447</v>
      </c>
      <c r="F7" s="22" t="n">
        <v>0.114500254847304</v>
      </c>
      <c r="G7" s="23" t="n">
        <v>19</v>
      </c>
      <c r="H7" s="24" t="n">
        <f aca="false">IF(AND(ISNUMBER(E7),F7&gt;0),E7/F7,"")</f>
        <v>-3.56411693014721</v>
      </c>
      <c r="I7" s="24" t="n">
        <f aca="false">IF(H7="","",TDIST(ABS(H7),G7-1,2))</f>
        <v>0.00221725798788238</v>
      </c>
    </row>
    <row r="8" customFormat="false" ht="15" hidden="false" customHeight="false" outlineLevel="0" collapsed="false">
      <c r="A8" s="7" t="s">
        <v>97</v>
      </c>
      <c r="B8" s="7" t="s">
        <v>3</v>
      </c>
      <c r="C8" s="7" t="s">
        <v>5</v>
      </c>
      <c r="D8" s="7" t="s">
        <v>7</v>
      </c>
      <c r="E8" s="22" t="n">
        <v>-0.252982886434987</v>
      </c>
      <c r="F8" s="22" t="n">
        <v>0.119570590082502</v>
      </c>
      <c r="G8" s="23" t="n">
        <v>19</v>
      </c>
      <c r="H8" s="24" t="n">
        <f aca="false">IF(AND(ISNUMBER(E8),F8&gt;0),E8/F8,"")</f>
        <v>-2.11576179611083</v>
      </c>
      <c r="I8" s="24" t="n">
        <f aca="false">IF(H8="","",TDIST(ABS(H8),G8-1,2))</f>
        <v>0.0485652316623361</v>
      </c>
    </row>
    <row r="9" customFormat="false" ht="15" hidden="false" customHeight="false" outlineLevel="0" collapsed="false">
      <c r="A9" s="7" t="s">
        <v>97</v>
      </c>
      <c r="B9" s="7" t="s">
        <v>3</v>
      </c>
      <c r="C9" s="7" t="s">
        <v>6</v>
      </c>
      <c r="D9" s="7" t="s">
        <v>7</v>
      </c>
      <c r="E9" s="22" t="n">
        <v>-0.296677332139522</v>
      </c>
      <c r="F9" s="22" t="n">
        <v>0.147294884102143</v>
      </c>
      <c r="G9" s="23" t="n">
        <v>19</v>
      </c>
      <c r="H9" s="24" t="n">
        <f aca="false">IF(AND(ISNUMBER(E9),F9&gt;0),E9/F9,"")</f>
        <v>-2.01417268459771</v>
      </c>
      <c r="I9" s="24" t="n">
        <f aca="false">IF(H9="","",TDIST(ABS(H9),G9-1,2))</f>
        <v>0.0591841822090719</v>
      </c>
    </row>
    <row r="10" customFormat="false" ht="15" hidden="false" customHeight="false" outlineLevel="0" collapsed="false">
      <c r="A10" s="7" t="s">
        <v>97</v>
      </c>
      <c r="B10" s="7" t="s">
        <v>2</v>
      </c>
      <c r="C10" s="7" t="s">
        <v>4</v>
      </c>
      <c r="D10" s="7" t="s">
        <v>8</v>
      </c>
      <c r="E10" s="22" t="n">
        <v>-0.912758120552716</v>
      </c>
      <c r="F10" s="22" t="n">
        <v>0.210240742633248</v>
      </c>
      <c r="G10" s="23" t="n">
        <v>19</v>
      </c>
      <c r="H10" s="24" t="n">
        <f aca="false">IF(AND(ISNUMBER(E10),F10&gt;0),E10/F10,"")</f>
        <v>-4.34149018463547</v>
      </c>
      <c r="I10" s="24" t="n">
        <f aca="false">IF(H10="","",TDIST(ABS(H10),G10-1,2))</f>
        <v>0.000393228561178736</v>
      </c>
    </row>
    <row r="11" customFormat="false" ht="15" hidden="false" customHeight="false" outlineLevel="0" collapsed="false">
      <c r="A11" s="7" t="s">
        <v>97</v>
      </c>
      <c r="B11" s="7" t="s">
        <v>2</v>
      </c>
      <c r="C11" s="7" t="s">
        <v>5</v>
      </c>
      <c r="D11" s="7" t="s">
        <v>8</v>
      </c>
      <c r="E11" s="22" t="n">
        <v>-0.968468795525488</v>
      </c>
      <c r="F11" s="22" t="n">
        <v>0.31223020398184</v>
      </c>
      <c r="G11" s="23" t="n">
        <v>19</v>
      </c>
      <c r="H11" s="24" t="n">
        <f aca="false">IF(AND(ISNUMBER(E11),F11&gt;0),E11/F11,"")</f>
        <v>-3.10177805726257</v>
      </c>
      <c r="I11" s="24" t="n">
        <f aca="false">IF(H11="","",TDIST(ABS(H11),G11-1,2))</f>
        <v>0.00615533116806044</v>
      </c>
    </row>
    <row r="12" customFormat="false" ht="15" hidden="false" customHeight="false" outlineLevel="0" collapsed="false">
      <c r="A12" s="7" t="s">
        <v>97</v>
      </c>
      <c r="B12" s="7" t="s">
        <v>2</v>
      </c>
      <c r="C12" s="7" t="s">
        <v>6</v>
      </c>
      <c r="D12" s="7" t="s">
        <v>8</v>
      </c>
      <c r="E12" s="22" t="n">
        <v>-1.00950405721586</v>
      </c>
      <c r="F12" s="22" t="n">
        <v>0.321786281649757</v>
      </c>
      <c r="G12" s="23" t="n">
        <v>19</v>
      </c>
      <c r="H12" s="24" t="n">
        <f aca="false">IF(AND(ISNUMBER(E12),F12&gt;0),E12/F12,"")</f>
        <v>-3.13718798713312</v>
      </c>
      <c r="I12" s="24" t="n">
        <f aca="false">IF(H12="","",TDIST(ABS(H12),G12-1,2))</f>
        <v>0.00569610600512128</v>
      </c>
    </row>
    <row r="13" customFormat="false" ht="15" hidden="false" customHeight="false" outlineLevel="0" collapsed="false">
      <c r="A13" s="7" t="s">
        <v>97</v>
      </c>
      <c r="B13" s="7" t="s">
        <v>3</v>
      </c>
      <c r="C13" s="7" t="s">
        <v>4</v>
      </c>
      <c r="D13" s="7" t="s">
        <v>8</v>
      </c>
      <c r="E13" s="22" t="n">
        <v>-0.56281523617267</v>
      </c>
      <c r="F13" s="22" t="n">
        <v>0.179700459991767</v>
      </c>
      <c r="G13" s="23" t="n">
        <v>19</v>
      </c>
      <c r="H13" s="24" t="n">
        <f aca="false">IF(AND(ISNUMBER(E13),F13&gt;0),E13/F13,"")</f>
        <v>-3.13196324705266</v>
      </c>
      <c r="I13" s="24" t="n">
        <f aca="false">IF(H13="","",TDIST(ABS(H13),G13-1,2))</f>
        <v>0.00576169774067456</v>
      </c>
    </row>
    <row r="14" customFormat="false" ht="15" hidden="false" customHeight="false" outlineLevel="0" collapsed="false">
      <c r="A14" s="7" t="s">
        <v>97</v>
      </c>
      <c r="B14" s="7" t="s">
        <v>3</v>
      </c>
      <c r="C14" s="7" t="s">
        <v>5</v>
      </c>
      <c r="D14" s="7" t="s">
        <v>8</v>
      </c>
      <c r="E14" s="22" t="n">
        <v>-0.362650844101327</v>
      </c>
      <c r="F14" s="22" t="n">
        <v>0.184758481605257</v>
      </c>
      <c r="G14" s="23" t="n">
        <v>19</v>
      </c>
      <c r="H14" s="24" t="n">
        <f aca="false">IF(AND(ISNUMBER(E14),F14&gt;0),E14/F14,"")</f>
        <v>-1.96283732660319</v>
      </c>
      <c r="I14" s="24" t="n">
        <f aca="false">IF(H14="","",TDIST(ABS(H14),G14-1,2))</f>
        <v>0.0653094224015201</v>
      </c>
    </row>
    <row r="15" customFormat="false" ht="15" hidden="false" customHeight="false" outlineLevel="0" collapsed="false">
      <c r="A15" s="7" t="s">
        <v>97</v>
      </c>
      <c r="B15" s="7" t="s">
        <v>3</v>
      </c>
      <c r="C15" s="7" t="s">
        <v>6</v>
      </c>
      <c r="D15" s="7" t="s">
        <v>8</v>
      </c>
      <c r="E15" s="22" t="n">
        <v>-0.407265153298645</v>
      </c>
      <c r="F15" s="22" t="n">
        <v>0.212040143091454</v>
      </c>
      <c r="G15" s="23" t="n">
        <v>19</v>
      </c>
      <c r="H15" s="24" t="n">
        <f aca="false">IF(AND(ISNUMBER(E15),F15&gt;0),E15/F15,"")</f>
        <v>-1.92069835155218</v>
      </c>
      <c r="I15" s="24" t="n">
        <f aca="false">IF(H15="","",TDIST(ABS(H15),G15-1,2))</f>
        <v>0.0707546407209695</v>
      </c>
    </row>
    <row r="16" customFormat="false" ht="15" hidden="false" customHeight="false" outlineLevel="0" collapsed="false">
      <c r="A16" s="7" t="s">
        <v>97</v>
      </c>
      <c r="B16" s="7" t="s">
        <v>2</v>
      </c>
      <c r="C16" s="7" t="s">
        <v>4</v>
      </c>
      <c r="D16" s="7" t="s">
        <v>9</v>
      </c>
      <c r="E16" s="22" t="n">
        <v>1.00880865032638</v>
      </c>
      <c r="F16" s="22" t="n">
        <v>0.371039248864098</v>
      </c>
      <c r="G16" s="23" t="n">
        <v>19</v>
      </c>
      <c r="H16" s="24" t="n">
        <f aca="false">IF(AND(ISNUMBER(E16),F16&gt;0),E16/F16,"")</f>
        <v>2.71887314728765</v>
      </c>
      <c r="I16" s="24" t="n">
        <f aca="false">IF(H16="","",TDIST(ABS(H16),G16-1,2))</f>
        <v>0.014075513950478</v>
      </c>
    </row>
    <row r="17" customFormat="false" ht="15" hidden="false" customHeight="false" outlineLevel="0" collapsed="false">
      <c r="A17" s="7" t="s">
        <v>97</v>
      </c>
      <c r="B17" s="7" t="s">
        <v>2</v>
      </c>
      <c r="C17" s="7" t="s">
        <v>5</v>
      </c>
      <c r="D17" s="7" t="s">
        <v>9</v>
      </c>
      <c r="E17" s="22" t="n">
        <v>0.890653197795374</v>
      </c>
      <c r="F17" s="22" t="n">
        <v>0.444591147394613</v>
      </c>
      <c r="G17" s="23" t="n">
        <v>19</v>
      </c>
      <c r="H17" s="24" t="n">
        <f aca="false">IF(AND(ISNUMBER(E17),F17&gt;0),E17/F17,"")</f>
        <v>2.00330843970863</v>
      </c>
      <c r="I17" s="24" t="n">
        <f aca="false">IF(H17="","",TDIST(ABS(H17),G17-1,2))</f>
        <v>0.0604356613442219</v>
      </c>
    </row>
    <row r="18" customFormat="false" ht="15" hidden="false" customHeight="false" outlineLevel="0" collapsed="false">
      <c r="A18" s="7" t="s">
        <v>97</v>
      </c>
      <c r="B18" s="7" t="s">
        <v>2</v>
      </c>
      <c r="C18" s="7" t="s">
        <v>6</v>
      </c>
      <c r="D18" s="7" t="s">
        <v>9</v>
      </c>
      <c r="E18" s="22" t="n">
        <v>0.908049836044691</v>
      </c>
      <c r="F18" s="22" t="n">
        <v>0.446161473466054</v>
      </c>
      <c r="G18" s="23" t="n">
        <v>19</v>
      </c>
      <c r="H18" s="24" t="n">
        <f aca="false">IF(AND(ISNUMBER(E18),F18&gt;0),E18/F18,"")</f>
        <v>2.03524932126122</v>
      </c>
      <c r="I18" s="24" t="n">
        <f aca="false">IF(H18="","",TDIST(ABS(H18),G18-1,2))</f>
        <v>0.0568226350902199</v>
      </c>
    </row>
    <row r="19" customFormat="false" ht="15" hidden="false" customHeight="false" outlineLevel="0" collapsed="false">
      <c r="A19" s="7" t="s">
        <v>97</v>
      </c>
      <c r="B19" s="7" t="s">
        <v>3</v>
      </c>
      <c r="C19" s="7" t="s">
        <v>4</v>
      </c>
      <c r="D19" s="7" t="s">
        <v>9</v>
      </c>
      <c r="E19" s="22" t="n">
        <v>0.42453131520285</v>
      </c>
      <c r="F19" s="22" t="n">
        <v>0.158013648191754</v>
      </c>
      <c r="G19" s="23" t="n">
        <v>19</v>
      </c>
      <c r="H19" s="24" t="n">
        <f aca="false">IF(AND(ISNUMBER(E19),F19&gt;0),E19/F19,"")</f>
        <v>2.68667498068059</v>
      </c>
      <c r="I19" s="24" t="n">
        <f aca="false">IF(H19="","",TDIST(ABS(H19),G19-1,2))</f>
        <v>0.0150719382223053</v>
      </c>
    </row>
    <row r="20" customFormat="false" ht="15" hidden="false" customHeight="false" outlineLevel="0" collapsed="false">
      <c r="A20" s="7" t="s">
        <v>97</v>
      </c>
      <c r="B20" s="7" t="s">
        <v>3</v>
      </c>
      <c r="C20" s="7" t="s">
        <v>5</v>
      </c>
      <c r="D20" s="7" t="s">
        <v>9</v>
      </c>
      <c r="E20" s="22" t="n">
        <v>0.392009964838486</v>
      </c>
      <c r="F20" s="22" t="n">
        <v>0.356253323919242</v>
      </c>
      <c r="G20" s="23" t="n">
        <v>19</v>
      </c>
      <c r="H20" s="24" t="n">
        <f aca="false">IF(AND(ISNUMBER(E20),F20&gt;0),E20/F20,"")</f>
        <v>1.10036858190086</v>
      </c>
      <c r="I20" s="24" t="n">
        <f aca="false">IF(H20="","",TDIST(ABS(H20),G20-1,2))</f>
        <v>0.285670163110788</v>
      </c>
    </row>
    <row r="21" customFormat="false" ht="15" hidden="false" customHeight="false" outlineLevel="0" collapsed="false">
      <c r="A21" s="7" t="s">
        <v>97</v>
      </c>
      <c r="B21" s="7" t="s">
        <v>3</v>
      </c>
      <c r="C21" s="7" t="s">
        <v>6</v>
      </c>
      <c r="D21" s="7" t="s">
        <v>9</v>
      </c>
      <c r="E21" s="22" t="n">
        <v>0.314914004125177</v>
      </c>
      <c r="F21" s="22" t="n">
        <v>0.30824606853797</v>
      </c>
      <c r="G21" s="23" t="n">
        <v>19</v>
      </c>
      <c r="H21" s="24" t="n">
        <f aca="false">IF(AND(ISNUMBER(E21),F21&gt;0),E21/F21,"")</f>
        <v>1.02163185930913</v>
      </c>
      <c r="I21" s="24" t="n">
        <f aca="false">IF(H21="","",TDIST(ABS(H21),G21-1,2))</f>
        <v>0.320490609778521</v>
      </c>
    </row>
    <row r="22" customFormat="false" ht="15" hidden="false" customHeight="false" outlineLevel="0" collapsed="false">
      <c r="A22" s="7" t="s">
        <v>97</v>
      </c>
      <c r="B22" s="7" t="s">
        <v>2</v>
      </c>
      <c r="C22" s="7" t="s">
        <v>4</v>
      </c>
      <c r="D22" s="7" t="s">
        <v>10</v>
      </c>
      <c r="E22" s="22" t="n">
        <v>0.09605052977366</v>
      </c>
      <c r="F22" s="22" t="n">
        <v>0.218313049697424</v>
      </c>
      <c r="G22" s="23" t="n">
        <v>19</v>
      </c>
      <c r="H22" s="24" t="n">
        <f aca="false">IF(AND(ISNUMBER(E22),F22&gt;0),E22/F22,"")</f>
        <v>0.439966964442958</v>
      </c>
      <c r="I22" s="24" t="n">
        <f aca="false">IF(H22="","",TDIST(ABS(H22),G22-1,2))</f>
        <v>0.665198327638914</v>
      </c>
    </row>
    <row r="23" customFormat="false" ht="15" hidden="false" customHeight="false" outlineLevel="0" collapsed="false">
      <c r="A23" s="7" t="s">
        <v>97</v>
      </c>
      <c r="B23" s="7" t="s">
        <v>2</v>
      </c>
      <c r="C23" s="7" t="s">
        <v>5</v>
      </c>
      <c r="D23" s="7" t="s">
        <v>10</v>
      </c>
      <c r="E23" s="22" t="n">
        <v>-0.077815597730114</v>
      </c>
      <c r="F23" s="22" t="n">
        <v>0.278125257227781</v>
      </c>
      <c r="G23" s="23" t="n">
        <v>19</v>
      </c>
      <c r="H23" s="24" t="n">
        <f aca="false">IF(AND(ISNUMBER(E23),F23&gt;0),E23/F23,"")</f>
        <v>-0.279786160040777</v>
      </c>
      <c r="I23" s="24" t="n">
        <f aca="false">IF(H23="","",TDIST(ABS(H23),G23-1,2))</f>
        <v>0.78283134736938</v>
      </c>
    </row>
    <row r="24" customFormat="false" ht="15" hidden="false" customHeight="false" outlineLevel="0" collapsed="false">
      <c r="A24" s="7" t="s">
        <v>97</v>
      </c>
      <c r="B24" s="7" t="s">
        <v>2</v>
      </c>
      <c r="C24" s="7" t="s">
        <v>6</v>
      </c>
      <c r="D24" s="7" t="s">
        <v>10</v>
      </c>
      <c r="E24" s="22" t="n">
        <v>-0.101454221171164</v>
      </c>
      <c r="F24" s="22" t="n">
        <v>0.282558956601419</v>
      </c>
      <c r="G24" s="23" t="n">
        <v>19</v>
      </c>
      <c r="H24" s="24" t="n">
        <f aca="false">IF(AND(ISNUMBER(E24),F24&gt;0),E24/F24,"")</f>
        <v>-0.359055053116849</v>
      </c>
      <c r="I24" s="24" t="n">
        <f aca="false">IF(H24="","",TDIST(ABS(H24),G24-1,2))</f>
        <v>0.7237311929782</v>
      </c>
    </row>
    <row r="25" customFormat="false" ht="15" hidden="false" customHeight="false" outlineLevel="0" collapsed="false">
      <c r="A25" s="7" t="s">
        <v>97</v>
      </c>
      <c r="B25" s="7" t="s">
        <v>3</v>
      </c>
      <c r="C25" s="7" t="s">
        <v>4</v>
      </c>
      <c r="D25" s="7" t="s">
        <v>10</v>
      </c>
      <c r="E25" s="22" t="n">
        <v>-0.13828392096982</v>
      </c>
      <c r="F25" s="22" t="n">
        <v>0.044872997426341</v>
      </c>
      <c r="G25" s="23" t="n">
        <v>19</v>
      </c>
      <c r="H25" s="24" t="n">
        <f aca="false">IF(AND(ISNUMBER(E25),F25&gt;0),E25/F25,"")</f>
        <v>-3.08167336485183</v>
      </c>
      <c r="I25" s="24" t="n">
        <f aca="false">IF(H25="","",TDIST(ABS(H25),G25-1,2))</f>
        <v>0.00643193687374832</v>
      </c>
    </row>
    <row r="26" customFormat="false" ht="15" hidden="false" customHeight="false" outlineLevel="0" collapsed="false">
      <c r="A26" s="7" t="s">
        <v>97</v>
      </c>
      <c r="B26" s="7" t="s">
        <v>3</v>
      </c>
      <c r="C26" s="7" t="s">
        <v>5</v>
      </c>
      <c r="D26" s="7" t="s">
        <v>10</v>
      </c>
      <c r="E26" s="22" t="n">
        <v>0.029359120737159</v>
      </c>
      <c r="F26" s="22" t="n">
        <v>0.217604249552736</v>
      </c>
      <c r="G26" s="23" t="n">
        <v>19</v>
      </c>
      <c r="H26" s="24" t="n">
        <f aca="false">IF(AND(ISNUMBER(E26),F26&gt;0),E26/F26,"")</f>
        <v>0.134919794983342</v>
      </c>
      <c r="I26" s="24" t="n">
        <f aca="false">IF(H26="","",TDIST(ABS(H26),G26-1,2))</f>
        <v>0.894172544100646</v>
      </c>
    </row>
    <row r="27" customFormat="false" ht="15" hidden="false" customHeight="false" outlineLevel="0" collapsed="false">
      <c r="A27" s="7" t="s">
        <v>97</v>
      </c>
      <c r="B27" s="7" t="s">
        <v>3</v>
      </c>
      <c r="C27" s="7" t="s">
        <v>6</v>
      </c>
      <c r="D27" s="7" t="s">
        <v>10</v>
      </c>
      <c r="E27" s="22" t="n">
        <v>-0.0923511491734679</v>
      </c>
      <c r="F27" s="22" t="n">
        <v>0.187998149505033</v>
      </c>
      <c r="G27" s="23" t="n">
        <v>19</v>
      </c>
      <c r="H27" s="24" t="n">
        <f aca="false">IF(AND(ISNUMBER(E27),F27&gt;0),E27/F27,"")</f>
        <v>-0.491234352128533</v>
      </c>
      <c r="I27" s="24" t="n">
        <f aca="false">IF(H27="","",TDIST(ABS(H27),G27-1,2))</f>
        <v>0.629196641951215</v>
      </c>
    </row>
    <row r="28" customFormat="false" ht="15" hidden="false" customHeight="false" outlineLevel="0" collapsed="false">
      <c r="A28" s="7" t="s">
        <v>98</v>
      </c>
      <c r="B28" s="7" t="s">
        <v>2</v>
      </c>
      <c r="C28" s="7" t="s">
        <v>4</v>
      </c>
      <c r="D28" s="7" t="s">
        <v>99</v>
      </c>
      <c r="E28" s="22" t="n">
        <v>-0.525396942474719</v>
      </c>
      <c r="F28" s="22" t="n">
        <v>0.266137401385674</v>
      </c>
      <c r="G28" s="23" t="n">
        <v>19</v>
      </c>
      <c r="H28" s="24" t="n">
        <f aca="false">IF(AND(ISNUMBER(E28),F28&gt;0),E28/F28,"")</f>
        <v>-1.97415673159497</v>
      </c>
      <c r="I28" s="24" t="n">
        <f aca="false">IF(H28="","",TDIST(ABS(H28),G28-1,2))</f>
        <v>0.0639120046962871</v>
      </c>
    </row>
    <row r="29" customFormat="false" ht="15" hidden="false" customHeight="false" outlineLevel="0" collapsed="false">
      <c r="A29" s="7" t="s">
        <v>98</v>
      </c>
      <c r="B29" s="7" t="s">
        <v>2</v>
      </c>
      <c r="C29" s="7" t="s">
        <v>5</v>
      </c>
      <c r="D29" s="7" t="s">
        <v>99</v>
      </c>
      <c r="E29" s="22" t="n">
        <v>-1.02892945148746</v>
      </c>
      <c r="F29" s="22" t="n">
        <v>0.386906675702354</v>
      </c>
      <c r="G29" s="23" t="n">
        <v>19</v>
      </c>
      <c r="H29" s="24" t="n">
        <f aca="false">IF(AND(ISNUMBER(E29),F29&gt;0),E29/F29,"")</f>
        <v>-2.65937373559046</v>
      </c>
      <c r="I29" s="24" t="n">
        <f aca="false">IF(H29="","",TDIST(ABS(H29),G29-1,2))</f>
        <v>0.015969228294197</v>
      </c>
    </row>
    <row r="30" customFormat="false" ht="15" hidden="false" customHeight="false" outlineLevel="0" collapsed="false">
      <c r="A30" s="7" t="s">
        <v>98</v>
      </c>
      <c r="B30" s="7" t="s">
        <v>2</v>
      </c>
      <c r="C30" s="7" t="s">
        <v>6</v>
      </c>
      <c r="D30" s="7" t="s">
        <v>99</v>
      </c>
      <c r="E30" s="22" t="n">
        <v>-0.93242139216505</v>
      </c>
      <c r="F30" s="22" t="n">
        <v>0.469336790776445</v>
      </c>
      <c r="G30" s="23" t="n">
        <v>19</v>
      </c>
      <c r="H30" s="24" t="n">
        <f aca="false">IF(AND(ISNUMBER(E30),F30&gt;0),E30/F30,"")</f>
        <v>-1.98667867188188</v>
      </c>
      <c r="I30" s="24" t="n">
        <f aca="false">IF(H30="","",TDIST(ABS(H30),G30-1,2))</f>
        <v>0.0623973744322752</v>
      </c>
    </row>
    <row r="31" customFormat="false" ht="15" hidden="false" customHeight="false" outlineLevel="0" collapsed="false">
      <c r="A31" s="7" t="s">
        <v>98</v>
      </c>
      <c r="B31" s="7" t="s">
        <v>3</v>
      </c>
      <c r="C31" s="7" t="s">
        <v>4</v>
      </c>
      <c r="D31" s="7" t="s">
        <v>99</v>
      </c>
      <c r="E31" s="22" t="n">
        <v>-0.193456181552883</v>
      </c>
      <c r="F31" s="22" t="n">
        <v>0.160137245631862</v>
      </c>
      <c r="G31" s="23" t="n">
        <v>19</v>
      </c>
      <c r="H31" s="24" t="n">
        <f aca="false">IF(AND(ISNUMBER(E31),F31&gt;0),E31/F31,"")</f>
        <v>-1.20806487453654</v>
      </c>
      <c r="I31" s="24" t="n">
        <f aca="false">IF(H31="","",TDIST(ABS(H31),G31-1,2))</f>
        <v>0.242655421801073</v>
      </c>
    </row>
    <row r="32" customFormat="false" ht="15" hidden="false" customHeight="false" outlineLevel="0" collapsed="false">
      <c r="A32" s="7" t="s">
        <v>98</v>
      </c>
      <c r="B32" s="7" t="s">
        <v>3</v>
      </c>
      <c r="C32" s="7" t="s">
        <v>5</v>
      </c>
      <c r="D32" s="7" t="s">
        <v>99</v>
      </c>
      <c r="E32" s="22" t="n">
        <v>-0.700339081184352</v>
      </c>
      <c r="F32" s="22" t="n">
        <v>0.328515712323017</v>
      </c>
      <c r="G32" s="23" t="n">
        <v>19</v>
      </c>
      <c r="H32" s="24" t="n">
        <f aca="false">IF(AND(ISNUMBER(E32),F32&gt;0),E32/F32,"")</f>
        <v>-2.13182826547954</v>
      </c>
      <c r="I32" s="24" t="n">
        <f aca="false">IF(H32="","",TDIST(ABS(H32),G32-1,2))</f>
        <v>0.0470542007177149</v>
      </c>
    </row>
    <row r="33" customFormat="false" ht="15" hidden="false" customHeight="false" outlineLevel="0" collapsed="false">
      <c r="A33" s="7" t="s">
        <v>98</v>
      </c>
      <c r="B33" s="7" t="s">
        <v>3</v>
      </c>
      <c r="C33" s="7" t="s">
        <v>6</v>
      </c>
      <c r="D33" s="7" t="s">
        <v>99</v>
      </c>
      <c r="E33" s="22" t="n">
        <v>-0.0840616283247902</v>
      </c>
      <c r="F33" s="22" t="n">
        <v>0.29938055562218</v>
      </c>
      <c r="G33" s="23" t="n">
        <v>19</v>
      </c>
      <c r="H33" s="24" t="n">
        <f aca="false">IF(AND(ISNUMBER(E33),F33&gt;0),E33/F33,"")</f>
        <v>-0.280785197121741</v>
      </c>
      <c r="I33" s="24" t="n">
        <f aca="false">IF(H33="","",TDIST(ABS(H33),G33-1,2))</f>
        <v>0.782077080158859</v>
      </c>
    </row>
    <row r="34" customFormat="false" ht="15" hidden="false" customHeight="false" outlineLevel="0" collapsed="false">
      <c r="A34" s="7" t="s">
        <v>98</v>
      </c>
      <c r="B34" s="7" t="s">
        <v>2</v>
      </c>
      <c r="C34" s="7" t="s">
        <v>4</v>
      </c>
      <c r="D34" s="7" t="s">
        <v>100</v>
      </c>
      <c r="E34" s="22" t="n">
        <v>-0.318668072463656</v>
      </c>
      <c r="F34" s="22" t="n">
        <v>0.259917098602283</v>
      </c>
      <c r="G34" s="23" t="n">
        <v>19</v>
      </c>
      <c r="H34" s="24" t="n">
        <f aca="false">IF(AND(ISNUMBER(E34),F34&gt;0),E34/F34,"")</f>
        <v>-1.22603735643907</v>
      </c>
      <c r="I34" s="24" t="n">
        <f aca="false">IF(H34="","",TDIST(ABS(H34),G34-1,2))</f>
        <v>0.235983368592048</v>
      </c>
    </row>
    <row r="35" customFormat="false" ht="15" hidden="false" customHeight="false" outlineLevel="0" collapsed="false">
      <c r="A35" s="7" t="s">
        <v>98</v>
      </c>
      <c r="B35" s="7" t="s">
        <v>2</v>
      </c>
      <c r="C35" s="7" t="s">
        <v>5</v>
      </c>
      <c r="D35" s="7" t="s">
        <v>100</v>
      </c>
      <c r="E35" s="22" t="n">
        <v>0.528268080404219</v>
      </c>
      <c r="F35" s="22" t="n">
        <v>0.369022062985735</v>
      </c>
      <c r="G35" s="23" t="n">
        <v>19</v>
      </c>
      <c r="H35" s="24" t="n">
        <f aca="false">IF(AND(ISNUMBER(E35),F35&gt;0),E35/F35,"")</f>
        <v>1.43153522076711</v>
      </c>
      <c r="I35" s="24" t="n">
        <f aca="false">IF(H35="","",TDIST(ABS(H35),G35-1,2))</f>
        <v>0.169411898905547</v>
      </c>
    </row>
    <row r="36" customFormat="false" ht="15" hidden="false" customHeight="false" outlineLevel="0" collapsed="false">
      <c r="A36" s="7" t="s">
        <v>98</v>
      </c>
      <c r="B36" s="7" t="s">
        <v>2</v>
      </c>
      <c r="C36" s="7" t="s">
        <v>6</v>
      </c>
      <c r="D36" s="7" t="s">
        <v>100</v>
      </c>
      <c r="E36" s="22" t="n">
        <v>0.25288669281227</v>
      </c>
      <c r="F36" s="22" t="n">
        <v>0.480645891842306</v>
      </c>
      <c r="G36" s="23" t="n">
        <v>19</v>
      </c>
      <c r="H36" s="24" t="n">
        <f aca="false">IF(AND(ISNUMBER(E36),F36&gt;0),E36/F36,"")</f>
        <v>0.526139299439262</v>
      </c>
      <c r="I36" s="24" t="n">
        <f aca="false">IF(H36="","",TDIST(ABS(H36),G36-1,2))</f>
        <v>0.605214206819617</v>
      </c>
    </row>
    <row r="37" customFormat="false" ht="15" hidden="false" customHeight="false" outlineLevel="0" collapsed="false">
      <c r="A37" s="7" t="s">
        <v>98</v>
      </c>
      <c r="B37" s="7" t="s">
        <v>3</v>
      </c>
      <c r="C37" s="7" t="s">
        <v>4</v>
      </c>
      <c r="D37" s="7" t="s">
        <v>100</v>
      </c>
      <c r="E37" s="22" t="n">
        <v>-0.615548228790575</v>
      </c>
      <c r="F37" s="22" t="n">
        <v>0.141001890095141</v>
      </c>
      <c r="G37" s="23" t="n">
        <v>19</v>
      </c>
      <c r="H37" s="24" t="n">
        <f aca="false">IF(AND(ISNUMBER(E37),F37&gt;0),E37/F37,"")</f>
        <v>-4.36553175546254</v>
      </c>
      <c r="I37" s="24" t="n">
        <f aca="false">IF(H37="","",TDIST(ABS(H37),G37-1,2))</f>
        <v>0.000372842334505505</v>
      </c>
    </row>
    <row r="38" customFormat="false" ht="15" hidden="false" customHeight="false" outlineLevel="0" collapsed="false">
      <c r="A38" s="7" t="s">
        <v>98</v>
      </c>
      <c r="B38" s="7" t="s">
        <v>3</v>
      </c>
      <c r="C38" s="7" t="s">
        <v>5</v>
      </c>
      <c r="D38" s="7" t="s">
        <v>100</v>
      </c>
      <c r="E38" s="22" t="n">
        <v>0.114897319158809</v>
      </c>
      <c r="F38" s="22" t="n">
        <v>0.331717759384526</v>
      </c>
      <c r="G38" s="23" t="n">
        <v>19</v>
      </c>
      <c r="H38" s="24" t="n">
        <f aca="false">IF(AND(ISNUMBER(E38),F38&gt;0),E38/F38,"")</f>
        <v>0.346370720012071</v>
      </c>
      <c r="I38" s="24" t="n">
        <f aca="false">IF(H38="","",TDIST(ABS(H38),G38-1,2))</f>
        <v>0.733080062384135</v>
      </c>
    </row>
    <row r="39" customFormat="false" ht="15" hidden="false" customHeight="false" outlineLevel="0" collapsed="false">
      <c r="A39" s="7" t="s">
        <v>98</v>
      </c>
      <c r="B39" s="7" t="s">
        <v>3</v>
      </c>
      <c r="C39" s="7" t="s">
        <v>6</v>
      </c>
      <c r="D39" s="7" t="s">
        <v>100</v>
      </c>
      <c r="E39" s="22" t="n">
        <v>-0.61338656500935</v>
      </c>
      <c r="F39" s="22" t="n">
        <v>0.246884109201467</v>
      </c>
      <c r="G39" s="23" t="n">
        <v>19</v>
      </c>
      <c r="H39" s="24" t="n">
        <f aca="false">IF(AND(ISNUMBER(E39),F39&gt;0),E39/F39,"")</f>
        <v>-2.48451213402643</v>
      </c>
      <c r="I39" s="24" t="n">
        <f aca="false">IF(H39="","",TDIST(ABS(H39),G39-1,2))</f>
        <v>0.0230371884089502</v>
      </c>
    </row>
    <row r="40" customFormat="false" ht="15" hidden="false" customHeight="false" outlineLevel="0" collapsed="false">
      <c r="A40" s="7" t="s">
        <v>98</v>
      </c>
      <c r="B40" s="7" t="s">
        <v>2</v>
      </c>
      <c r="C40" s="7" t="s">
        <v>4</v>
      </c>
      <c r="D40" s="7" t="s">
        <v>101</v>
      </c>
      <c r="E40" s="22" t="n">
        <v>-0.18409643918356</v>
      </c>
      <c r="F40" s="22" t="n">
        <v>0.142008599990721</v>
      </c>
      <c r="G40" s="23" t="n">
        <v>19</v>
      </c>
      <c r="H40" s="24" t="n">
        <f aca="false">IF(AND(ISNUMBER(E40),F40&gt;0),E40/F40,"")</f>
        <v>-1.29637528428271</v>
      </c>
      <c r="I40" s="24" t="n">
        <f aca="false">IF(H40="","",TDIST(ABS(H40),G40-1,2))</f>
        <v>0.211221202983966</v>
      </c>
    </row>
    <row r="41" customFormat="false" ht="15" hidden="false" customHeight="false" outlineLevel="0" collapsed="false">
      <c r="A41" s="7" t="s">
        <v>98</v>
      </c>
      <c r="B41" s="7" t="s">
        <v>2</v>
      </c>
      <c r="C41" s="7" t="s">
        <v>5</v>
      </c>
      <c r="D41" s="7" t="s">
        <v>101</v>
      </c>
      <c r="E41" s="22" t="n">
        <v>0.366170273557459</v>
      </c>
      <c r="F41" s="22" t="n">
        <v>0.164150502144648</v>
      </c>
      <c r="G41" s="23" t="n">
        <v>19</v>
      </c>
      <c r="H41" s="24" t="n">
        <f aca="false">IF(AND(ISNUMBER(E41),F41&gt;0),E41/F41,"")</f>
        <v>2.23069846740276</v>
      </c>
      <c r="I41" s="24" t="n">
        <f aca="false">IF(H41="","",TDIST(ABS(H41),G41-1,2))</f>
        <v>0.0386633043792573</v>
      </c>
    </row>
    <row r="42" customFormat="false" ht="15" hidden="false" customHeight="false" outlineLevel="0" collapsed="false">
      <c r="A42" s="7" t="s">
        <v>98</v>
      </c>
      <c r="B42" s="7" t="s">
        <v>2</v>
      </c>
      <c r="C42" s="7" t="s">
        <v>6</v>
      </c>
      <c r="D42" s="7" t="s">
        <v>101</v>
      </c>
      <c r="E42" s="22" t="n">
        <v>0.13359335288701</v>
      </c>
      <c r="F42" s="22" t="n">
        <v>0.191453299190668</v>
      </c>
      <c r="G42" s="23" t="n">
        <v>19</v>
      </c>
      <c r="H42" s="24" t="n">
        <f aca="false">IF(AND(ISNUMBER(E42),F42&gt;0),E42/F42,"")</f>
        <v>0.697785587669422</v>
      </c>
      <c r="I42" s="24" t="n">
        <f aca="false">IF(H42="","",TDIST(ABS(H42),G42-1,2))</f>
        <v>0.494227220659127</v>
      </c>
    </row>
    <row r="43" customFormat="false" ht="15" hidden="false" customHeight="false" outlineLevel="0" collapsed="false">
      <c r="A43" s="7" t="s">
        <v>98</v>
      </c>
      <c r="B43" s="7" t="s">
        <v>3</v>
      </c>
      <c r="C43" s="7" t="s">
        <v>4</v>
      </c>
      <c r="D43" s="7" t="s">
        <v>101</v>
      </c>
      <c r="E43" s="22" t="n">
        <v>-0.405117058296255</v>
      </c>
      <c r="F43" s="22" t="n">
        <v>0.175553617833473</v>
      </c>
      <c r="G43" s="23" t="n">
        <v>19</v>
      </c>
      <c r="H43" s="24" t="n">
        <f aca="false">IF(AND(ISNUMBER(E43),F43&gt;0),E43/F43,"")</f>
        <v>-2.3076542841774</v>
      </c>
      <c r="I43" s="24" t="n">
        <f aca="false">IF(H43="","",TDIST(ABS(H43),G43-1,2))</f>
        <v>0.033110922590867</v>
      </c>
    </row>
    <row r="44" customFormat="false" ht="15" hidden="false" customHeight="false" outlineLevel="0" collapsed="false">
      <c r="A44" s="7" t="s">
        <v>98</v>
      </c>
      <c r="B44" s="7" t="s">
        <v>3</v>
      </c>
      <c r="C44" s="7" t="s">
        <v>5</v>
      </c>
      <c r="D44" s="7" t="s">
        <v>101</v>
      </c>
      <c r="E44" s="22" t="n">
        <v>0.618233198046639</v>
      </c>
      <c r="F44" s="22" t="n">
        <v>0.214777190265425</v>
      </c>
      <c r="G44" s="23" t="n">
        <v>19</v>
      </c>
      <c r="H44" s="24" t="n">
        <f aca="false">IF(AND(ISNUMBER(E44),F44&gt;0),E44/F44,"")</f>
        <v>2.87848629215522</v>
      </c>
      <c r="I44" s="24" t="n">
        <f aca="false">IF(H44="","",TDIST(ABS(H44),G44-1,2))</f>
        <v>0.00999901204477992</v>
      </c>
    </row>
    <row r="45" customFormat="false" ht="15" hidden="false" customHeight="false" outlineLevel="0" collapsed="false">
      <c r="A45" s="7" t="s">
        <v>98</v>
      </c>
      <c r="B45" s="7" t="s">
        <v>3</v>
      </c>
      <c r="C45" s="7" t="s">
        <v>6</v>
      </c>
      <c r="D45" s="7" t="s">
        <v>101</v>
      </c>
      <c r="E45" s="22" t="n">
        <v>-0.43527706824999</v>
      </c>
      <c r="F45" s="22" t="n">
        <v>0.210228722665844</v>
      </c>
      <c r="G45" s="23" t="n">
        <v>19</v>
      </c>
      <c r="H45" s="24" t="n">
        <f aca="false">IF(AND(ISNUMBER(E45),F45&gt;0),E45/F45,"")</f>
        <v>-2.07049285525964</v>
      </c>
      <c r="I45" s="24" t="n">
        <f aca="false">IF(H45="","",TDIST(ABS(H45),G45-1,2))</f>
        <v>0.0530631302118575</v>
      </c>
    </row>
    <row r="46" customFormat="false" ht="15" hidden="false" customHeight="false" outlineLevel="0" collapsed="false">
      <c r="A46" s="7" t="s">
        <v>98</v>
      </c>
      <c r="B46" s="7" t="s">
        <v>2</v>
      </c>
      <c r="C46" s="7" t="s">
        <v>4</v>
      </c>
      <c r="D46" s="7" t="s">
        <v>102</v>
      </c>
      <c r="E46" s="22" t="n">
        <v>-1.32000486549787</v>
      </c>
      <c r="F46" s="22" t="n">
        <v>0.263773492995938</v>
      </c>
      <c r="G46" s="23" t="n">
        <v>19</v>
      </c>
      <c r="H46" s="24" t="n">
        <f aca="false">IF(AND(ISNUMBER(E46),F46&gt;0),E46/F46,"")</f>
        <v>-5.00431203494053</v>
      </c>
      <c r="I46" s="24" t="n">
        <f aca="false">IF(H46="","",TDIST(ABS(H46),G46-1,2))</f>
        <v>9.19791122562813E-005</v>
      </c>
    </row>
    <row r="47" customFormat="false" ht="15" hidden="false" customHeight="false" outlineLevel="0" collapsed="false">
      <c r="A47" s="7" t="s">
        <v>98</v>
      </c>
      <c r="B47" s="7" t="s">
        <v>2</v>
      </c>
      <c r="C47" s="7" t="s">
        <v>5</v>
      </c>
      <c r="D47" s="7" t="s">
        <v>102</v>
      </c>
      <c r="E47" s="22" t="n">
        <v>-0.362471789907882</v>
      </c>
      <c r="F47" s="22" t="n">
        <v>0.261159970887327</v>
      </c>
      <c r="G47" s="23" t="n">
        <v>19</v>
      </c>
      <c r="H47" s="24" t="n">
        <f aca="false">IF(AND(ISNUMBER(E47),F47&gt;0),E47/F47,"")</f>
        <v>-1.38793012067023</v>
      </c>
      <c r="I47" s="24" t="n">
        <f aca="false">IF(H47="","",TDIST(ABS(H47),G47-1,2))</f>
        <v>0.182100074203292</v>
      </c>
    </row>
    <row r="48" customFormat="false" ht="15" hidden="false" customHeight="false" outlineLevel="0" collapsed="false">
      <c r="A48" s="7" t="s">
        <v>98</v>
      </c>
      <c r="B48" s="7" t="s">
        <v>2</v>
      </c>
      <c r="C48" s="7" t="s">
        <v>6</v>
      </c>
      <c r="D48" s="7" t="s">
        <v>102</v>
      </c>
      <c r="E48" s="22" t="n">
        <v>-1.05843416975771</v>
      </c>
      <c r="F48" s="22" t="n">
        <v>0.32534123519712</v>
      </c>
      <c r="G48" s="23" t="n">
        <v>19</v>
      </c>
      <c r="H48" s="24" t="n">
        <f aca="false">IF(AND(ISNUMBER(E48),F48&gt;0),E48/F48,"")</f>
        <v>-3.25330470057512</v>
      </c>
      <c r="I48" s="24" t="n">
        <f aca="false">IF(H48="","",TDIST(ABS(H48),G48-1,2))</f>
        <v>0.00441316116422883</v>
      </c>
    </row>
    <row r="49" customFormat="false" ht="15" hidden="false" customHeight="false" outlineLevel="0" collapsed="false">
      <c r="A49" s="7" t="s">
        <v>98</v>
      </c>
      <c r="B49" s="7" t="s">
        <v>3</v>
      </c>
      <c r="C49" s="7" t="s">
        <v>4</v>
      </c>
      <c r="D49" s="7" t="s">
        <v>102</v>
      </c>
      <c r="E49" s="22" t="n">
        <v>-0.527487606251912</v>
      </c>
      <c r="F49" s="22" t="n">
        <v>0.199447437523476</v>
      </c>
      <c r="G49" s="23" t="n">
        <v>19</v>
      </c>
      <c r="H49" s="24" t="n">
        <f aca="false">IF(AND(ISNUMBER(E49),F49&gt;0),E49/F49,"")</f>
        <v>-2.64474496539884</v>
      </c>
      <c r="I49" s="24" t="n">
        <f aca="false">IF(H49="","",TDIST(ABS(H49),G49-1,2))</f>
        <v>0.0164707396091602</v>
      </c>
    </row>
    <row r="50" customFormat="false" ht="15" hidden="false" customHeight="false" outlineLevel="0" collapsed="false">
      <c r="A50" s="7" t="s">
        <v>98</v>
      </c>
      <c r="B50" s="7" t="s">
        <v>3</v>
      </c>
      <c r="C50" s="7" t="s">
        <v>5</v>
      </c>
      <c r="D50" s="7" t="s">
        <v>102</v>
      </c>
      <c r="E50" s="22" t="n">
        <v>0.932547746650317</v>
      </c>
      <c r="F50" s="22" t="n">
        <v>0.210659075863438</v>
      </c>
      <c r="G50" s="23" t="n">
        <v>19</v>
      </c>
      <c r="H50" s="24" t="n">
        <f aca="false">IF(AND(ISNUMBER(E50),F50&gt;0),E50/F50,"")</f>
        <v>4.42681020425082</v>
      </c>
      <c r="I50" s="24" t="n">
        <f aca="false">IF(H50="","",TDIST(ABS(H50),G50-1,2))</f>
        <v>0.000325581084996517</v>
      </c>
    </row>
    <row r="51" customFormat="false" ht="15" hidden="false" customHeight="false" outlineLevel="0" collapsed="false">
      <c r="A51" s="7" t="s">
        <v>98</v>
      </c>
      <c r="B51" s="7" t="s">
        <v>3</v>
      </c>
      <c r="C51" s="7" t="s">
        <v>6</v>
      </c>
      <c r="D51" s="7" t="s">
        <v>102</v>
      </c>
      <c r="E51" s="22" t="n">
        <v>-0.43978614542024</v>
      </c>
      <c r="F51" s="22" t="n">
        <v>0.22303055999908</v>
      </c>
      <c r="G51" s="23" t="n">
        <v>19</v>
      </c>
      <c r="H51" s="24" t="n">
        <f aca="false">IF(AND(ISNUMBER(E51),F51&gt;0),E51/F51,"")</f>
        <v>-1.97186495618382</v>
      </c>
      <c r="I51" s="24" t="n">
        <f aca="false">IF(H51="","",TDIST(ABS(H51),G51-1,2))</f>
        <v>0.0641927517708492</v>
      </c>
    </row>
    <row r="52" customFormat="false" ht="15" hidden="false" customHeight="false" outlineLevel="0" collapsed="false">
      <c r="A52" s="7" t="s">
        <v>98</v>
      </c>
      <c r="B52" s="7" t="s">
        <v>2</v>
      </c>
      <c r="C52" s="7" t="s">
        <v>4</v>
      </c>
      <c r="D52" s="7" t="s">
        <v>103</v>
      </c>
      <c r="E52" s="22" t="n">
        <v>-1.54053033961076</v>
      </c>
      <c r="F52" s="22" t="n">
        <v>0.34458059301769</v>
      </c>
      <c r="G52" s="23" t="n">
        <v>19</v>
      </c>
      <c r="H52" s="24" t="n">
        <f aca="false">IF(AND(ISNUMBER(E52),F52&gt;0),E52/F52,"")</f>
        <v>-4.47074028783646</v>
      </c>
      <c r="I52" s="24" t="n">
        <f aca="false">IF(H52="","",TDIST(ABS(H52),G52-1,2))</f>
        <v>0.00029547305437767</v>
      </c>
    </row>
    <row r="53" customFormat="false" ht="15" hidden="false" customHeight="false" outlineLevel="0" collapsed="false">
      <c r="A53" s="7" t="s">
        <v>98</v>
      </c>
      <c r="B53" s="7" t="s">
        <v>2</v>
      </c>
      <c r="C53" s="7" t="s">
        <v>5</v>
      </c>
      <c r="D53" s="7" t="s">
        <v>103</v>
      </c>
      <c r="E53" s="22" t="n">
        <v>-0.86591319713054</v>
      </c>
      <c r="F53" s="22" t="n">
        <v>0.324915721744368</v>
      </c>
      <c r="G53" s="23" t="n">
        <v>19</v>
      </c>
      <c r="H53" s="24" t="n">
        <f aca="false">IF(AND(ISNUMBER(E53),F53&gt;0),E53/F53,"")</f>
        <v>-2.66503939077411</v>
      </c>
      <c r="I53" s="24" t="n">
        <f aca="false">IF(H53="","",TDIST(ABS(H53),G53-1,2))</f>
        <v>0.0157789308649316</v>
      </c>
    </row>
    <row r="54" customFormat="false" ht="15" hidden="false" customHeight="false" outlineLevel="0" collapsed="false">
      <c r="A54" s="7" t="s">
        <v>98</v>
      </c>
      <c r="B54" s="7" t="s">
        <v>2</v>
      </c>
      <c r="C54" s="7" t="s">
        <v>6</v>
      </c>
      <c r="D54" s="7" t="s">
        <v>103</v>
      </c>
      <c r="E54" s="22" t="n">
        <v>-1.47223785118221</v>
      </c>
      <c r="F54" s="22" t="n">
        <v>0.405106088277527</v>
      </c>
      <c r="G54" s="23" t="n">
        <v>19</v>
      </c>
      <c r="H54" s="24" t="n">
        <f aca="false">IF(AND(ISNUMBER(E54),F54&gt;0),E54/F54,"")</f>
        <v>-3.63420322178329</v>
      </c>
      <c r="I54" s="24" t="n">
        <f aca="false">IF(H54="","",TDIST(ABS(H54),G54-1,2))</f>
        <v>0.00189718071970688</v>
      </c>
    </row>
    <row r="55" customFormat="false" ht="15" hidden="false" customHeight="false" outlineLevel="0" collapsed="false">
      <c r="A55" s="7" t="s">
        <v>98</v>
      </c>
      <c r="B55" s="7" t="s">
        <v>3</v>
      </c>
      <c r="C55" s="7" t="s">
        <v>4</v>
      </c>
      <c r="D55" s="7" t="s">
        <v>103</v>
      </c>
      <c r="E55" s="22" t="n">
        <v>-1.14624698381504</v>
      </c>
      <c r="F55" s="22" t="n">
        <v>0.182331832994341</v>
      </c>
      <c r="G55" s="23" t="n">
        <v>19</v>
      </c>
      <c r="H55" s="24" t="n">
        <f aca="false">IF(AND(ISNUMBER(E55),F55&gt;0),E55/F55,"")</f>
        <v>-6.28659825873966</v>
      </c>
      <c r="I55" s="24" t="n">
        <f aca="false">IF(H55="","",TDIST(ABS(H55),G55-1,2))</f>
        <v>6.29995492449938E-006</v>
      </c>
    </row>
    <row r="56" customFormat="false" ht="15" hidden="false" customHeight="false" outlineLevel="0" collapsed="false">
      <c r="A56" s="7" t="s">
        <v>98</v>
      </c>
      <c r="B56" s="7" t="s">
        <v>3</v>
      </c>
      <c r="C56" s="7" t="s">
        <v>5</v>
      </c>
      <c r="D56" s="7" t="s">
        <v>103</v>
      </c>
      <c r="E56" s="22" t="n">
        <v>-0.0123140050034345</v>
      </c>
      <c r="F56" s="22" t="n">
        <v>0.159476327907002</v>
      </c>
      <c r="G56" s="23" t="n">
        <v>19</v>
      </c>
      <c r="H56" s="24" t="n">
        <f aca="false">IF(AND(ISNUMBER(E56),F56&gt;0),E56/F56,"")</f>
        <v>-0.0772152529785823</v>
      </c>
      <c r="I56" s="24" t="n">
        <f aca="false">IF(H56="","",TDIST(ABS(H56),G56-1,2))</f>
        <v>0.939304137596796</v>
      </c>
    </row>
    <row r="57" customFormat="false" ht="15" hidden="false" customHeight="false" outlineLevel="0" collapsed="false">
      <c r="A57" s="7" t="s">
        <v>98</v>
      </c>
      <c r="B57" s="7" t="s">
        <v>3</v>
      </c>
      <c r="C57" s="7" t="s">
        <v>6</v>
      </c>
      <c r="D57" s="7" t="s">
        <v>103</v>
      </c>
      <c r="E57" s="22" t="n">
        <v>-1.14993897614029</v>
      </c>
      <c r="F57" s="22" t="n">
        <v>0.201703960219046</v>
      </c>
      <c r="G57" s="23" t="n">
        <v>19</v>
      </c>
      <c r="H57" s="24" t="n">
        <f aca="false">IF(AND(ISNUMBER(E57),F57&gt;0),E57/F57,"")</f>
        <v>-5.70112245139599</v>
      </c>
      <c r="I57" s="24" t="n">
        <f aca="false">IF(H57="","",TDIST(ABS(H57),G57-1,2))</f>
        <v>2.09040258862063E-005</v>
      </c>
    </row>
    <row r="58" customFormat="false" ht="15" hidden="false" customHeight="false" outlineLevel="0" collapsed="false">
      <c r="A58" s="7" t="s">
        <v>98</v>
      </c>
      <c r="B58" s="7" t="s">
        <v>2</v>
      </c>
      <c r="C58" s="7" t="s">
        <v>4</v>
      </c>
      <c r="D58" s="7" t="s">
        <v>104</v>
      </c>
      <c r="E58" s="22" t="n">
        <v>1.68558154296565</v>
      </c>
      <c r="F58" s="22" t="n">
        <v>0.468620042224803</v>
      </c>
      <c r="G58" s="23" t="n">
        <v>19</v>
      </c>
      <c r="H58" s="24" t="n">
        <f aca="false">IF(AND(ISNUMBER(E58),F58&gt;0),E58/F58,"")</f>
        <v>3.59690450916962</v>
      </c>
      <c r="I58" s="24" t="n">
        <f aca="false">IF(H58="","",TDIST(ABS(H58),G58-1,2))</f>
        <v>0.0020613441953756</v>
      </c>
    </row>
    <row r="59" customFormat="false" ht="15" hidden="false" customHeight="false" outlineLevel="0" collapsed="false">
      <c r="A59" s="7" t="s">
        <v>98</v>
      </c>
      <c r="B59" s="7" t="s">
        <v>2</v>
      </c>
      <c r="C59" s="7" t="s">
        <v>5</v>
      </c>
      <c r="D59" s="7" t="s">
        <v>104</v>
      </c>
      <c r="E59" s="22" t="n">
        <v>0.893202507773679</v>
      </c>
      <c r="F59" s="22" t="n">
        <v>0.404753119496833</v>
      </c>
      <c r="G59" s="23" t="n">
        <v>19</v>
      </c>
      <c r="H59" s="24" t="n">
        <f aca="false">IF(AND(ISNUMBER(E59),F59&gt;0),E59/F59,"")</f>
        <v>2.20678350517486</v>
      </c>
      <c r="I59" s="24" t="n">
        <f aca="false">IF(H59="","",TDIST(ABS(H59),G59-1,2))</f>
        <v>0.0405563234505472</v>
      </c>
    </row>
    <row r="60" customFormat="false" ht="15" hidden="false" customHeight="false" outlineLevel="0" collapsed="false">
      <c r="A60" s="7" t="s">
        <v>98</v>
      </c>
      <c r="B60" s="7" t="s">
        <v>2</v>
      </c>
      <c r="C60" s="7" t="s">
        <v>6</v>
      </c>
      <c r="D60" s="7" t="s">
        <v>104</v>
      </c>
      <c r="E60" s="22" t="n">
        <v>1.78394759790332</v>
      </c>
      <c r="F60" s="22" t="n">
        <v>0.475491805048635</v>
      </c>
      <c r="G60" s="23" t="n">
        <v>19</v>
      </c>
      <c r="H60" s="24" t="n">
        <f aca="false">IF(AND(ISNUMBER(E60),F60&gt;0),E60/F60,"")</f>
        <v>3.75179462392808</v>
      </c>
      <c r="I60" s="24" t="n">
        <f aca="false">IF(H60="","",TDIST(ABS(H60),G60-1,2))</f>
        <v>0.00146009389443467</v>
      </c>
    </row>
    <row r="61" customFormat="false" ht="15" hidden="false" customHeight="false" outlineLevel="0" collapsed="false">
      <c r="A61" s="7" t="s">
        <v>98</v>
      </c>
      <c r="B61" s="7" t="s">
        <v>3</v>
      </c>
      <c r="C61" s="7" t="s">
        <v>4</v>
      </c>
      <c r="D61" s="7" t="s">
        <v>104</v>
      </c>
      <c r="E61" s="22" t="n">
        <v>0.53450743616356</v>
      </c>
      <c r="F61" s="22" t="n">
        <v>0.256295473151736</v>
      </c>
      <c r="G61" s="23" t="n">
        <v>19</v>
      </c>
      <c r="H61" s="24" t="n">
        <f aca="false">IF(AND(ISNUMBER(E61),F61&gt;0),E61/F61,"")</f>
        <v>2.08551259056813</v>
      </c>
      <c r="I61" s="24" t="n">
        <f aca="false">IF(H61="","",TDIST(ABS(H61),G61-1,2))</f>
        <v>0.05153052502372</v>
      </c>
    </row>
    <row r="62" customFormat="false" ht="15" hidden="false" customHeight="false" outlineLevel="0" collapsed="false">
      <c r="A62" s="7" t="s">
        <v>98</v>
      </c>
      <c r="B62" s="7" t="s">
        <v>3</v>
      </c>
      <c r="C62" s="7" t="s">
        <v>5</v>
      </c>
      <c r="D62" s="7" t="s">
        <v>104</v>
      </c>
      <c r="E62" s="22" t="n">
        <v>-0.701240264955934</v>
      </c>
      <c r="F62" s="22" t="n">
        <v>0.415618450974054</v>
      </c>
      <c r="G62" s="23" t="n">
        <v>19</v>
      </c>
      <c r="H62" s="24" t="n">
        <f aca="false">IF(AND(ISNUMBER(E62),F62&gt;0),E62/F62,"")</f>
        <v>-1.68722120808758</v>
      </c>
      <c r="I62" s="24" t="n">
        <f aca="false">IF(H62="","",TDIST(ABS(H62),G62-1,2))</f>
        <v>0.108813152187034</v>
      </c>
    </row>
    <row r="63" customFormat="false" ht="15" hidden="false" customHeight="false" outlineLevel="0" collapsed="false">
      <c r="A63" s="7" t="s">
        <v>98</v>
      </c>
      <c r="B63" s="7" t="s">
        <v>3</v>
      </c>
      <c r="C63" s="7" t="s">
        <v>6</v>
      </c>
      <c r="D63" s="7" t="s">
        <v>104</v>
      </c>
      <c r="E63" s="22" t="n">
        <v>0.554773374909158</v>
      </c>
      <c r="F63" s="22" t="n">
        <v>0.32861962736412</v>
      </c>
      <c r="G63" s="23" t="n">
        <v>19</v>
      </c>
      <c r="H63" s="24" t="n">
        <f aca="false">IF(AND(ISNUMBER(E63),F63&gt;0),E63/F63,"")</f>
        <v>1.68819306186618</v>
      </c>
      <c r="I63" s="24" t="n">
        <f aca="false">IF(H63="","",TDIST(ABS(H63),G63-1,2))</f>
        <v>0.10862373519821</v>
      </c>
    </row>
    <row r="64" customFormat="false" ht="15" hidden="false" customHeight="false" outlineLevel="0" collapsed="false">
      <c r="A64" s="7" t="s">
        <v>98</v>
      </c>
      <c r="B64" s="7" t="s">
        <v>2</v>
      </c>
      <c r="C64" s="7" t="s">
        <v>4</v>
      </c>
      <c r="D64" s="7" t="s">
        <v>105</v>
      </c>
      <c r="E64" s="22" t="n">
        <v>0.199926875574084</v>
      </c>
      <c r="F64" s="22" t="n">
        <v>0.438970988983684</v>
      </c>
      <c r="G64" s="23" t="n">
        <v>19</v>
      </c>
      <c r="H64" s="24" t="n">
        <f aca="false">IF(AND(ISNUMBER(E64),F64&gt;0),E64/F64,"")</f>
        <v>0.455444392890199</v>
      </c>
      <c r="I64" s="24" t="n">
        <f aca="false">IF(H64="","",TDIST(ABS(H64),G64-1,2))</f>
        <v>0.65423563101852</v>
      </c>
    </row>
    <row r="65" customFormat="false" ht="15" hidden="false" customHeight="false" outlineLevel="0" collapsed="false">
      <c r="A65" s="7" t="s">
        <v>98</v>
      </c>
      <c r="B65" s="7" t="s">
        <v>2</v>
      </c>
      <c r="C65" s="7" t="s">
        <v>5</v>
      </c>
      <c r="D65" s="7" t="s">
        <v>105</v>
      </c>
      <c r="E65" s="22" t="n">
        <v>0.426871631237553</v>
      </c>
      <c r="F65" s="22" t="n">
        <v>0.457587223515255</v>
      </c>
      <c r="G65" s="23" t="n">
        <v>19</v>
      </c>
      <c r="H65" s="24" t="n">
        <f aca="false">IF(AND(ISNUMBER(E65),F65&gt;0),E65/F65,"")</f>
        <v>0.932874890951412</v>
      </c>
      <c r="I65" s="24" t="n">
        <f aca="false">IF(H65="","",TDIST(ABS(H65),G65-1,2))</f>
        <v>0.36323012074471</v>
      </c>
    </row>
    <row r="66" customFormat="false" ht="15" hidden="false" customHeight="false" outlineLevel="0" collapsed="false">
      <c r="A66" s="7" t="s">
        <v>98</v>
      </c>
      <c r="B66" s="7" t="s">
        <v>2</v>
      </c>
      <c r="C66" s="7" t="s">
        <v>6</v>
      </c>
      <c r="D66" s="7" t="s">
        <v>105</v>
      </c>
      <c r="E66" s="22" t="n">
        <v>0.317656061901238</v>
      </c>
      <c r="F66" s="22" t="n">
        <v>0.441238017928039</v>
      </c>
      <c r="G66" s="23" t="n">
        <v>19</v>
      </c>
      <c r="H66" s="24" t="n">
        <f aca="false">IF(AND(ISNUMBER(E66),F66&gt;0),E66/F66,"")</f>
        <v>0.719919972881948</v>
      </c>
      <c r="I66" s="24" t="n">
        <f aca="false">IF(H66="","",TDIST(ABS(H66),G66-1,2))</f>
        <v>0.480818699003508</v>
      </c>
    </row>
    <row r="67" customFormat="false" ht="15" hidden="false" customHeight="false" outlineLevel="0" collapsed="false">
      <c r="A67" s="7" t="s">
        <v>98</v>
      </c>
      <c r="B67" s="7" t="s">
        <v>3</v>
      </c>
      <c r="C67" s="7" t="s">
        <v>4</v>
      </c>
      <c r="D67" s="7" t="s">
        <v>105</v>
      </c>
      <c r="E67" s="22" t="n">
        <v>0.108092089004378</v>
      </c>
      <c r="F67" s="22" t="n">
        <v>0.267533591554512</v>
      </c>
      <c r="G67" s="23" t="n">
        <v>19</v>
      </c>
      <c r="H67" s="24" t="n">
        <f aca="false">IF(AND(ISNUMBER(E67),F67&gt;0),E67/F67,"")</f>
        <v>0.404031839053577</v>
      </c>
      <c r="I67" s="24" t="n">
        <f aca="false">IF(H67="","",TDIST(ABS(H67),G67-1,2))</f>
        <v>0.690949259955565</v>
      </c>
    </row>
    <row r="68" customFormat="false" ht="15" hidden="false" customHeight="false" outlineLevel="0" collapsed="false">
      <c r="A68" s="7" t="s">
        <v>98</v>
      </c>
      <c r="B68" s="7" t="s">
        <v>3</v>
      </c>
      <c r="C68" s="7" t="s">
        <v>5</v>
      </c>
      <c r="D68" s="7" t="s">
        <v>105</v>
      </c>
      <c r="E68" s="22" t="n">
        <v>1.42177570663751</v>
      </c>
      <c r="F68" s="22" t="n">
        <v>0.622736108079979</v>
      </c>
      <c r="G68" s="23" t="n">
        <v>19</v>
      </c>
      <c r="H68" s="24" t="n">
        <f aca="false">IF(AND(ISNUMBER(E68),F68&gt;0),E68/F68,"")</f>
        <v>2.28311107737294</v>
      </c>
      <c r="I68" s="24" t="n">
        <f aca="false">IF(H68="","",TDIST(ABS(H68),G68-1,2))</f>
        <v>0.0347959818956948</v>
      </c>
    </row>
    <row r="69" customFormat="false" ht="15" hidden="false" customHeight="false" outlineLevel="0" collapsed="false">
      <c r="A69" s="7" t="s">
        <v>98</v>
      </c>
      <c r="B69" s="7" t="s">
        <v>3</v>
      </c>
      <c r="C69" s="7" t="s">
        <v>6</v>
      </c>
      <c r="D69" s="7" t="s">
        <v>105</v>
      </c>
      <c r="E69" s="22" t="n">
        <v>0.00404113977476654</v>
      </c>
      <c r="F69" s="22" t="n">
        <v>0.390675025788427</v>
      </c>
      <c r="G69" s="23" t="n">
        <v>19</v>
      </c>
      <c r="H69" s="24" t="n">
        <f aca="false">IF(AND(ISNUMBER(E69),F69&gt;0),E69/F69,"")</f>
        <v>0.0103439931093908</v>
      </c>
      <c r="I69" s="24" t="n">
        <f aca="false">IF(H69="","",TDIST(ABS(H69),G69-1,2))</f>
        <v>0.991860619849821</v>
      </c>
    </row>
    <row r="70" customFormat="false" ht="15" hidden="false" customHeight="false" outlineLevel="0" collapsed="false">
      <c r="A70" s="7" t="s">
        <v>98</v>
      </c>
      <c r="B70" s="7" t="s">
        <v>2</v>
      </c>
      <c r="C70" s="7" t="s">
        <v>4</v>
      </c>
      <c r="D70" s="7" t="s">
        <v>106</v>
      </c>
      <c r="E70" s="22" t="n">
        <v>0.25015576535387</v>
      </c>
      <c r="F70" s="22" t="n">
        <v>0.205263744855935</v>
      </c>
      <c r="G70" s="23" t="n">
        <v>19</v>
      </c>
      <c r="H70" s="24" t="n">
        <f aca="false">IF(AND(ISNUMBER(E70),F70&gt;0),E70/F70,"")</f>
        <v>1.21870408985007</v>
      </c>
      <c r="I70" s="24" t="n">
        <f aca="false">IF(H70="","",TDIST(ABS(H70),G70-1,2))</f>
        <v>0.238688564658967</v>
      </c>
    </row>
    <row r="71" customFormat="false" ht="15" hidden="false" customHeight="false" outlineLevel="0" collapsed="false">
      <c r="A71" s="7" t="s">
        <v>98</v>
      </c>
      <c r="B71" s="7" t="s">
        <v>2</v>
      </c>
      <c r="C71" s="7" t="s">
        <v>5</v>
      </c>
      <c r="D71" s="7" t="s">
        <v>106</v>
      </c>
      <c r="E71" s="22" t="n">
        <v>-0.0931392780190213</v>
      </c>
      <c r="F71" s="22" t="n">
        <v>0.292988291770488</v>
      </c>
      <c r="G71" s="23" t="n">
        <v>19</v>
      </c>
      <c r="H71" s="24" t="n">
        <f aca="false">IF(AND(ISNUMBER(E71),F71&gt;0),E71/F71,"")</f>
        <v>-0.317894197942837</v>
      </c>
      <c r="I71" s="24" t="n">
        <f aca="false">IF(H71="","",TDIST(ABS(H71),G71-1,2))</f>
        <v>0.754223580612698</v>
      </c>
    </row>
    <row r="72" customFormat="false" ht="15" hidden="false" customHeight="false" outlineLevel="0" collapsed="false">
      <c r="A72" s="7" t="s">
        <v>98</v>
      </c>
      <c r="B72" s="7" t="s">
        <v>2</v>
      </c>
      <c r="C72" s="7" t="s">
        <v>6</v>
      </c>
      <c r="D72" s="7" t="s">
        <v>106</v>
      </c>
      <c r="E72" s="22" t="n">
        <v>0.242094326726687</v>
      </c>
      <c r="F72" s="22" t="n">
        <v>0.31979251531466</v>
      </c>
      <c r="G72" s="23" t="n">
        <v>19</v>
      </c>
      <c r="H72" s="24" t="n">
        <f aca="false">IF(AND(ISNUMBER(E72),F72&gt;0),E72/F72,"")</f>
        <v>0.757035625078585</v>
      </c>
      <c r="I72" s="24" t="n">
        <f aca="false">IF(H72="","",TDIST(ABS(H72),G72-1,2))</f>
        <v>0.458824167858768</v>
      </c>
    </row>
    <row r="73" customFormat="false" ht="15" hidden="false" customHeight="false" outlineLevel="0" collapsed="false">
      <c r="A73" s="7" t="s">
        <v>98</v>
      </c>
      <c r="B73" s="7" t="s">
        <v>3</v>
      </c>
      <c r="C73" s="7" t="s">
        <v>4</v>
      </c>
      <c r="D73" s="7" t="s">
        <v>106</v>
      </c>
      <c r="E73" s="22" t="n">
        <v>-0.0058170981454776</v>
      </c>
      <c r="F73" s="22" t="n">
        <v>0.278208931323118</v>
      </c>
      <c r="G73" s="23" t="n">
        <v>19</v>
      </c>
      <c r="H73" s="24" t="n">
        <f aca="false">IF(AND(ISNUMBER(E73),F73&gt;0),E73/F73,"")</f>
        <v>-0.0209090992076077</v>
      </c>
      <c r="I73" s="24" t="n">
        <f aca="false">IF(H73="","",TDIST(ABS(H73),G73-1,2))</f>
        <v>0.983548208130062</v>
      </c>
    </row>
    <row r="74" customFormat="false" ht="15" hidden="false" customHeight="false" outlineLevel="0" collapsed="false">
      <c r="A74" s="7" t="s">
        <v>98</v>
      </c>
      <c r="B74" s="7" t="s">
        <v>3</v>
      </c>
      <c r="C74" s="7" t="s">
        <v>5</v>
      </c>
      <c r="D74" s="7" t="s">
        <v>106</v>
      </c>
      <c r="E74" s="22" t="n">
        <v>0.117095727049318</v>
      </c>
      <c r="F74" s="22" t="n">
        <v>0.337023719458924</v>
      </c>
      <c r="G74" s="23" t="n">
        <v>19</v>
      </c>
      <c r="H74" s="24" t="n">
        <f aca="false">IF(AND(ISNUMBER(E74),F74&gt;0),E74/F74,"")</f>
        <v>0.347440611115769</v>
      </c>
      <c r="I74" s="24" t="n">
        <f aca="false">IF(H74="","",TDIST(ABS(H74),G74-1,2))</f>
        <v>0.732289823158272</v>
      </c>
    </row>
    <row r="75" customFormat="false" ht="15" hidden="false" customHeight="false" outlineLevel="0" collapsed="false">
      <c r="A75" s="7" t="s">
        <v>98</v>
      </c>
      <c r="B75" s="7" t="s">
        <v>3</v>
      </c>
      <c r="C75" s="7" t="s">
        <v>6</v>
      </c>
      <c r="D75" s="7" t="s">
        <v>106</v>
      </c>
      <c r="E75" s="22" t="n">
        <v>-0.0992508225263501</v>
      </c>
      <c r="F75" s="22" t="n">
        <v>0.430610030024531</v>
      </c>
      <c r="G75" s="23" t="n">
        <v>19</v>
      </c>
      <c r="H75" s="24" t="n">
        <f aca="false">IF(AND(ISNUMBER(E75),F75&gt;0),E75/F75,"")</f>
        <v>-0.230488877652701</v>
      </c>
      <c r="I75" s="24" t="n">
        <f aca="false">IF(H75="","",TDIST(ABS(H75),G75-1,2))</f>
        <v>0.820311202548027</v>
      </c>
    </row>
    <row r="76" customFormat="false" ht="15" hidden="false" customHeight="false" outlineLevel="0" collapsed="false">
      <c r="A76" s="7" t="s">
        <v>98</v>
      </c>
      <c r="B76" s="7" t="s">
        <v>2</v>
      </c>
      <c r="C76" s="7" t="s">
        <v>4</v>
      </c>
      <c r="D76" s="7" t="s">
        <v>107</v>
      </c>
      <c r="E76" s="22" t="n">
        <v>0.274445080350488</v>
      </c>
      <c r="F76" s="22" t="n">
        <v>0.296317424448805</v>
      </c>
      <c r="G76" s="23" t="n">
        <v>19</v>
      </c>
      <c r="H76" s="24" t="n">
        <f aca="false">IF(AND(ISNUMBER(E76),F76&gt;0),E76/F76,"")</f>
        <v>0.926186102153786</v>
      </c>
      <c r="I76" s="24" t="n">
        <f aca="false">IF(H76="","",TDIST(ABS(H76),G76-1,2))</f>
        <v>0.366601601297361</v>
      </c>
    </row>
    <row r="77" customFormat="false" ht="15" hidden="false" customHeight="false" outlineLevel="0" collapsed="false">
      <c r="A77" s="7" t="s">
        <v>98</v>
      </c>
      <c r="B77" s="7" t="s">
        <v>2</v>
      </c>
      <c r="C77" s="7" t="s">
        <v>5</v>
      </c>
      <c r="D77" s="7" t="s">
        <v>107</v>
      </c>
      <c r="E77" s="22" t="n">
        <v>0.065667797514861</v>
      </c>
      <c r="F77" s="22" t="n">
        <v>0.248628504776196</v>
      </c>
      <c r="G77" s="23" t="n">
        <v>19</v>
      </c>
      <c r="H77" s="24" t="n">
        <f aca="false">IF(AND(ISNUMBER(E77),F77&gt;0),E77/F77,"")</f>
        <v>0.264120148146216</v>
      </c>
      <c r="I77" s="24" t="n">
        <f aca="false">IF(H77="","",TDIST(ABS(H77),G77-1,2))</f>
        <v>0.794687617806272</v>
      </c>
    </row>
    <row r="78" customFormat="false" ht="15" hidden="false" customHeight="false" outlineLevel="0" collapsed="false">
      <c r="A78" s="7" t="s">
        <v>98</v>
      </c>
      <c r="B78" s="7" t="s">
        <v>2</v>
      </c>
      <c r="C78" s="7" t="s">
        <v>6</v>
      </c>
      <c r="D78" s="7" t="s">
        <v>107</v>
      </c>
      <c r="E78" s="22" t="n">
        <v>0.569899092204317</v>
      </c>
      <c r="F78" s="22" t="n">
        <v>0.353088004699318</v>
      </c>
      <c r="G78" s="23" t="n">
        <v>19</v>
      </c>
      <c r="H78" s="24" t="n">
        <f aca="false">IF(AND(ISNUMBER(E78),F78&gt;0),E78/F78,"")</f>
        <v>1.61404263135371</v>
      </c>
      <c r="I78" s="24" t="n">
        <f aca="false">IF(H78="","",TDIST(ABS(H78),G78-1,2))</f>
        <v>0.123911337762028</v>
      </c>
    </row>
    <row r="79" customFormat="false" ht="15" hidden="false" customHeight="false" outlineLevel="0" collapsed="false">
      <c r="A79" s="7" t="s">
        <v>98</v>
      </c>
      <c r="B79" s="7" t="s">
        <v>3</v>
      </c>
      <c r="C79" s="7" t="s">
        <v>4</v>
      </c>
      <c r="D79" s="7" t="s">
        <v>107</v>
      </c>
      <c r="E79" s="22" t="n">
        <v>-0.189902035997298</v>
      </c>
      <c r="F79" s="22" t="n">
        <v>0.295660974877699</v>
      </c>
      <c r="G79" s="23" t="n">
        <v>19</v>
      </c>
      <c r="H79" s="24" t="n">
        <f aca="false">IF(AND(ISNUMBER(E79),F79&gt;0),E79/F79,"")</f>
        <v>-0.642296590126078</v>
      </c>
      <c r="I79" s="24" t="n">
        <f aca="false">IF(H79="","",TDIST(ABS(H79),G79-1,2))</f>
        <v>0.528777141841315</v>
      </c>
    </row>
    <row r="80" customFormat="false" ht="15" hidden="false" customHeight="false" outlineLevel="0" collapsed="false">
      <c r="A80" s="7" t="s">
        <v>98</v>
      </c>
      <c r="B80" s="7" t="s">
        <v>3</v>
      </c>
      <c r="C80" s="7" t="s">
        <v>5</v>
      </c>
      <c r="D80" s="7" t="s">
        <v>107</v>
      </c>
      <c r="E80" s="22" t="n">
        <v>-0.21275807507618</v>
      </c>
      <c r="F80" s="22" t="n">
        <v>0.400149651680011</v>
      </c>
      <c r="G80" s="23" t="n">
        <v>19</v>
      </c>
      <c r="H80" s="24" t="n">
        <f aca="false">IF(AND(ISNUMBER(E80),F80&gt;0),E80/F80,"")</f>
        <v>-0.531696264592321</v>
      </c>
      <c r="I80" s="24" t="n">
        <f aca="false">IF(H80="","",TDIST(ABS(H80),G80-1,2))</f>
        <v>0.60143744964753</v>
      </c>
    </row>
    <row r="81" customFormat="false" ht="15" hidden="false" customHeight="false" outlineLevel="0" collapsed="false">
      <c r="A81" s="7" t="s">
        <v>98</v>
      </c>
      <c r="B81" s="7" t="s">
        <v>3</v>
      </c>
      <c r="C81" s="7" t="s">
        <v>6</v>
      </c>
      <c r="D81" s="7" t="s">
        <v>107</v>
      </c>
      <c r="E81" s="22" t="n">
        <v>-0.128533025318675</v>
      </c>
      <c r="F81" s="22" t="n">
        <v>0.463519892338882</v>
      </c>
      <c r="G81" s="23" t="n">
        <v>19</v>
      </c>
      <c r="H81" s="24" t="n">
        <f aca="false">IF(AND(ISNUMBER(E81),F81&gt;0),E81/F81,"")</f>
        <v>-0.277297754515148</v>
      </c>
      <c r="I81" s="24" t="n">
        <f aca="false">IF(H81="","",TDIST(ABS(H81),G81-1,2))</f>
        <v>0.78471104102338</v>
      </c>
    </row>
    <row r="82" customFormat="false" ht="15" hidden="false" customHeight="false" outlineLevel="0" collapsed="false">
      <c r="A82" s="7" t="s">
        <v>98</v>
      </c>
      <c r="B82" s="7" t="s">
        <v>2</v>
      </c>
      <c r="C82" s="7" t="s">
        <v>4</v>
      </c>
      <c r="D82" s="7" t="s">
        <v>108</v>
      </c>
      <c r="E82" s="22" t="n">
        <v>0.800263251593124</v>
      </c>
      <c r="F82" s="22" t="n">
        <v>0.395455346433531</v>
      </c>
      <c r="G82" s="23" t="n">
        <v>19</v>
      </c>
      <c r="H82" s="24" t="n">
        <f aca="false">IF(AND(ISNUMBER(E82),F82&gt;0),E82/F82,"")</f>
        <v>2.02365010060026</v>
      </c>
      <c r="I82" s="24" t="n">
        <f aca="false">IF(H82="","",TDIST(ABS(H82),G82-1,2))</f>
        <v>0.058111552574915</v>
      </c>
    </row>
    <row r="83" customFormat="false" ht="15" hidden="false" customHeight="false" outlineLevel="0" collapsed="false">
      <c r="A83" s="7" t="s">
        <v>98</v>
      </c>
      <c r="B83" s="7" t="s">
        <v>2</v>
      </c>
      <c r="C83" s="7" t="s">
        <v>5</v>
      </c>
      <c r="D83" s="7" t="s">
        <v>108</v>
      </c>
      <c r="E83" s="22" t="n">
        <v>0.542119812361564</v>
      </c>
      <c r="F83" s="22" t="n">
        <v>0.332044592865341</v>
      </c>
      <c r="G83" s="23" t="n">
        <v>19</v>
      </c>
      <c r="H83" s="24" t="n">
        <f aca="false">IF(AND(ISNUMBER(E83),F83&gt;0),E83/F83,"")</f>
        <v>1.63267170738545</v>
      </c>
      <c r="I83" s="24" t="n">
        <f aca="false">IF(H83="","",TDIST(ABS(H83),G83-1,2))</f>
        <v>0.1199081962261</v>
      </c>
    </row>
    <row r="84" customFormat="false" ht="15" hidden="false" customHeight="false" outlineLevel="0" collapsed="false">
      <c r="A84" s="7" t="s">
        <v>98</v>
      </c>
      <c r="B84" s="7" t="s">
        <v>2</v>
      </c>
      <c r="C84" s="7" t="s">
        <v>6</v>
      </c>
      <c r="D84" s="7" t="s">
        <v>108</v>
      </c>
      <c r="E84" s="22" t="n">
        <v>0.91957448638918</v>
      </c>
      <c r="F84" s="22" t="n">
        <v>0.487363116018848</v>
      </c>
      <c r="G84" s="23" t="n">
        <v>19</v>
      </c>
      <c r="H84" s="24" t="n">
        <f aca="false">IF(AND(ISNUMBER(E84),F84&gt;0),E84/F84,"")</f>
        <v>1.88683643912359</v>
      </c>
      <c r="I84" s="24" t="n">
        <f aca="false">IF(H84="","",TDIST(ABS(H84),G84-1,2))</f>
        <v>0.0754191092681875</v>
      </c>
    </row>
    <row r="85" customFormat="false" ht="15" hidden="false" customHeight="false" outlineLevel="0" collapsed="false">
      <c r="A85" s="7" t="s">
        <v>98</v>
      </c>
      <c r="B85" s="7" t="s">
        <v>3</v>
      </c>
      <c r="C85" s="7" t="s">
        <v>4</v>
      </c>
      <c r="D85" s="7" t="s">
        <v>108</v>
      </c>
      <c r="E85" s="22" t="n">
        <v>-0.182963360140364</v>
      </c>
      <c r="F85" s="22" t="n">
        <v>0.243571334246021</v>
      </c>
      <c r="G85" s="23" t="n">
        <v>19</v>
      </c>
      <c r="H85" s="24" t="n">
        <f aca="false">IF(AND(ISNUMBER(E85),F85&gt;0),E85/F85,"")</f>
        <v>-0.751169511415333</v>
      </c>
      <c r="I85" s="24" t="n">
        <f aca="false">IF(H85="","",TDIST(ABS(H85),G85-1,2))</f>
        <v>0.462259214168851</v>
      </c>
    </row>
    <row r="86" customFormat="false" ht="15" hidden="false" customHeight="false" outlineLevel="0" collapsed="false">
      <c r="A86" s="7" t="s">
        <v>98</v>
      </c>
      <c r="B86" s="7" t="s">
        <v>3</v>
      </c>
      <c r="C86" s="7" t="s">
        <v>5</v>
      </c>
      <c r="D86" s="7" t="s">
        <v>108</v>
      </c>
      <c r="E86" s="22" t="n">
        <v>0.933856301535181</v>
      </c>
      <c r="F86" s="22" t="n">
        <v>0.489214638835504</v>
      </c>
      <c r="G86" s="23" t="n">
        <v>19</v>
      </c>
      <c r="H86" s="24" t="n">
        <f aca="false">IF(AND(ISNUMBER(E86),F86&gt;0),E86/F86,"")</f>
        <v>1.90888871142138</v>
      </c>
      <c r="I86" s="24" t="n">
        <f aca="false">IF(H86="","",TDIST(ABS(H86),G86-1,2))</f>
        <v>0.0723514817565632</v>
      </c>
    </row>
    <row r="87" customFormat="false" ht="15" hidden="false" customHeight="false" outlineLevel="0" collapsed="false">
      <c r="A87" s="7" t="s">
        <v>98</v>
      </c>
      <c r="B87" s="7" t="s">
        <v>3</v>
      </c>
      <c r="C87" s="7" t="s">
        <v>6</v>
      </c>
      <c r="D87" s="7" t="s">
        <v>108</v>
      </c>
      <c r="E87" s="22" t="n">
        <v>-0.285871551616289</v>
      </c>
      <c r="F87" s="22" t="n">
        <v>0.462529077295194</v>
      </c>
      <c r="G87" s="23" t="n">
        <v>19</v>
      </c>
      <c r="H87" s="24" t="n">
        <f aca="false">IF(AND(ISNUMBER(E87),F87&gt;0),E87/F87,"")</f>
        <v>-0.618061794704943</v>
      </c>
      <c r="I87" s="24" t="n">
        <f aca="false">IF(H87="","",TDIST(ABS(H87),G87-1,2))</f>
        <v>0.544276319126412</v>
      </c>
    </row>
    <row r="88" customFormat="false" ht="15" hidden="false" customHeight="false" outlineLevel="0" collapsed="false">
      <c r="A88" s="7" t="s">
        <v>98</v>
      </c>
      <c r="B88" s="7" t="s">
        <v>2</v>
      </c>
      <c r="C88" s="7" t="s">
        <v>4</v>
      </c>
      <c r="D88" s="7" t="s">
        <v>109</v>
      </c>
      <c r="E88" s="22" t="n">
        <v>0.0565811455741043</v>
      </c>
      <c r="F88" s="22" t="n">
        <v>0.190224693246628</v>
      </c>
      <c r="G88" s="23" t="n">
        <v>19</v>
      </c>
      <c r="H88" s="24" t="n">
        <f aca="false">IF(AND(ISNUMBER(E88),F88&gt;0),E88/F88,"")</f>
        <v>0.297443747225531</v>
      </c>
      <c r="I88" s="24" t="n">
        <f aca="false">IF(H88="","",TDIST(ABS(H88),G88-1,2))</f>
        <v>0.769533284534747</v>
      </c>
    </row>
    <row r="89" customFormat="false" ht="15" hidden="false" customHeight="false" outlineLevel="0" collapsed="false">
      <c r="A89" s="7" t="s">
        <v>98</v>
      </c>
      <c r="B89" s="7" t="s">
        <v>2</v>
      </c>
      <c r="C89" s="7" t="s">
        <v>5</v>
      </c>
      <c r="D89" s="7" t="s">
        <v>109</v>
      </c>
      <c r="E89" s="22" t="n">
        <v>0.495618955841428</v>
      </c>
      <c r="F89" s="22" t="n">
        <v>0.298239985118491</v>
      </c>
      <c r="G89" s="23" t="n">
        <v>19</v>
      </c>
      <c r="H89" s="24" t="n">
        <f aca="false">IF(AND(ISNUMBER(E89),F89&gt;0),E89/F89,"")</f>
        <v>1.66181256897702</v>
      </c>
      <c r="I89" s="24" t="n">
        <f aca="false">IF(H89="","",TDIST(ABS(H89),G89-1,2))</f>
        <v>0.113866796105628</v>
      </c>
    </row>
    <row r="90" customFormat="false" ht="15" hidden="false" customHeight="false" outlineLevel="0" collapsed="false">
      <c r="A90" s="7" t="s">
        <v>98</v>
      </c>
      <c r="B90" s="7" t="s">
        <v>2</v>
      </c>
      <c r="C90" s="7" t="s">
        <v>6</v>
      </c>
      <c r="D90" s="7" t="s">
        <v>109</v>
      </c>
      <c r="E90" s="22" t="n">
        <v>0.271184742817828</v>
      </c>
      <c r="F90" s="22" t="n">
        <v>0.404282435200157</v>
      </c>
      <c r="G90" s="23" t="n">
        <v>19</v>
      </c>
      <c r="H90" s="24" t="n">
        <f aca="false">IF(AND(ISNUMBER(E90),F90&gt;0),E90/F90,"")</f>
        <v>0.670780422809037</v>
      </c>
      <c r="I90" s="24" t="n">
        <f aca="false">IF(H90="","",TDIST(ABS(H90),G90-1,2))</f>
        <v>0.510876579145232</v>
      </c>
    </row>
    <row r="91" customFormat="false" ht="15" hidden="false" customHeight="false" outlineLevel="0" collapsed="false">
      <c r="A91" s="7" t="s">
        <v>98</v>
      </c>
      <c r="B91" s="7" t="s">
        <v>3</v>
      </c>
      <c r="C91" s="7" t="s">
        <v>4</v>
      </c>
      <c r="D91" s="7" t="s">
        <v>109</v>
      </c>
      <c r="E91" s="22" t="n">
        <v>0.411666141723227</v>
      </c>
      <c r="F91" s="22" t="n">
        <v>0.222957251233875</v>
      </c>
      <c r="G91" s="23" t="n">
        <v>19</v>
      </c>
      <c r="H91" s="24" t="n">
        <f aca="false">IF(AND(ISNUMBER(E91),F91&gt;0),E91/F91,"")</f>
        <v>1.84639046025645</v>
      </c>
      <c r="I91" s="24" t="n">
        <f aca="false">IF(H91="","",TDIST(ABS(H91),G91-1,2))</f>
        <v>0.081345596380778</v>
      </c>
    </row>
    <row r="92" customFormat="false" ht="15" hidden="false" customHeight="false" outlineLevel="0" collapsed="false">
      <c r="A92" s="7" t="s">
        <v>98</v>
      </c>
      <c r="B92" s="7" t="s">
        <v>3</v>
      </c>
      <c r="C92" s="7" t="s">
        <v>5</v>
      </c>
      <c r="D92" s="7" t="s">
        <v>109</v>
      </c>
      <c r="E92" s="22" t="n">
        <v>1.1247079636737</v>
      </c>
      <c r="F92" s="22" t="n">
        <v>0.379113209459863</v>
      </c>
      <c r="G92" s="23" t="n">
        <v>19</v>
      </c>
      <c r="H92" s="24" t="n">
        <f aca="false">IF(AND(ISNUMBER(E92),F92&gt;0),E92/F92,"")</f>
        <v>2.96668102194623</v>
      </c>
      <c r="I92" s="24" t="n">
        <f aca="false">IF(H92="","",TDIST(ABS(H92),G92-1,2))</f>
        <v>0.00826228527814718</v>
      </c>
    </row>
    <row r="93" customFormat="false" ht="15" hidden="false" customHeight="false" outlineLevel="0" collapsed="false">
      <c r="A93" s="7" t="s">
        <v>98</v>
      </c>
      <c r="B93" s="7" t="s">
        <v>3</v>
      </c>
      <c r="C93" s="7" t="s">
        <v>6</v>
      </c>
      <c r="D93" s="7" t="s">
        <v>109</v>
      </c>
      <c r="E93" s="22" t="n">
        <v>0.508978595318942</v>
      </c>
      <c r="F93" s="22" t="n">
        <v>0.381822667111853</v>
      </c>
      <c r="G93" s="23" t="n">
        <v>19</v>
      </c>
      <c r="H93" s="24" t="n">
        <f aca="false">IF(AND(ISNUMBER(E93),F93&gt;0),E93/F93,"")</f>
        <v>1.33302351892545</v>
      </c>
      <c r="I93" s="24" t="n">
        <f aca="false">IF(H93="","",TDIST(ABS(H93),G93-1,2))</f>
        <v>0.199151603346836</v>
      </c>
    </row>
    <row r="94" customFormat="false" ht="15" hidden="false" customHeight="false" outlineLevel="0" collapsed="false">
      <c r="A94" s="7" t="s">
        <v>98</v>
      </c>
      <c r="B94" s="7" t="s">
        <v>2</v>
      </c>
      <c r="C94" s="7" t="s">
        <v>4</v>
      </c>
      <c r="D94" s="7" t="s">
        <v>110</v>
      </c>
      <c r="E94" s="22" t="n">
        <v>0.0249728574752116</v>
      </c>
      <c r="F94" s="22" t="n">
        <v>0.301943154035553</v>
      </c>
      <c r="G94" s="23" t="n">
        <v>19</v>
      </c>
      <c r="H94" s="24" t="n">
        <f aca="false">IF(AND(ISNUMBER(E94),F94&gt;0),E94/F94,"")</f>
        <v>0.0827071491485816</v>
      </c>
      <c r="I94" s="24" t="n">
        <f aca="false">IF(H94="","",TDIST(ABS(H94),G94-1,2))</f>
        <v>0.934997208086653</v>
      </c>
    </row>
    <row r="95" customFormat="false" ht="15" hidden="false" customHeight="false" outlineLevel="0" collapsed="false">
      <c r="A95" s="7" t="s">
        <v>98</v>
      </c>
      <c r="B95" s="7" t="s">
        <v>2</v>
      </c>
      <c r="C95" s="7" t="s">
        <v>5</v>
      </c>
      <c r="D95" s="7" t="s">
        <v>110</v>
      </c>
      <c r="E95" s="22" t="n">
        <v>0.580399265248275</v>
      </c>
      <c r="F95" s="22" t="n">
        <v>0.370513094624496</v>
      </c>
      <c r="G95" s="23" t="n">
        <v>19</v>
      </c>
      <c r="H95" s="24" t="n">
        <f aca="false">IF(AND(ISNUMBER(E95),F95&gt;0),E95/F95,"")</f>
        <v>1.56647436667925</v>
      </c>
      <c r="I95" s="24" t="n">
        <f aca="false">IF(H95="","",TDIST(ABS(H95),G95-1,2))</f>
        <v>0.134648737678141</v>
      </c>
    </row>
    <row r="96" customFormat="false" ht="15" hidden="false" customHeight="false" outlineLevel="0" collapsed="false">
      <c r="A96" s="7" t="s">
        <v>98</v>
      </c>
      <c r="B96" s="7" t="s">
        <v>2</v>
      </c>
      <c r="C96" s="7" t="s">
        <v>6</v>
      </c>
      <c r="D96" s="7" t="s">
        <v>110</v>
      </c>
      <c r="E96" s="22" t="n">
        <v>0.361043442570414</v>
      </c>
      <c r="F96" s="22" t="n">
        <v>0.501783716249009</v>
      </c>
      <c r="G96" s="23" t="n">
        <v>19</v>
      </c>
      <c r="H96" s="24" t="n">
        <f aca="false">IF(AND(ISNUMBER(E96),F96&gt;0),E96/F96,"")</f>
        <v>0.719520045945945</v>
      </c>
      <c r="I96" s="24" t="n">
        <f aca="false">IF(H96="","",TDIST(ABS(H96),G96-1,2))</f>
        <v>0.481059045431994</v>
      </c>
    </row>
    <row r="97" customFormat="false" ht="15" hidden="false" customHeight="false" outlineLevel="0" collapsed="false">
      <c r="A97" s="7" t="s">
        <v>98</v>
      </c>
      <c r="B97" s="7" t="s">
        <v>3</v>
      </c>
      <c r="C97" s="7" t="s">
        <v>4</v>
      </c>
      <c r="D97" s="7" t="s">
        <v>110</v>
      </c>
      <c r="E97" s="22" t="n">
        <v>-0.493765602815637</v>
      </c>
      <c r="F97" s="22" t="n">
        <v>0.147210981572555</v>
      </c>
      <c r="G97" s="23" t="n">
        <v>19</v>
      </c>
      <c r="H97" s="24" t="n">
        <f aca="false">IF(AND(ISNUMBER(E97),F97&gt;0),E97/F97,"")</f>
        <v>-3.35413565986094</v>
      </c>
      <c r="I97" s="24" t="n">
        <f aca="false">IF(H97="","",TDIST(ABS(H97),G97-1,2))</f>
        <v>0.00353247256646951</v>
      </c>
    </row>
    <row r="98" customFormat="false" ht="15" hidden="false" customHeight="false" outlineLevel="0" collapsed="false">
      <c r="A98" s="7" t="s">
        <v>98</v>
      </c>
      <c r="B98" s="7" t="s">
        <v>3</v>
      </c>
      <c r="C98" s="7" t="s">
        <v>5</v>
      </c>
      <c r="D98" s="7" t="s">
        <v>110</v>
      </c>
      <c r="E98" s="22" t="n">
        <v>0.497570363447109</v>
      </c>
      <c r="F98" s="22" t="n">
        <v>0.324702951728222</v>
      </c>
      <c r="G98" s="23" t="n">
        <v>19</v>
      </c>
      <c r="H98" s="24" t="n">
        <f aca="false">IF(AND(ISNUMBER(E98),F98&gt;0),E98/F98,"")</f>
        <v>1.53238632663733</v>
      </c>
      <c r="I98" s="24" t="n">
        <f aca="false">IF(H98="","",TDIST(ABS(H98),G98-1,2))</f>
        <v>0.142814482571782</v>
      </c>
    </row>
    <row r="99" customFormat="false" ht="15" hidden="false" customHeight="false" outlineLevel="0" collapsed="false">
      <c r="A99" s="7" t="s">
        <v>98</v>
      </c>
      <c r="B99" s="7" t="s">
        <v>3</v>
      </c>
      <c r="C99" s="7" t="s">
        <v>6</v>
      </c>
      <c r="D99" s="7" t="s">
        <v>110</v>
      </c>
      <c r="E99" s="22" t="n">
        <v>-0.25867369532149</v>
      </c>
      <c r="F99" s="22" t="n">
        <v>0.235254494151981</v>
      </c>
      <c r="G99" s="23" t="n">
        <v>19</v>
      </c>
      <c r="H99" s="24" t="n">
        <f aca="false">IF(AND(ISNUMBER(E99),F99&gt;0),E99/F99,"")</f>
        <v>-1.09954836890121</v>
      </c>
      <c r="I99" s="24" t="n">
        <f aca="false">IF(H99="","",TDIST(ABS(H99),G99-1,2))</f>
        <v>0.286018048660474</v>
      </c>
    </row>
    <row r="100" customFormat="false" ht="15" hidden="false" customHeight="false" outlineLevel="0" collapsed="false">
      <c r="A100" s="7" t="s">
        <v>98</v>
      </c>
      <c r="B100" s="7" t="s">
        <v>2</v>
      </c>
      <c r="C100" s="7" t="s">
        <v>4</v>
      </c>
      <c r="D100" s="7" t="s">
        <v>111</v>
      </c>
      <c r="E100" s="22" t="n">
        <v>-0.680414431912081</v>
      </c>
      <c r="F100" s="22" t="n">
        <v>0.195630120780194</v>
      </c>
      <c r="G100" s="23" t="n">
        <v>19</v>
      </c>
      <c r="H100" s="24" t="n">
        <f aca="false">IF(AND(ISNUMBER(E100),F100&gt;0),E100/F100,"")</f>
        <v>-3.47806579681347</v>
      </c>
      <c r="I100" s="24" t="n">
        <f aca="false">IF(H100="","",TDIST(ABS(H100),G100-1,2))</f>
        <v>0.00268429464586715</v>
      </c>
    </row>
    <row r="101" customFormat="false" ht="15" hidden="false" customHeight="false" outlineLevel="0" collapsed="false">
      <c r="A101" s="7" t="s">
        <v>98</v>
      </c>
      <c r="B101" s="7" t="s">
        <v>2</v>
      </c>
      <c r="C101" s="7" t="s">
        <v>5</v>
      </c>
      <c r="D101" s="7" t="s">
        <v>111</v>
      </c>
      <c r="E101" s="22" t="n">
        <v>0.532712233232208</v>
      </c>
      <c r="F101" s="22" t="n">
        <v>0.357542303172638</v>
      </c>
      <c r="G101" s="23" t="n">
        <v>19</v>
      </c>
      <c r="H101" s="24" t="n">
        <f aca="false">IF(AND(ISNUMBER(E101),F101&gt;0),E101/F101,"")</f>
        <v>1.48992784491571</v>
      </c>
      <c r="I101" s="24" t="n">
        <f aca="false">IF(H101="","",TDIST(ABS(H101),G101-1,2))</f>
        <v>0.15355757311305</v>
      </c>
    </row>
    <row r="102" customFormat="false" ht="15" hidden="false" customHeight="false" outlineLevel="0" collapsed="false">
      <c r="A102" s="7" t="s">
        <v>98</v>
      </c>
      <c r="B102" s="7" t="s">
        <v>2</v>
      </c>
      <c r="C102" s="7" t="s">
        <v>6</v>
      </c>
      <c r="D102" s="7" t="s">
        <v>111</v>
      </c>
      <c r="E102" s="22" t="n">
        <v>-0.124468495838054</v>
      </c>
      <c r="F102" s="22" t="n">
        <v>0.463004261805011</v>
      </c>
      <c r="G102" s="23" t="n">
        <v>19</v>
      </c>
      <c r="H102" s="24" t="n">
        <f aca="false">IF(AND(ISNUMBER(E102),F102&gt;0),E102/F102,"")</f>
        <v>-0.268827970077027</v>
      </c>
      <c r="I102" s="24" t="n">
        <f aca="false">IF(H102="","",TDIST(ABS(H102),G102-1,2))</f>
        <v>0.791119106845925</v>
      </c>
    </row>
    <row r="103" customFormat="false" ht="15" hidden="false" customHeight="false" outlineLevel="0" collapsed="false">
      <c r="A103" s="7" t="s">
        <v>98</v>
      </c>
      <c r="B103" s="7" t="s">
        <v>3</v>
      </c>
      <c r="C103" s="7" t="s">
        <v>4</v>
      </c>
      <c r="D103" s="7" t="s">
        <v>111</v>
      </c>
      <c r="E103" s="22" t="n">
        <v>-0.364160808914276</v>
      </c>
      <c r="F103" s="22" t="n">
        <v>0.173226955813056</v>
      </c>
      <c r="G103" s="23" t="n">
        <v>19</v>
      </c>
      <c r="H103" s="24" t="n">
        <f aca="false">IF(AND(ISNUMBER(E103),F103&gt;0),E103/F103,"")</f>
        <v>-2.10221790947636</v>
      </c>
      <c r="I103" s="24" t="n">
        <f aca="false">IF(H103="","",TDIST(ABS(H103),G103-1,2))</f>
        <v>0.0498731911799292</v>
      </c>
    </row>
    <row r="104" customFormat="false" ht="15" hidden="false" customHeight="false" outlineLevel="0" collapsed="false">
      <c r="A104" s="7" t="s">
        <v>98</v>
      </c>
      <c r="B104" s="7" t="s">
        <v>3</v>
      </c>
      <c r="C104" s="7" t="s">
        <v>5</v>
      </c>
      <c r="D104" s="7" t="s">
        <v>111</v>
      </c>
      <c r="E104" s="22" t="n">
        <v>0.219924887392601</v>
      </c>
      <c r="F104" s="22" t="n">
        <v>0.466654339563371</v>
      </c>
      <c r="G104" s="23" t="n">
        <v>19</v>
      </c>
      <c r="H104" s="24" t="n">
        <f aca="false">IF(AND(ISNUMBER(E104),F104&gt;0),E104/F104,"")</f>
        <v>0.471280064808516</v>
      </c>
      <c r="I104" s="24" t="n">
        <f aca="false">IF(H104="","",TDIST(ABS(H104),G104-1,2))</f>
        <v>0.643102360294273</v>
      </c>
    </row>
    <row r="105" customFormat="false" ht="15" hidden="false" customHeight="false" outlineLevel="0" collapsed="false">
      <c r="A105" s="7" t="s">
        <v>98</v>
      </c>
      <c r="B105" s="7" t="s">
        <v>3</v>
      </c>
      <c r="C105" s="7" t="s">
        <v>6</v>
      </c>
      <c r="D105" s="7" t="s">
        <v>111</v>
      </c>
      <c r="E105" s="22" t="n">
        <v>0.191872606226623</v>
      </c>
      <c r="F105" s="22" t="n">
        <v>0.265085907579777</v>
      </c>
      <c r="G105" s="23" t="n">
        <v>19</v>
      </c>
      <c r="H105" s="24" t="n">
        <f aca="false">IF(AND(ISNUMBER(E105),F105&gt;0),E105/F105,"")</f>
        <v>0.723812925320744</v>
      </c>
      <c r="I105" s="24" t="n">
        <f aca="false">IF(H105="","",TDIST(ABS(H105),G105-1,2))</f>
        <v>0.478482839833221</v>
      </c>
    </row>
    <row r="106" customFormat="false" ht="15" hidden="false" customHeight="false" outlineLevel="0" collapsed="false">
      <c r="A106" s="7" t="s">
        <v>98</v>
      </c>
      <c r="B106" s="7" t="s">
        <v>2</v>
      </c>
      <c r="C106" s="7" t="s">
        <v>4</v>
      </c>
      <c r="D106" s="7" t="s">
        <v>112</v>
      </c>
      <c r="E106" s="22" t="n">
        <v>0.659284646259174</v>
      </c>
      <c r="F106" s="22" t="n">
        <v>0.253779799171016</v>
      </c>
      <c r="G106" s="23" t="n">
        <v>19</v>
      </c>
      <c r="H106" s="24" t="n">
        <f aca="false">IF(AND(ISNUMBER(E106),F106&gt;0),E106/F106,"")</f>
        <v>2.59786101341699</v>
      </c>
      <c r="I106" s="24" t="n">
        <f aca="false">IF(H106="","",TDIST(ABS(H106),G106-1,2))</f>
        <v>0.0181809371775198</v>
      </c>
    </row>
    <row r="107" customFormat="false" ht="15" hidden="false" customHeight="false" outlineLevel="0" collapsed="false">
      <c r="A107" s="7" t="s">
        <v>98</v>
      </c>
      <c r="B107" s="7" t="s">
        <v>2</v>
      </c>
      <c r="C107" s="7" t="s">
        <v>5</v>
      </c>
      <c r="D107" s="7" t="s">
        <v>112</v>
      </c>
      <c r="E107" s="22" t="n">
        <v>1.45522217866252</v>
      </c>
      <c r="F107" s="22" t="n">
        <v>0.375354539157965</v>
      </c>
      <c r="G107" s="23" t="n">
        <v>19</v>
      </c>
      <c r="H107" s="24" t="n">
        <f aca="false">IF(AND(ISNUMBER(E107),F107&gt;0),E107/F107,"")</f>
        <v>3.87692708319722</v>
      </c>
      <c r="I107" s="24" t="n">
        <f aca="false">IF(H107="","",TDIST(ABS(H107),G107-1,2))</f>
        <v>0.00110478646016351</v>
      </c>
    </row>
    <row r="108" customFormat="false" ht="15" hidden="false" customHeight="false" outlineLevel="0" collapsed="false">
      <c r="A108" s="7" t="s">
        <v>98</v>
      </c>
      <c r="B108" s="7" t="s">
        <v>2</v>
      </c>
      <c r="C108" s="7" t="s">
        <v>6</v>
      </c>
      <c r="D108" s="7" t="s">
        <v>112</v>
      </c>
      <c r="E108" s="22" t="n">
        <v>0.806841563705743</v>
      </c>
      <c r="F108" s="22" t="n">
        <v>0.449971525575797</v>
      </c>
      <c r="G108" s="23" t="n">
        <v>19</v>
      </c>
      <c r="H108" s="24" t="n">
        <f aca="false">IF(AND(ISNUMBER(E108),F108&gt;0),E108/F108,"")</f>
        <v>1.79309471343389</v>
      </c>
      <c r="I108" s="24" t="n">
        <f aca="false">IF(H108="","",TDIST(ABS(H108),G108-1,2))</f>
        <v>0.0897783671025662</v>
      </c>
    </row>
    <row r="109" customFormat="false" ht="15" hidden="false" customHeight="false" outlineLevel="0" collapsed="false">
      <c r="A109" s="7" t="s">
        <v>98</v>
      </c>
      <c r="B109" s="7" t="s">
        <v>3</v>
      </c>
      <c r="C109" s="7" t="s">
        <v>4</v>
      </c>
      <c r="D109" s="7" t="s">
        <v>112</v>
      </c>
      <c r="E109" s="22" t="n">
        <v>-0.289033024108951</v>
      </c>
      <c r="F109" s="22" t="n">
        <v>0.280393838643598</v>
      </c>
      <c r="G109" s="23" t="n">
        <v>19</v>
      </c>
      <c r="H109" s="24" t="n">
        <f aca="false">IF(AND(ISNUMBER(E109),F109&gt;0),E109/F109,"")</f>
        <v>-1.03081089622777</v>
      </c>
      <c r="I109" s="24" t="n">
        <f aca="false">IF(H109="","",TDIST(ABS(H109),G109-1,2))</f>
        <v>0.316282207619397</v>
      </c>
    </row>
    <row r="110" customFormat="false" ht="15" hidden="false" customHeight="false" outlineLevel="0" collapsed="false">
      <c r="A110" s="7" t="s">
        <v>98</v>
      </c>
      <c r="B110" s="7" t="s">
        <v>3</v>
      </c>
      <c r="C110" s="7" t="s">
        <v>5</v>
      </c>
      <c r="D110" s="7" t="s">
        <v>112</v>
      </c>
      <c r="E110" s="22" t="n">
        <v>1.08201957056645</v>
      </c>
      <c r="F110" s="22" t="n">
        <v>0.779063015808075</v>
      </c>
      <c r="G110" s="23" t="n">
        <v>19</v>
      </c>
      <c r="H110" s="24" t="n">
        <f aca="false">IF(AND(ISNUMBER(E110),F110&gt;0),E110/F110,"")</f>
        <v>1.38887297768093</v>
      </c>
      <c r="I110" s="24" t="n">
        <f aca="false">IF(H110="","",TDIST(ABS(H110),G110-1,2))</f>
        <v>0.181817838940354</v>
      </c>
    </row>
    <row r="111" customFormat="false" ht="15" hidden="false" customHeight="false" outlineLevel="0" collapsed="false">
      <c r="A111" s="7" t="s">
        <v>98</v>
      </c>
      <c r="B111" s="7" t="s">
        <v>3</v>
      </c>
      <c r="C111" s="7" t="s">
        <v>6</v>
      </c>
      <c r="D111" s="7" t="s">
        <v>112</v>
      </c>
      <c r="E111" s="22" t="n">
        <v>-0.265925482429872</v>
      </c>
      <c r="F111" s="22" t="n">
        <v>0.549152326863757</v>
      </c>
      <c r="G111" s="23" t="n">
        <v>19</v>
      </c>
      <c r="H111" s="24" t="n">
        <f aca="false">IF(AND(ISNUMBER(E111),F111&gt;0),E111/F111,"")</f>
        <v>-0.484247210511861</v>
      </c>
      <c r="I111" s="24" t="n">
        <f aca="false">IF(H111="","",TDIST(ABS(H111),G111-1,2))</f>
        <v>0.634049975005246</v>
      </c>
    </row>
    <row r="112" customFormat="false" ht="15" hidden="false" customHeight="false" outlineLevel="0" collapsed="false">
      <c r="A112" s="7" t="s">
        <v>98</v>
      </c>
      <c r="B112" s="7" t="s">
        <v>2</v>
      </c>
      <c r="C112" s="7" t="s">
        <v>4</v>
      </c>
      <c r="D112" s="7" t="s">
        <v>113</v>
      </c>
      <c r="E112" s="22" t="n">
        <v>1.06043276903362</v>
      </c>
      <c r="F112" s="22" t="n">
        <v>0.395438120914001</v>
      </c>
      <c r="G112" s="23" t="n">
        <v>19</v>
      </c>
      <c r="H112" s="24" t="n">
        <f aca="false">IF(AND(ISNUMBER(E112),F112&gt;0),E112/F112,"")</f>
        <v>2.68166550706485</v>
      </c>
      <c r="I112" s="24" t="n">
        <f aca="false">IF(H112="","",TDIST(ABS(H112),G112-1,2))</f>
        <v>0.0152328944882951</v>
      </c>
    </row>
    <row r="113" customFormat="false" ht="15" hidden="false" customHeight="false" outlineLevel="0" collapsed="false">
      <c r="A113" s="7" t="s">
        <v>98</v>
      </c>
      <c r="B113" s="7" t="s">
        <v>2</v>
      </c>
      <c r="C113" s="7" t="s">
        <v>5</v>
      </c>
      <c r="D113" s="7" t="s">
        <v>113</v>
      </c>
      <c r="E113" s="22" t="n">
        <v>1.80273670454902</v>
      </c>
      <c r="F113" s="22" t="n">
        <v>0.628751378939955</v>
      </c>
      <c r="G113" s="23" t="n">
        <v>19</v>
      </c>
      <c r="H113" s="24" t="n">
        <f aca="false">IF(AND(ISNUMBER(E113),F113&gt;0),E113/F113,"")</f>
        <v>2.86716938512063</v>
      </c>
      <c r="I113" s="24" t="n">
        <f aca="false">IF(H113="","",TDIST(ABS(H113),G113-1,2))</f>
        <v>0.0102459087772177</v>
      </c>
    </row>
    <row r="114" customFormat="false" ht="15" hidden="false" customHeight="false" outlineLevel="0" collapsed="false">
      <c r="A114" s="7" t="s">
        <v>98</v>
      </c>
      <c r="B114" s="7" t="s">
        <v>2</v>
      </c>
      <c r="C114" s="7" t="s">
        <v>6</v>
      </c>
      <c r="D114" s="7" t="s">
        <v>113</v>
      </c>
      <c r="E114" s="22" t="n">
        <v>1.15168057308084</v>
      </c>
      <c r="F114" s="22" t="n">
        <v>0.639981076137242</v>
      </c>
      <c r="G114" s="23" t="n">
        <v>19</v>
      </c>
      <c r="H114" s="24" t="n">
        <f aca="false">IF(AND(ISNUMBER(E114),F114&gt;0),E114/F114,"")</f>
        <v>1.79955410561837</v>
      </c>
      <c r="I114" s="24" t="n">
        <f aca="false">IF(H114="","",TDIST(ABS(H114),G114-1,2))</f>
        <v>0.0887171754592443</v>
      </c>
    </row>
    <row r="115" customFormat="false" ht="15" hidden="false" customHeight="false" outlineLevel="0" collapsed="false">
      <c r="A115" s="7" t="s">
        <v>98</v>
      </c>
      <c r="B115" s="7" t="s">
        <v>3</v>
      </c>
      <c r="C115" s="7" t="s">
        <v>4</v>
      </c>
      <c r="D115" s="7" t="s">
        <v>113</v>
      </c>
      <c r="E115" s="22" t="n">
        <v>0.646712189693089</v>
      </c>
      <c r="F115" s="22" t="n">
        <v>0.454858732717368</v>
      </c>
      <c r="G115" s="23" t="n">
        <v>19</v>
      </c>
      <c r="H115" s="24" t="n">
        <f aca="false">IF(AND(ISNUMBER(E115),F115&gt;0),E115/F115,"")</f>
        <v>1.42178690475958</v>
      </c>
      <c r="I115" s="24" t="n">
        <f aca="false">IF(H115="","",TDIST(ABS(H115),G115-1,2))</f>
        <v>0.172184313870724</v>
      </c>
    </row>
    <row r="116" customFormat="false" ht="15" hidden="false" customHeight="false" outlineLevel="0" collapsed="false">
      <c r="A116" s="7" t="s">
        <v>98</v>
      </c>
      <c r="B116" s="7" t="s">
        <v>3</v>
      </c>
      <c r="C116" s="7" t="s">
        <v>5</v>
      </c>
      <c r="D116" s="7" t="s">
        <v>113</v>
      </c>
      <c r="E116" s="22" t="n">
        <v>1.27044341206978</v>
      </c>
      <c r="F116" s="22" t="n">
        <v>0.698919882790335</v>
      </c>
      <c r="G116" s="23" t="n">
        <v>19</v>
      </c>
      <c r="H116" s="24" t="n">
        <f aca="false">IF(AND(ISNUMBER(E116),F116&gt;0),E116/F116,"")</f>
        <v>1.81772395284811</v>
      </c>
      <c r="I116" s="24" t="n">
        <f aca="false">IF(H116="","",TDIST(ABS(H116),G116-1,2))</f>
        <v>0.0857907048701952</v>
      </c>
    </row>
    <row r="117" customFormat="false" ht="15" hidden="false" customHeight="false" outlineLevel="0" collapsed="false">
      <c r="A117" s="7" t="s">
        <v>98</v>
      </c>
      <c r="B117" s="7" t="s">
        <v>3</v>
      </c>
      <c r="C117" s="7" t="s">
        <v>6</v>
      </c>
      <c r="D117" s="7" t="s">
        <v>113</v>
      </c>
      <c r="E117" s="22" t="n">
        <v>0.535034805145506</v>
      </c>
      <c r="F117" s="22" t="n">
        <v>0.674406905214457</v>
      </c>
      <c r="G117" s="23" t="n">
        <v>19</v>
      </c>
      <c r="H117" s="24" t="n">
        <f aca="false">IF(AND(ISNUMBER(E117),F117&gt;0),E117/F117,"")</f>
        <v>0.793341232138435</v>
      </c>
      <c r="I117" s="24" t="n">
        <f aca="false">IF(H117="","",TDIST(ABS(H117),G117-1,2))</f>
        <v>0.437912457365355</v>
      </c>
    </row>
    <row r="118" customFormat="false" ht="15" hidden="false" customHeight="false" outlineLevel="0" collapsed="false">
      <c r="A118" s="7" t="s">
        <v>98</v>
      </c>
      <c r="B118" s="7" t="s">
        <v>2</v>
      </c>
      <c r="C118" s="7" t="s">
        <v>4</v>
      </c>
      <c r="D118" s="7" t="s">
        <v>30</v>
      </c>
      <c r="E118" s="22" t="n">
        <v>0.642074503167443</v>
      </c>
      <c r="F118" s="22" t="n">
        <v>0.290269603040192</v>
      </c>
      <c r="G118" s="23" t="n">
        <v>19</v>
      </c>
      <c r="H118" s="24" t="n">
        <f aca="false">IF(AND(ISNUMBER(E118),F118&gt;0),E118/F118,"")</f>
        <v>2.21199359644468</v>
      </c>
      <c r="I118" s="24" t="n">
        <f aca="false">IF(H118="","",TDIST(ABS(H118),G118-1,2))</f>
        <v>0.0401367938576617</v>
      </c>
    </row>
    <row r="119" customFormat="false" ht="15" hidden="false" customHeight="false" outlineLevel="0" collapsed="false">
      <c r="A119" s="7" t="s">
        <v>98</v>
      </c>
      <c r="B119" s="7" t="s">
        <v>2</v>
      </c>
      <c r="C119" s="7" t="s">
        <v>5</v>
      </c>
      <c r="D119" s="7" t="s">
        <v>30</v>
      </c>
      <c r="E119" s="22" t="n">
        <v>0.366944494173727</v>
      </c>
      <c r="F119" s="22" t="n">
        <v>0.257890933477343</v>
      </c>
      <c r="G119" s="23" t="n">
        <v>19</v>
      </c>
      <c r="H119" s="24" t="n">
        <f aca="false">IF(AND(ISNUMBER(E119),F119&gt;0),E119/F119,"")</f>
        <v>1.4228669818901</v>
      </c>
      <c r="I119" s="24" t="n">
        <f aca="false">IF(H119="","",TDIST(ABS(H119),G119-1,2))</f>
        <v>0.171875337615317</v>
      </c>
    </row>
    <row r="120" customFormat="false" ht="15" hidden="false" customHeight="false" outlineLevel="0" collapsed="false">
      <c r="A120" s="7" t="s">
        <v>98</v>
      </c>
      <c r="B120" s="7" t="s">
        <v>2</v>
      </c>
      <c r="C120" s="7" t="s">
        <v>6</v>
      </c>
      <c r="D120" s="7" t="s">
        <v>30</v>
      </c>
      <c r="E120" s="22" t="n">
        <v>0.766634313024949</v>
      </c>
      <c r="F120" s="22" t="n">
        <v>0.344541514587852</v>
      </c>
      <c r="G120" s="23" t="n">
        <v>19</v>
      </c>
      <c r="H120" s="24" t="n">
        <f aca="false">IF(AND(ISNUMBER(E120),F120&gt;0),E120/F120,"")</f>
        <v>2.22508545578902</v>
      </c>
      <c r="I120" s="24" t="n">
        <f aca="false">IF(H120="","",TDIST(ABS(H120),G120-1,2))</f>
        <v>0.0391001575055325</v>
      </c>
    </row>
    <row r="121" customFormat="false" ht="15" hidden="false" customHeight="false" outlineLevel="0" collapsed="false">
      <c r="A121" s="7" t="s">
        <v>98</v>
      </c>
      <c r="B121" s="7" t="s">
        <v>3</v>
      </c>
      <c r="C121" s="7" t="s">
        <v>4</v>
      </c>
      <c r="D121" s="7" t="s">
        <v>30</v>
      </c>
      <c r="E121" s="22" t="n">
        <v>0.0527834061769596</v>
      </c>
      <c r="F121" s="22" t="n">
        <v>0.136651522800595</v>
      </c>
      <c r="G121" s="23" t="n">
        <v>19</v>
      </c>
      <c r="H121" s="24" t="n">
        <f aca="false">IF(AND(ISNUMBER(E121),F121&gt;0),E121/F121,"")</f>
        <v>0.386262846510554</v>
      </c>
      <c r="I121" s="24" t="n">
        <f aca="false">IF(H121="","",TDIST(ABS(H121),G121-1,2))</f>
        <v>0.703829803759371</v>
      </c>
    </row>
    <row r="122" customFormat="false" ht="15" hidden="false" customHeight="false" outlineLevel="0" collapsed="false">
      <c r="A122" s="7" t="s">
        <v>98</v>
      </c>
      <c r="B122" s="7" t="s">
        <v>3</v>
      </c>
      <c r="C122" s="7" t="s">
        <v>5</v>
      </c>
      <c r="D122" s="7" t="s">
        <v>30</v>
      </c>
      <c r="E122" s="22" t="n">
        <v>0.31174587903798</v>
      </c>
      <c r="F122" s="22" t="n">
        <v>0.344292111075289</v>
      </c>
      <c r="G122" s="23" t="n">
        <v>19</v>
      </c>
      <c r="H122" s="24" t="n">
        <f aca="false">IF(AND(ISNUMBER(E122),F122&gt;0),E122/F122,"")</f>
        <v>0.90546913219806</v>
      </c>
      <c r="I122" s="24" t="n">
        <f aca="false">IF(H122="","",TDIST(ABS(H122),G122-1,2))</f>
        <v>0.377177886757773</v>
      </c>
    </row>
    <row r="123" customFormat="false" ht="15" hidden="false" customHeight="false" outlineLevel="0" collapsed="false">
      <c r="A123" s="7" t="s">
        <v>98</v>
      </c>
      <c r="B123" s="7" t="s">
        <v>3</v>
      </c>
      <c r="C123" s="7" t="s">
        <v>6</v>
      </c>
      <c r="D123" s="7" t="s">
        <v>30</v>
      </c>
      <c r="E123" s="22" t="n">
        <v>0.00903182304452208</v>
      </c>
      <c r="F123" s="22" t="n">
        <v>0.303791665738992</v>
      </c>
      <c r="G123" s="23" t="n">
        <v>19</v>
      </c>
      <c r="H123" s="24" t="n">
        <f aca="false">IF(AND(ISNUMBER(E123),F123&gt;0),E123/F123,"")</f>
        <v>0.0297303187121727</v>
      </c>
      <c r="I123" s="24" t="n">
        <f aca="false">IF(H123="","",TDIST(ABS(H123),G123-1,2))</f>
        <v>0.976609294411629</v>
      </c>
    </row>
    <row r="124" customFormat="false" ht="15" hidden="false" customHeight="false" outlineLevel="0" collapsed="false">
      <c r="A124" s="7" t="s">
        <v>98</v>
      </c>
      <c r="B124" s="7" t="s">
        <v>2</v>
      </c>
      <c r="C124" s="7" t="s">
        <v>4</v>
      </c>
      <c r="D124" s="7" t="s">
        <v>31</v>
      </c>
      <c r="E124" s="22" t="n">
        <v>0.0151060543491022</v>
      </c>
      <c r="F124" s="22" t="n">
        <v>0.179540710815759</v>
      </c>
      <c r="G124" s="23" t="n">
        <v>19</v>
      </c>
      <c r="H124" s="24" t="n">
        <f aca="false">IF(AND(ISNUMBER(E124),F124&gt;0),E124/F124,"")</f>
        <v>0.0841372092182688</v>
      </c>
      <c r="I124" s="24" t="n">
        <f aca="false">IF(H124="","",TDIST(ABS(H124),G124-1,2))</f>
        <v>0.933876040080207</v>
      </c>
    </row>
    <row r="125" customFormat="false" ht="15" hidden="false" customHeight="false" outlineLevel="0" collapsed="false">
      <c r="A125" s="7" t="s">
        <v>98</v>
      </c>
      <c r="B125" s="7" t="s">
        <v>2</v>
      </c>
      <c r="C125" s="7" t="s">
        <v>5</v>
      </c>
      <c r="D125" s="7" t="s">
        <v>31</v>
      </c>
      <c r="E125" s="22" t="n">
        <v>0.765988158246109</v>
      </c>
      <c r="F125" s="22" t="n">
        <v>0.30192343016611</v>
      </c>
      <c r="G125" s="23" t="n">
        <v>19</v>
      </c>
      <c r="H125" s="24" t="n">
        <f aca="false">IF(AND(ISNUMBER(E125),F125&gt;0),E125/F125,"")</f>
        <v>2.5370278743345</v>
      </c>
      <c r="I125" s="24" t="n">
        <f aca="false">IF(H125="","",TDIST(ABS(H125),G125-1,2))</f>
        <v>0.0206519591497141</v>
      </c>
    </row>
    <row r="126" customFormat="false" ht="15" hidden="false" customHeight="false" outlineLevel="0" collapsed="false">
      <c r="A126" s="7" t="s">
        <v>98</v>
      </c>
      <c r="B126" s="7" t="s">
        <v>2</v>
      </c>
      <c r="C126" s="7" t="s">
        <v>6</v>
      </c>
      <c r="D126" s="7" t="s">
        <v>31</v>
      </c>
      <c r="E126" s="22" t="n">
        <v>0.328650313313983</v>
      </c>
      <c r="F126" s="22" t="n">
        <v>0.422479554867311</v>
      </c>
      <c r="G126" s="23" t="n">
        <v>19</v>
      </c>
      <c r="H126" s="24" t="n">
        <f aca="false">IF(AND(ISNUMBER(E126),F126&gt;0),E126/F126,"")</f>
        <v>0.777908207693512</v>
      </c>
      <c r="I126" s="24" t="n">
        <f aca="false">IF(H126="","",TDIST(ABS(H126),G126-1,2))</f>
        <v>0.446728261983061</v>
      </c>
    </row>
    <row r="127" customFormat="false" ht="15" hidden="false" customHeight="false" outlineLevel="0" collapsed="false">
      <c r="A127" s="7" t="s">
        <v>98</v>
      </c>
      <c r="B127" s="7" t="s">
        <v>3</v>
      </c>
      <c r="C127" s="7" t="s">
        <v>4</v>
      </c>
      <c r="D127" s="7" t="s">
        <v>31</v>
      </c>
      <c r="E127" s="22" t="n">
        <v>-0.183823323528909</v>
      </c>
      <c r="F127" s="22" t="n">
        <v>0.133848749421184</v>
      </c>
      <c r="G127" s="23" t="n">
        <v>19</v>
      </c>
      <c r="H127" s="24" t="n">
        <f aca="false">IF(AND(ISNUMBER(E127),F127&gt;0),E127/F127,"")</f>
        <v>-1.37336601442924</v>
      </c>
      <c r="I127" s="24" t="n">
        <f aca="false">IF(H127="","",TDIST(ABS(H127),G127-1,2))</f>
        <v>0.18650461297597</v>
      </c>
    </row>
    <row r="128" customFormat="false" ht="15" hidden="false" customHeight="false" outlineLevel="0" collapsed="false">
      <c r="A128" s="7" t="s">
        <v>98</v>
      </c>
      <c r="B128" s="7" t="s">
        <v>3</v>
      </c>
      <c r="C128" s="7" t="s">
        <v>5</v>
      </c>
      <c r="D128" s="7" t="s">
        <v>31</v>
      </c>
      <c r="E128" s="22" t="n">
        <v>0.731055696269965</v>
      </c>
      <c r="F128" s="22" t="n">
        <v>0.460282072021647</v>
      </c>
      <c r="G128" s="23" t="n">
        <v>19</v>
      </c>
      <c r="H128" s="24" t="n">
        <f aca="false">IF(AND(ISNUMBER(E128),F128&gt;0),E128/F128,"")</f>
        <v>1.58827758174249</v>
      </c>
      <c r="I128" s="24" t="n">
        <f aca="false">IF(H128="","",TDIST(ABS(H128),G128-1,2))</f>
        <v>0.129633818175996</v>
      </c>
    </row>
    <row r="129" customFormat="false" ht="15" hidden="false" customHeight="false" outlineLevel="0" collapsed="false">
      <c r="A129" s="7" t="s">
        <v>98</v>
      </c>
      <c r="B129" s="7" t="s">
        <v>3</v>
      </c>
      <c r="C129" s="7" t="s">
        <v>6</v>
      </c>
      <c r="D129" s="7" t="s">
        <v>31</v>
      </c>
      <c r="E129" s="22" t="n">
        <v>0.0440630059485506</v>
      </c>
      <c r="F129" s="22" t="n">
        <v>0.31485137387972</v>
      </c>
      <c r="G129" s="23" t="n">
        <v>19</v>
      </c>
      <c r="H129" s="24" t="n">
        <f aca="false">IF(AND(ISNUMBER(E129),F129&gt;0),E129/F129,"")</f>
        <v>0.13994859036373</v>
      </c>
      <c r="I129" s="24" t="n">
        <f aca="false">IF(H129="","",TDIST(ABS(H129),G129-1,2))</f>
        <v>0.890254695269861</v>
      </c>
    </row>
    <row r="130" customFormat="false" ht="15" hidden="false" customHeight="false" outlineLevel="0" collapsed="false">
      <c r="A130" s="7" t="s">
        <v>98</v>
      </c>
      <c r="B130" s="7" t="s">
        <v>2</v>
      </c>
      <c r="C130" s="7" t="s">
        <v>4</v>
      </c>
      <c r="D130" s="7" t="s">
        <v>32</v>
      </c>
      <c r="E130" s="22" t="n">
        <v>-0.626968448818341</v>
      </c>
      <c r="F130" s="22" t="n">
        <v>0.169680962552151</v>
      </c>
      <c r="G130" s="23" t="n">
        <v>19</v>
      </c>
      <c r="H130" s="24" t="n">
        <f aca="false">IF(AND(ISNUMBER(E130),F130&gt;0),E130/F130,"")</f>
        <v>-3.69498404174625</v>
      </c>
      <c r="I130" s="24" t="n">
        <f aca="false">IF(H130="","",TDIST(ABS(H130),G130-1,2))</f>
        <v>0.00165706748940736</v>
      </c>
    </row>
    <row r="131" customFormat="false" ht="15" hidden="false" customHeight="false" outlineLevel="0" collapsed="false">
      <c r="A131" s="7" t="s">
        <v>98</v>
      </c>
      <c r="B131" s="7" t="s">
        <v>2</v>
      </c>
      <c r="C131" s="7" t="s">
        <v>5</v>
      </c>
      <c r="D131" s="7" t="s">
        <v>32</v>
      </c>
      <c r="E131" s="22" t="n">
        <v>0.399043664072382</v>
      </c>
      <c r="F131" s="22" t="n">
        <v>0.241676287544478</v>
      </c>
      <c r="G131" s="23" t="n">
        <v>19</v>
      </c>
      <c r="H131" s="24" t="n">
        <f aca="false">IF(AND(ISNUMBER(E131),F131&gt;0),E131/F131,"")</f>
        <v>1.65114942854682</v>
      </c>
      <c r="I131" s="24" t="n">
        <f aca="false">IF(H131="","",TDIST(ABS(H131),G131-1,2))</f>
        <v>0.116046632196131</v>
      </c>
    </row>
    <row r="132" customFormat="false" ht="15" hidden="false" customHeight="false" outlineLevel="0" collapsed="false">
      <c r="A132" s="7" t="s">
        <v>98</v>
      </c>
      <c r="B132" s="7" t="s">
        <v>2</v>
      </c>
      <c r="C132" s="7" t="s">
        <v>6</v>
      </c>
      <c r="D132" s="7" t="s">
        <v>32</v>
      </c>
      <c r="E132" s="22" t="n">
        <v>-0.437983999710966</v>
      </c>
      <c r="F132" s="22" t="n">
        <v>0.263025767843066</v>
      </c>
      <c r="G132" s="23" t="n">
        <v>19</v>
      </c>
      <c r="H132" s="24" t="n">
        <f aca="false">IF(AND(ISNUMBER(E132),F132&gt;0),E132/F132,"")</f>
        <v>-1.66517525375038</v>
      </c>
      <c r="I132" s="24" t="n">
        <f aca="false">IF(H132="","",TDIST(ABS(H132),G132-1,2))</f>
        <v>0.11318666331537</v>
      </c>
    </row>
    <row r="133" customFormat="false" ht="15" hidden="false" customHeight="false" outlineLevel="0" collapsed="false">
      <c r="A133" s="7" t="s">
        <v>98</v>
      </c>
      <c r="B133" s="7" t="s">
        <v>3</v>
      </c>
      <c r="C133" s="7" t="s">
        <v>4</v>
      </c>
      <c r="D133" s="7" t="s">
        <v>32</v>
      </c>
      <c r="E133" s="22" t="n">
        <v>-0.236606729705869</v>
      </c>
      <c r="F133" s="22" t="n">
        <v>0.13438613749524</v>
      </c>
      <c r="G133" s="23" t="n">
        <v>19</v>
      </c>
      <c r="H133" s="24" t="n">
        <f aca="false">IF(AND(ISNUMBER(E133),F133&gt;0),E133/F133,"")</f>
        <v>-1.76064833855538</v>
      </c>
      <c r="I133" s="24" t="n">
        <f aca="false">IF(H133="","",TDIST(ABS(H133),G133-1,2))</f>
        <v>0.0952780269116708</v>
      </c>
    </row>
    <row r="134" customFormat="false" ht="15" hidden="false" customHeight="false" outlineLevel="0" collapsed="false">
      <c r="A134" s="7" t="s">
        <v>98</v>
      </c>
      <c r="B134" s="7" t="s">
        <v>3</v>
      </c>
      <c r="C134" s="7" t="s">
        <v>5</v>
      </c>
      <c r="D134" s="7" t="s">
        <v>32</v>
      </c>
      <c r="E134" s="22" t="n">
        <v>0.419309817231985</v>
      </c>
      <c r="F134" s="22" t="n">
        <v>0.230132969233601</v>
      </c>
      <c r="G134" s="23" t="n">
        <v>19</v>
      </c>
      <c r="H134" s="24" t="n">
        <f aca="false">IF(AND(ISNUMBER(E134),F134&gt;0),E134/F134,"")</f>
        <v>1.82203279533736</v>
      </c>
      <c r="I134" s="24" t="n">
        <f aca="false">IF(H134="","",TDIST(ABS(H134),G134-1,2))</f>
        <v>0.0851092459574276</v>
      </c>
    </row>
    <row r="135" customFormat="false" ht="15" hidden="false" customHeight="false" outlineLevel="0" collapsed="false">
      <c r="A135" s="7" t="s">
        <v>98</v>
      </c>
      <c r="B135" s="7" t="s">
        <v>3</v>
      </c>
      <c r="C135" s="7" t="s">
        <v>6</v>
      </c>
      <c r="D135" s="7" t="s">
        <v>32</v>
      </c>
      <c r="E135" s="22" t="n">
        <v>0.0350311829040286</v>
      </c>
      <c r="F135" s="22" t="n">
        <v>0.201434680133429</v>
      </c>
      <c r="G135" s="23" t="n">
        <v>19</v>
      </c>
      <c r="H135" s="24" t="n">
        <f aca="false">IF(AND(ISNUMBER(E135),F135&gt;0),E135/F135,"")</f>
        <v>0.173908399888362</v>
      </c>
      <c r="I135" s="24" t="n">
        <f aca="false">IF(H135="","",TDIST(ABS(H135),G135-1,2))</f>
        <v>0.863878366603423</v>
      </c>
    </row>
    <row r="136" customFormat="false" ht="15" hidden="false" customHeight="false" outlineLevel="0" collapsed="false">
      <c r="A136" s="7" t="s">
        <v>114</v>
      </c>
      <c r="B136" s="7" t="s">
        <v>2</v>
      </c>
      <c r="C136" s="7" t="s">
        <v>4</v>
      </c>
      <c r="D136" s="7" t="s">
        <v>99</v>
      </c>
      <c r="E136" s="22" t="n">
        <v>-1.38367881548788</v>
      </c>
      <c r="F136" s="22" t="n">
        <v>0.407518251709256</v>
      </c>
      <c r="G136" s="23" t="n">
        <v>19</v>
      </c>
      <c r="H136" s="24" t="n">
        <f aca="false">IF(AND(ISNUMBER(E136),F136&gt;0),E136/F136,"")</f>
        <v>-3.39537875833613</v>
      </c>
      <c r="I136" s="24" t="n">
        <f aca="false">IF(H136="","",TDIST(ABS(H136),G136-1,2))</f>
        <v>0.00322433854589258</v>
      </c>
    </row>
    <row r="137" customFormat="false" ht="15" hidden="false" customHeight="false" outlineLevel="0" collapsed="false">
      <c r="A137" s="7" t="s">
        <v>114</v>
      </c>
      <c r="B137" s="7" t="s">
        <v>2</v>
      </c>
      <c r="C137" s="7" t="s">
        <v>5</v>
      </c>
      <c r="D137" s="7" t="s">
        <v>99</v>
      </c>
      <c r="E137" s="22" t="n">
        <v>-1.51282944004113</v>
      </c>
      <c r="F137" s="22" t="n">
        <v>0.417053276112537</v>
      </c>
      <c r="G137" s="23" t="n">
        <v>19</v>
      </c>
      <c r="H137" s="24" t="n">
        <f aca="false">IF(AND(ISNUMBER(E137),F137&gt;0),E137/F137,"")</f>
        <v>-3.62742490394179</v>
      </c>
      <c r="I137" s="24" t="n">
        <f aca="false">IF(H137="","",TDIST(ABS(H137),G137-1,2))</f>
        <v>0.00192601645582215</v>
      </c>
    </row>
    <row r="138" customFormat="false" ht="15" hidden="false" customHeight="false" outlineLevel="0" collapsed="false">
      <c r="A138" s="7" t="s">
        <v>114</v>
      </c>
      <c r="B138" s="7" t="s">
        <v>2</v>
      </c>
      <c r="C138" s="7" t="s">
        <v>6</v>
      </c>
      <c r="D138" s="7" t="s">
        <v>99</v>
      </c>
      <c r="E138" s="22" t="n">
        <v>-1.7533901935701</v>
      </c>
      <c r="F138" s="22" t="n">
        <v>0.508917886553657</v>
      </c>
      <c r="G138" s="23" t="n">
        <v>19</v>
      </c>
      <c r="H138" s="24" t="n">
        <f aca="false">IF(AND(ISNUMBER(E138),F138&gt;0),E138/F138,"")</f>
        <v>-3.44533025837211</v>
      </c>
      <c r="I138" s="24" t="n">
        <f aca="false">IF(H138="","",TDIST(ABS(H138),G138-1,2))</f>
        <v>0.002886479445471</v>
      </c>
    </row>
    <row r="139" customFormat="false" ht="15" hidden="false" customHeight="false" outlineLevel="0" collapsed="false">
      <c r="A139" s="7" t="s">
        <v>114</v>
      </c>
      <c r="B139" s="7" t="s">
        <v>3</v>
      </c>
      <c r="C139" s="7" t="s">
        <v>4</v>
      </c>
      <c r="D139" s="7" t="s">
        <v>99</v>
      </c>
      <c r="E139" s="22" t="n">
        <v>-0.86677680040925</v>
      </c>
      <c r="F139" s="22" t="n">
        <v>0.456806381424569</v>
      </c>
      <c r="G139" s="23" t="n">
        <v>19</v>
      </c>
      <c r="H139" s="24" t="n">
        <f aca="false">IF(AND(ISNUMBER(E139),F139&gt;0),E139/F139,"")</f>
        <v>-1.89747086655439</v>
      </c>
      <c r="I139" s="24" t="n">
        <f aca="false">IF(H139="","",TDIST(ABS(H139),G139-1,2))</f>
        <v>0.0739256854888547</v>
      </c>
    </row>
    <row r="140" customFormat="false" ht="15" hidden="false" customHeight="false" outlineLevel="0" collapsed="false">
      <c r="A140" s="7" t="s">
        <v>114</v>
      </c>
      <c r="B140" s="7" t="s">
        <v>3</v>
      </c>
      <c r="C140" s="7" t="s">
        <v>5</v>
      </c>
      <c r="D140" s="7" t="s">
        <v>99</v>
      </c>
      <c r="E140" s="22" t="n">
        <v>-0.58747556151648</v>
      </c>
      <c r="F140" s="22" t="n">
        <v>0.290201146028646</v>
      </c>
      <c r="G140" s="23" t="n">
        <v>19</v>
      </c>
      <c r="H140" s="24" t="n">
        <f aca="false">IF(AND(ISNUMBER(E140),F140&gt;0),E140/F140,"")</f>
        <v>-2.02437367858806</v>
      </c>
      <c r="I140" s="24" t="n">
        <f aca="false">IF(H140="","",TDIST(ABS(H140),G140-1,2))</f>
        <v>0.0580303837730599</v>
      </c>
    </row>
    <row r="141" customFormat="false" ht="15" hidden="false" customHeight="false" outlineLevel="0" collapsed="false">
      <c r="A141" s="7" t="s">
        <v>114</v>
      </c>
      <c r="B141" s="7" t="s">
        <v>3</v>
      </c>
      <c r="C141" s="7" t="s">
        <v>6</v>
      </c>
      <c r="D141" s="7" t="s">
        <v>99</v>
      </c>
      <c r="E141" s="22" t="n">
        <v>-0.771715230991244</v>
      </c>
      <c r="F141" s="22" t="n">
        <v>0.474272770841597</v>
      </c>
      <c r="G141" s="23" t="n">
        <v>19</v>
      </c>
      <c r="H141" s="24" t="n">
        <f aca="false">IF(AND(ISNUMBER(E141),F141&gt;0),E141/F141,"")</f>
        <v>-1.62715483248561</v>
      </c>
      <c r="I141" s="24" t="n">
        <f aca="false">IF(H141="","",TDIST(ABS(H141),G141-1,2))</f>
        <v>0.121082097717146</v>
      </c>
    </row>
    <row r="142" customFormat="false" ht="15" hidden="false" customHeight="false" outlineLevel="0" collapsed="false">
      <c r="A142" s="7" t="s">
        <v>114</v>
      </c>
      <c r="B142" s="7" t="s">
        <v>2</v>
      </c>
      <c r="C142" s="7" t="s">
        <v>4</v>
      </c>
      <c r="D142" s="7" t="s">
        <v>115</v>
      </c>
      <c r="E142" s="22" t="n">
        <v>0.948895116029811</v>
      </c>
      <c r="F142" s="22" t="n">
        <v>0.631091348872875</v>
      </c>
      <c r="G142" s="23" t="n">
        <v>19</v>
      </c>
      <c r="H142" s="24" t="n">
        <f aca="false">IF(AND(ISNUMBER(E142),F142&gt;0),E142/F142,"")</f>
        <v>1.50357807585943</v>
      </c>
      <c r="I142" s="24" t="n">
        <f aca="false">IF(H142="","",TDIST(ABS(H142),G142-1,2))</f>
        <v>0.150033137940459</v>
      </c>
    </row>
    <row r="143" customFormat="false" ht="15" hidden="false" customHeight="false" outlineLevel="0" collapsed="false">
      <c r="A143" s="7" t="s">
        <v>114</v>
      </c>
      <c r="B143" s="7" t="s">
        <v>2</v>
      </c>
      <c r="C143" s="7" t="s">
        <v>5</v>
      </c>
      <c r="D143" s="7" t="s">
        <v>115</v>
      </c>
      <c r="E143" s="22" t="n">
        <v>1.45752526478572</v>
      </c>
      <c r="F143" s="22" t="n">
        <v>0.681308776530597</v>
      </c>
      <c r="G143" s="23" t="n">
        <v>19</v>
      </c>
      <c r="H143" s="24" t="n">
        <f aca="false">IF(AND(ISNUMBER(E143),F143&gt;0),E143/F143,"")</f>
        <v>2.13930205362658</v>
      </c>
      <c r="I143" s="24" t="n">
        <f aca="false">IF(H143="","",TDIST(ABS(H143),G143-1,2))</f>
        <v>0.0463660153307934</v>
      </c>
    </row>
    <row r="144" customFormat="false" ht="15" hidden="false" customHeight="false" outlineLevel="0" collapsed="false">
      <c r="A144" s="7" t="s">
        <v>114</v>
      </c>
      <c r="B144" s="7" t="s">
        <v>2</v>
      </c>
      <c r="C144" s="7" t="s">
        <v>6</v>
      </c>
      <c r="D144" s="7" t="s">
        <v>115</v>
      </c>
      <c r="E144" s="22" t="n">
        <v>1.45313109762486</v>
      </c>
      <c r="F144" s="22" t="n">
        <v>0.758328634821436</v>
      </c>
      <c r="G144" s="23" t="n">
        <v>19</v>
      </c>
      <c r="H144" s="24" t="n">
        <f aca="false">IF(AND(ISNUMBER(E144),F144&gt;0),E144/F144,"")</f>
        <v>1.91622870467898</v>
      </c>
      <c r="I144" s="24" t="n">
        <f aca="false">IF(H144="","",TDIST(ABS(H144),G144-1,2))</f>
        <v>0.0713552822809562</v>
      </c>
    </row>
    <row r="145" customFormat="false" ht="15" hidden="false" customHeight="false" outlineLevel="0" collapsed="false">
      <c r="A145" s="7" t="s">
        <v>114</v>
      </c>
      <c r="B145" s="7" t="s">
        <v>3</v>
      </c>
      <c r="C145" s="7" t="s">
        <v>4</v>
      </c>
      <c r="D145" s="7" t="s">
        <v>115</v>
      </c>
      <c r="E145" s="22" t="n">
        <v>-0.614888193346406</v>
      </c>
      <c r="F145" s="22" t="n">
        <v>0.701019444965952</v>
      </c>
      <c r="G145" s="23" t="n">
        <v>19</v>
      </c>
      <c r="H145" s="24" t="n">
        <f aca="false">IF(AND(ISNUMBER(E145),F145&gt;0),E145/F145,"")</f>
        <v>-0.877134290299565</v>
      </c>
      <c r="I145" s="24" t="n">
        <f aca="false">IF(H145="","",TDIST(ABS(H145),G145-1,2))</f>
        <v>0.391970492721638</v>
      </c>
    </row>
    <row r="146" customFormat="false" ht="15" hidden="false" customHeight="false" outlineLevel="0" collapsed="false">
      <c r="A146" s="7" t="s">
        <v>114</v>
      </c>
      <c r="B146" s="7" t="s">
        <v>3</v>
      </c>
      <c r="C146" s="7" t="s">
        <v>5</v>
      </c>
      <c r="D146" s="7" t="s">
        <v>115</v>
      </c>
      <c r="E146" s="22" t="n">
        <v>-0.187896861050602</v>
      </c>
      <c r="F146" s="22" t="n">
        <v>0.785168980094826</v>
      </c>
      <c r="G146" s="23" t="n">
        <v>19</v>
      </c>
      <c r="H146" s="24" t="n">
        <f aca="false">IF(AND(ISNUMBER(E146),F146&gt;0),E146/F146,"")</f>
        <v>-0.239307545017774</v>
      </c>
      <c r="I146" s="24" t="n">
        <f aca="false">IF(H146="","",TDIST(ABS(H146),G146-1,2))</f>
        <v>0.813570813058545</v>
      </c>
    </row>
    <row r="147" customFormat="false" ht="15" hidden="false" customHeight="false" outlineLevel="0" collapsed="false">
      <c r="A147" s="7" t="s">
        <v>114</v>
      </c>
      <c r="B147" s="7" t="s">
        <v>3</v>
      </c>
      <c r="C147" s="7" t="s">
        <v>6</v>
      </c>
      <c r="D147" s="7" t="s">
        <v>115</v>
      </c>
      <c r="E147" s="22" t="n">
        <v>-0.645519511850459</v>
      </c>
      <c r="F147" s="22" t="n">
        <v>0.761151800399205</v>
      </c>
      <c r="G147" s="23" t="n">
        <v>19</v>
      </c>
      <c r="H147" s="24" t="n">
        <f aca="false">IF(AND(ISNUMBER(E147),F147&gt;0),E147/F147,"")</f>
        <v>-0.848082486978156</v>
      </c>
      <c r="I147" s="24" t="n">
        <f aca="false">IF(H147="","",TDIST(ABS(H147),G147-1,2))</f>
        <v>0.407528660967543</v>
      </c>
    </row>
    <row r="148" customFormat="false" ht="15" hidden="false" customHeight="false" outlineLevel="0" collapsed="false">
      <c r="A148" s="7" t="s">
        <v>114</v>
      </c>
      <c r="B148" s="7" t="s">
        <v>2</v>
      </c>
      <c r="C148" s="7" t="s">
        <v>4</v>
      </c>
      <c r="D148" s="7" t="s">
        <v>116</v>
      </c>
      <c r="E148" s="22" t="n">
        <v>0.350626786086037</v>
      </c>
      <c r="F148" s="22" t="n">
        <v>0.606601166970129</v>
      </c>
      <c r="G148" s="23" t="n">
        <v>19</v>
      </c>
      <c r="H148" s="24" t="n">
        <f aca="false">IF(AND(ISNUMBER(E148),F148&gt;0),E148/F148,"")</f>
        <v>0.578018647470394</v>
      </c>
      <c r="I148" s="24" t="n">
        <f aca="false">IF(H148="","",TDIST(ABS(H148),G148-1,2))</f>
        <v>0.57041283886567</v>
      </c>
    </row>
    <row r="149" customFormat="false" ht="15" hidden="false" customHeight="false" outlineLevel="0" collapsed="false">
      <c r="A149" s="7" t="s">
        <v>114</v>
      </c>
      <c r="B149" s="7" t="s">
        <v>2</v>
      </c>
      <c r="C149" s="7" t="s">
        <v>5</v>
      </c>
      <c r="D149" s="7" t="s">
        <v>116</v>
      </c>
      <c r="E149" s="22" t="n">
        <v>0.826487426787359</v>
      </c>
      <c r="F149" s="22" t="n">
        <v>0.479210946446869</v>
      </c>
      <c r="G149" s="23" t="n">
        <v>19</v>
      </c>
      <c r="H149" s="24" t="n">
        <f aca="false">IF(AND(ISNUMBER(E149),F149&gt;0),E149/F149,"")</f>
        <v>1.72468394746695</v>
      </c>
      <c r="I149" s="24" t="n">
        <f aca="false">IF(H149="","",TDIST(ABS(H149),G149-1,2))</f>
        <v>0.101713671754101</v>
      </c>
    </row>
    <row r="150" customFormat="false" ht="15" hidden="false" customHeight="false" outlineLevel="0" collapsed="false">
      <c r="A150" s="7" t="s">
        <v>114</v>
      </c>
      <c r="B150" s="7" t="s">
        <v>2</v>
      </c>
      <c r="C150" s="7" t="s">
        <v>6</v>
      </c>
      <c r="D150" s="7" t="s">
        <v>116</v>
      </c>
      <c r="E150" s="22" t="n">
        <v>0.906071941880893</v>
      </c>
      <c r="F150" s="22" t="n">
        <v>0.670383336336313</v>
      </c>
      <c r="G150" s="23" t="n">
        <v>19</v>
      </c>
      <c r="H150" s="24" t="n">
        <f aca="false">IF(AND(ISNUMBER(E150),F150&gt;0),E150/F150,"")</f>
        <v>1.35157288788327</v>
      </c>
      <c r="I150" s="24" t="n">
        <f aca="false">IF(H150="","",TDIST(ABS(H150),G150-1,2))</f>
        <v>0.193254378252282</v>
      </c>
    </row>
    <row r="151" customFormat="false" ht="15" hidden="false" customHeight="false" outlineLevel="0" collapsed="false">
      <c r="A151" s="7" t="s">
        <v>114</v>
      </c>
      <c r="B151" s="7" t="s">
        <v>3</v>
      </c>
      <c r="C151" s="7" t="s">
        <v>4</v>
      </c>
      <c r="D151" s="7" t="s">
        <v>116</v>
      </c>
      <c r="E151" s="22" t="n">
        <v>0.374669822187725</v>
      </c>
      <c r="F151" s="22" t="n">
        <v>0.614586242312049</v>
      </c>
      <c r="G151" s="23" t="n">
        <v>19</v>
      </c>
      <c r="H151" s="24" t="n">
        <f aca="false">IF(AND(ISNUMBER(E151),F151&gt;0),E151/F151,"")</f>
        <v>0.609629367520874</v>
      </c>
      <c r="I151" s="24" t="n">
        <f aca="false">IF(H151="","",TDIST(ABS(H151),G151-1,2))</f>
        <v>0.549726194182875</v>
      </c>
    </row>
    <row r="152" customFormat="false" ht="15" hidden="false" customHeight="false" outlineLevel="0" collapsed="false">
      <c r="A152" s="7" t="s">
        <v>114</v>
      </c>
      <c r="B152" s="7" t="s">
        <v>3</v>
      </c>
      <c r="C152" s="7" t="s">
        <v>5</v>
      </c>
      <c r="D152" s="7" t="s">
        <v>116</v>
      </c>
      <c r="E152" s="22" t="n">
        <v>0.0834182081145971</v>
      </c>
      <c r="F152" s="22" t="n">
        <v>0.467428636314018</v>
      </c>
      <c r="G152" s="23" t="n">
        <v>19</v>
      </c>
      <c r="H152" s="24" t="n">
        <f aca="false">IF(AND(ISNUMBER(E152),F152&gt;0),E152/F152,"")</f>
        <v>0.178461911902541</v>
      </c>
      <c r="I152" s="24" t="n">
        <f aca="false">IF(H152="","",TDIST(ABS(H152),G152-1,2))</f>
        <v>0.860353452545033</v>
      </c>
    </row>
    <row r="153" customFormat="false" ht="15" hidden="false" customHeight="false" outlineLevel="0" collapsed="false">
      <c r="A153" s="7" t="s">
        <v>114</v>
      </c>
      <c r="B153" s="7" t="s">
        <v>3</v>
      </c>
      <c r="C153" s="7" t="s">
        <v>6</v>
      </c>
      <c r="D153" s="7" t="s">
        <v>116</v>
      </c>
      <c r="E153" s="22" t="n">
        <v>0.453736172100544</v>
      </c>
      <c r="F153" s="22" t="n">
        <v>0.618436671815851</v>
      </c>
      <c r="G153" s="23" t="n">
        <v>19</v>
      </c>
      <c r="H153" s="24" t="n">
        <f aca="false">IF(AND(ISNUMBER(E153),F153&gt;0),E153/F153,"")</f>
        <v>0.733682513956175</v>
      </c>
      <c r="I153" s="24" t="n">
        <f aca="false">IF(H153="","",TDIST(ABS(H153),G153-1,2))</f>
        <v>0.472591107923677</v>
      </c>
    </row>
    <row r="154" customFormat="false" ht="15" hidden="false" customHeight="false" outlineLevel="0" collapsed="false">
      <c r="A154" s="7" t="s">
        <v>114</v>
      </c>
      <c r="B154" s="7" t="s">
        <v>2</v>
      </c>
      <c r="C154" s="7" t="s">
        <v>4</v>
      </c>
      <c r="D154" s="7" t="s">
        <v>117</v>
      </c>
      <c r="E154" s="22" t="n">
        <v>0.0752963336325799</v>
      </c>
      <c r="F154" s="22" t="n">
        <v>0.562459209311023</v>
      </c>
      <c r="G154" s="23" t="n">
        <v>19</v>
      </c>
      <c r="H154" s="24" t="n">
        <f aca="false">IF(AND(ISNUMBER(E154),F154&gt;0),E154/F154,"")</f>
        <v>0.133869856491128</v>
      </c>
      <c r="I154" s="24" t="n">
        <f aca="false">IF(H154="","",TDIST(ABS(H154),G154-1,2))</f>
        <v>0.894990890538854</v>
      </c>
    </row>
    <row r="155" customFormat="false" ht="15" hidden="false" customHeight="false" outlineLevel="0" collapsed="false">
      <c r="A155" s="7" t="s">
        <v>114</v>
      </c>
      <c r="B155" s="7" t="s">
        <v>2</v>
      </c>
      <c r="C155" s="7" t="s">
        <v>5</v>
      </c>
      <c r="D155" s="7" t="s">
        <v>117</v>
      </c>
      <c r="E155" s="22" t="n">
        <v>0.471006516389006</v>
      </c>
      <c r="F155" s="22" t="n">
        <v>0.257952708706941</v>
      </c>
      <c r="G155" s="23" t="n">
        <v>19</v>
      </c>
      <c r="H155" s="24" t="n">
        <f aca="false">IF(AND(ISNUMBER(E155),F155&gt;0),E155/F155,"")</f>
        <v>1.82594134696261</v>
      </c>
      <c r="I155" s="24" t="n">
        <f aca="false">IF(H155="","",TDIST(ABS(H155),G155-1,2))</f>
        <v>0.084495204832337</v>
      </c>
    </row>
    <row r="156" customFormat="false" ht="15" hidden="false" customHeight="false" outlineLevel="0" collapsed="false">
      <c r="A156" s="7" t="s">
        <v>114</v>
      </c>
      <c r="B156" s="7" t="s">
        <v>2</v>
      </c>
      <c r="C156" s="7" t="s">
        <v>6</v>
      </c>
      <c r="D156" s="7" t="s">
        <v>117</v>
      </c>
      <c r="E156" s="22" t="n">
        <v>0.328619326837144</v>
      </c>
      <c r="F156" s="22" t="n">
        <v>0.512630599740894</v>
      </c>
      <c r="G156" s="23" t="n">
        <v>19</v>
      </c>
      <c r="H156" s="24" t="n">
        <f aca="false">IF(AND(ISNUMBER(E156),F156&gt;0),E156/F156,"")</f>
        <v>0.641045085882979</v>
      </c>
      <c r="I156" s="24" t="n">
        <f aca="false">IF(H156="","",TDIST(ABS(H156),G156-1,2))</f>
        <v>0.529571527049748</v>
      </c>
    </row>
    <row r="157" customFormat="false" ht="15" hidden="false" customHeight="false" outlineLevel="0" collapsed="false">
      <c r="A157" s="7" t="s">
        <v>114</v>
      </c>
      <c r="B157" s="7" t="s">
        <v>3</v>
      </c>
      <c r="C157" s="7" t="s">
        <v>4</v>
      </c>
      <c r="D157" s="7" t="s">
        <v>117</v>
      </c>
      <c r="E157" s="22" t="n">
        <v>0.207036928599599</v>
      </c>
      <c r="F157" s="22" t="n">
        <v>0.432871155076268</v>
      </c>
      <c r="G157" s="23" t="n">
        <v>19</v>
      </c>
      <c r="H157" s="24" t="n">
        <f aca="false">IF(AND(ISNUMBER(E157),F157&gt;0),E157/F157,"")</f>
        <v>0.478287652507408</v>
      </c>
      <c r="I157" s="24" t="n">
        <f aca="false">IF(H157="","",TDIST(ABS(H157),G157-1,2))</f>
        <v>0.638203090859356</v>
      </c>
    </row>
    <row r="158" customFormat="false" ht="15" hidden="false" customHeight="false" outlineLevel="0" collapsed="false">
      <c r="A158" s="7" t="s">
        <v>114</v>
      </c>
      <c r="B158" s="7" t="s">
        <v>3</v>
      </c>
      <c r="C158" s="7" t="s">
        <v>5</v>
      </c>
      <c r="D158" s="7" t="s">
        <v>117</v>
      </c>
      <c r="E158" s="22" t="n">
        <v>0.752598637274131</v>
      </c>
      <c r="F158" s="22" t="n">
        <v>0.227127972482961</v>
      </c>
      <c r="G158" s="23" t="n">
        <v>19</v>
      </c>
      <c r="H158" s="24" t="n">
        <f aca="false">IF(AND(ISNUMBER(E158),F158&gt;0),E158/F158,"")</f>
        <v>3.31354447031217</v>
      </c>
      <c r="I158" s="24" t="n">
        <f aca="false">IF(H158="","",TDIST(ABS(H158),G158-1,2))</f>
        <v>0.00386400892365754</v>
      </c>
    </row>
    <row r="159" customFormat="false" ht="15" hidden="false" customHeight="false" outlineLevel="0" collapsed="false">
      <c r="A159" s="7" t="s">
        <v>114</v>
      </c>
      <c r="B159" s="7" t="s">
        <v>3</v>
      </c>
      <c r="C159" s="7" t="s">
        <v>6</v>
      </c>
      <c r="D159" s="7" t="s">
        <v>117</v>
      </c>
      <c r="E159" s="22" t="n">
        <v>0.279743465155467</v>
      </c>
      <c r="F159" s="22" t="n">
        <v>0.434173722328043</v>
      </c>
      <c r="G159" s="23" t="n">
        <v>19</v>
      </c>
      <c r="H159" s="24" t="n">
        <f aca="false">IF(AND(ISNUMBER(E159),F159&gt;0),E159/F159,"")</f>
        <v>0.644312289687825</v>
      </c>
      <c r="I159" s="24" t="n">
        <f aca="false">IF(H159="","",TDIST(ABS(H159),G159-1,2))</f>
        <v>0.527499073019181</v>
      </c>
    </row>
    <row r="160" customFormat="false" ht="15" hidden="false" customHeight="false" outlineLevel="0" collapsed="false">
      <c r="A160" s="7" t="s">
        <v>114</v>
      </c>
      <c r="B160" s="7" t="s">
        <v>2</v>
      </c>
      <c r="C160" s="7" t="s">
        <v>4</v>
      </c>
      <c r="D160" s="7" t="s">
        <v>118</v>
      </c>
      <c r="E160" s="22" t="n">
        <v>1.7133781882041</v>
      </c>
      <c r="F160" s="22" t="n">
        <v>0.784194339026015</v>
      </c>
      <c r="G160" s="23" t="n">
        <v>19</v>
      </c>
      <c r="H160" s="24" t="n">
        <f aca="false">IF(AND(ISNUMBER(E160),F160&gt;0),E160/F160,"")</f>
        <v>2.18488976894701</v>
      </c>
      <c r="I160" s="24" t="n">
        <f aca="false">IF(H160="","",TDIST(ABS(H160),G160-1,2))</f>
        <v>0.0423636603787336</v>
      </c>
    </row>
    <row r="161" customFormat="false" ht="15" hidden="false" customHeight="false" outlineLevel="0" collapsed="false">
      <c r="A161" s="7" t="s">
        <v>114</v>
      </c>
      <c r="B161" s="7" t="s">
        <v>2</v>
      </c>
      <c r="C161" s="7" t="s">
        <v>5</v>
      </c>
      <c r="D161" s="7" t="s">
        <v>118</v>
      </c>
      <c r="E161" s="22" t="n">
        <v>1.13108289416971</v>
      </c>
      <c r="F161" s="22" t="n">
        <v>0.599951763875107</v>
      </c>
      <c r="G161" s="23" t="n">
        <v>19</v>
      </c>
      <c r="H161" s="24" t="n">
        <f aca="false">IF(AND(ISNUMBER(E161),F161&gt;0),E161/F161,"")</f>
        <v>1.885289722067</v>
      </c>
      <c r="I161" s="24" t="n">
        <f aca="false">IF(H161="","",TDIST(ABS(H161),G161-1,2))</f>
        <v>0.0756385297789849</v>
      </c>
    </row>
    <row r="162" customFormat="false" ht="15" hidden="false" customHeight="false" outlineLevel="0" collapsed="false">
      <c r="A162" s="7" t="s">
        <v>114</v>
      </c>
      <c r="B162" s="7" t="s">
        <v>2</v>
      </c>
      <c r="C162" s="7" t="s">
        <v>6</v>
      </c>
      <c r="D162" s="7" t="s">
        <v>118</v>
      </c>
      <c r="E162" s="22" t="n">
        <v>1.79450060746448</v>
      </c>
      <c r="F162" s="22" t="n">
        <v>0.824358322731252</v>
      </c>
      <c r="G162" s="23" t="n">
        <v>19</v>
      </c>
      <c r="H162" s="24" t="n">
        <f aca="false">IF(AND(ISNUMBER(E162),F162&gt;0),E162/F162,"")</f>
        <v>2.17684538141008</v>
      </c>
      <c r="I162" s="24" t="n">
        <f aca="false">IF(H162="","",TDIST(ABS(H162),G162-1,2))</f>
        <v>0.0430460805343232</v>
      </c>
    </row>
    <row r="163" customFormat="false" ht="15" hidden="false" customHeight="false" outlineLevel="0" collapsed="false">
      <c r="A163" s="7" t="s">
        <v>114</v>
      </c>
      <c r="B163" s="7" t="s">
        <v>3</v>
      </c>
      <c r="C163" s="7" t="s">
        <v>4</v>
      </c>
      <c r="D163" s="7" t="s">
        <v>118</v>
      </c>
      <c r="E163" s="22" t="n">
        <v>0.965917040731858</v>
      </c>
      <c r="F163" s="22" t="n">
        <v>0.465077047946412</v>
      </c>
      <c r="G163" s="23" t="n">
        <v>19</v>
      </c>
      <c r="H163" s="24" t="n">
        <f aca="false">IF(AND(ISNUMBER(E163),F163&gt;0),E163/F163,"")</f>
        <v>2.07689681741326</v>
      </c>
      <c r="I163" s="24" t="n">
        <f aca="false">IF(H163="","",TDIST(ABS(H163),G163-1,2))</f>
        <v>0.0524046910308253</v>
      </c>
    </row>
    <row r="164" customFormat="false" ht="15" hidden="false" customHeight="false" outlineLevel="0" collapsed="false">
      <c r="A164" s="7" t="s">
        <v>114</v>
      </c>
      <c r="B164" s="7" t="s">
        <v>3</v>
      </c>
      <c r="C164" s="7" t="s">
        <v>5</v>
      </c>
      <c r="D164" s="7" t="s">
        <v>118</v>
      </c>
      <c r="E164" s="22" t="n">
        <v>0.401357241154186</v>
      </c>
      <c r="F164" s="22" t="n">
        <v>0.45968388630602</v>
      </c>
      <c r="G164" s="23" t="n">
        <v>19</v>
      </c>
      <c r="H164" s="24" t="n">
        <f aca="false">IF(AND(ISNUMBER(E164),F164&gt;0),E164/F164,"")</f>
        <v>0.873115749998239</v>
      </c>
      <c r="I164" s="24" t="n">
        <f aca="false">IF(H164="","",TDIST(ABS(H164),G164-1,2))</f>
        <v>0.39409898190169</v>
      </c>
    </row>
    <row r="165" customFormat="false" ht="15" hidden="false" customHeight="false" outlineLevel="0" collapsed="false">
      <c r="A165" s="7" t="s">
        <v>114</v>
      </c>
      <c r="B165" s="7" t="s">
        <v>3</v>
      </c>
      <c r="C165" s="7" t="s">
        <v>6</v>
      </c>
      <c r="D165" s="7" t="s">
        <v>118</v>
      </c>
      <c r="E165" s="22" t="n">
        <v>0.92076532571851</v>
      </c>
      <c r="F165" s="22" t="n">
        <v>0.535921735991202</v>
      </c>
      <c r="G165" s="23" t="n">
        <v>19</v>
      </c>
      <c r="H165" s="24" t="n">
        <f aca="false">IF(AND(ISNUMBER(E165),F165&gt;0),E165/F165,"")</f>
        <v>1.71809662471616</v>
      </c>
      <c r="I165" s="24" t="n">
        <f aca="false">IF(H165="","",TDIST(ABS(H165),G165-1,2))</f>
        <v>0.102932286658709</v>
      </c>
    </row>
    <row r="166" customFormat="false" ht="15" hidden="false" customHeight="false" outlineLevel="0" collapsed="false">
      <c r="A166" s="7" t="s">
        <v>114</v>
      </c>
      <c r="B166" s="7" t="s">
        <v>2</v>
      </c>
      <c r="C166" s="7" t="s">
        <v>4</v>
      </c>
      <c r="D166" s="7" t="s">
        <v>119</v>
      </c>
      <c r="E166" s="22" t="n">
        <v>1.27331567106647</v>
      </c>
      <c r="F166" s="22" t="n">
        <v>0.409757034955421</v>
      </c>
      <c r="G166" s="23" t="n">
        <v>19</v>
      </c>
      <c r="H166" s="24" t="n">
        <f aca="false">IF(AND(ISNUMBER(E166),F166&gt;0),E166/F166,"")</f>
        <v>3.10748946922899</v>
      </c>
      <c r="I166" s="24" t="n">
        <f aca="false">IF(H166="","",TDIST(ABS(H166),G166-1,2))</f>
        <v>0.00607889106927776</v>
      </c>
    </row>
    <row r="167" customFormat="false" ht="15" hidden="false" customHeight="false" outlineLevel="0" collapsed="false">
      <c r="A167" s="7" t="s">
        <v>114</v>
      </c>
      <c r="B167" s="7" t="s">
        <v>2</v>
      </c>
      <c r="C167" s="7" t="s">
        <v>5</v>
      </c>
      <c r="D167" s="7" t="s">
        <v>119</v>
      </c>
      <c r="E167" s="22" t="n">
        <v>0.627644203837737</v>
      </c>
      <c r="F167" s="22" t="n">
        <v>0.332138148039637</v>
      </c>
      <c r="G167" s="23" t="n">
        <v>19</v>
      </c>
      <c r="H167" s="24" t="n">
        <f aca="false">IF(AND(ISNUMBER(E167),F167&gt;0),E167/F167,"")</f>
        <v>1.88970826610027</v>
      </c>
      <c r="I167" s="24" t="n">
        <f aca="false">IF(H167="","",TDIST(ABS(H167),G167-1,2))</f>
        <v>0.0750131997256021</v>
      </c>
    </row>
    <row r="168" customFormat="false" ht="15" hidden="false" customHeight="false" outlineLevel="0" collapsed="false">
      <c r="A168" s="7" t="s">
        <v>114</v>
      </c>
      <c r="B168" s="7" t="s">
        <v>2</v>
      </c>
      <c r="C168" s="7" t="s">
        <v>6</v>
      </c>
      <c r="D168" s="7" t="s">
        <v>119</v>
      </c>
      <c r="E168" s="22" t="n">
        <v>1.38482422194798</v>
      </c>
      <c r="F168" s="22" t="n">
        <v>0.464101368854088</v>
      </c>
      <c r="G168" s="23" t="n">
        <v>19</v>
      </c>
      <c r="H168" s="24" t="n">
        <f aca="false">IF(AND(ISNUMBER(E168),F168&gt;0),E168/F168,"")</f>
        <v>2.98388308004187</v>
      </c>
      <c r="I168" s="24" t="n">
        <f aca="false">IF(H168="","",TDIST(ABS(H168),G168-1,2))</f>
        <v>0.00795939992687703</v>
      </c>
    </row>
    <row r="169" customFormat="false" ht="15" hidden="false" customHeight="false" outlineLevel="0" collapsed="false">
      <c r="A169" s="7" t="s">
        <v>114</v>
      </c>
      <c r="B169" s="7" t="s">
        <v>3</v>
      </c>
      <c r="C169" s="7" t="s">
        <v>4</v>
      </c>
      <c r="D169" s="7" t="s">
        <v>119</v>
      </c>
      <c r="E169" s="22" t="n">
        <v>0.545111927988727</v>
      </c>
      <c r="F169" s="22" t="n">
        <v>0.456200962475304</v>
      </c>
      <c r="G169" s="23" t="n">
        <v>19</v>
      </c>
      <c r="H169" s="24" t="n">
        <f aca="false">IF(AND(ISNUMBER(E169),F169&gt;0),E169/F169,"")</f>
        <v>1.19489429621323</v>
      </c>
      <c r="I169" s="24" t="n">
        <f aca="false">IF(H169="","",TDIST(ABS(H169),G169-1,2))</f>
        <v>0.247635522613938</v>
      </c>
    </row>
    <row r="170" customFormat="false" ht="15" hidden="false" customHeight="false" outlineLevel="0" collapsed="false">
      <c r="A170" s="7" t="s">
        <v>114</v>
      </c>
      <c r="B170" s="7" t="s">
        <v>3</v>
      </c>
      <c r="C170" s="7" t="s">
        <v>5</v>
      </c>
      <c r="D170" s="7" t="s">
        <v>119</v>
      </c>
      <c r="E170" s="22" t="n">
        <v>0.135595587337727</v>
      </c>
      <c r="F170" s="22" t="n">
        <v>0.391522070926486</v>
      </c>
      <c r="G170" s="23" t="n">
        <v>19</v>
      </c>
      <c r="H170" s="24" t="n">
        <f aca="false">IF(AND(ISNUMBER(E170),F170&gt;0),E170/F170,"")</f>
        <v>0.346329357670329</v>
      </c>
      <c r="I170" s="24" t="n">
        <f aca="false">IF(H170="","",TDIST(ABS(H170),G170-1,2))</f>
        <v>0.733110619463973</v>
      </c>
    </row>
    <row r="171" customFormat="false" ht="15" hidden="false" customHeight="false" outlineLevel="0" collapsed="false">
      <c r="A171" s="7" t="s">
        <v>114</v>
      </c>
      <c r="B171" s="7" t="s">
        <v>3</v>
      </c>
      <c r="C171" s="7" t="s">
        <v>6</v>
      </c>
      <c r="D171" s="7" t="s">
        <v>119</v>
      </c>
      <c r="E171" s="22" t="n">
        <v>0.517765918076118</v>
      </c>
      <c r="F171" s="22" t="n">
        <v>0.564051850318093</v>
      </c>
      <c r="G171" s="23" t="n">
        <v>19</v>
      </c>
      <c r="H171" s="24" t="n">
        <f aca="false">IF(AND(ISNUMBER(E171),F171&gt;0),E171/F171,"")</f>
        <v>0.917940288262733</v>
      </c>
      <c r="I171" s="24" t="n">
        <f aca="false">IF(H171="","",TDIST(ABS(H171),G171-1,2))</f>
        <v>0.370786951341339</v>
      </c>
    </row>
    <row r="172" customFormat="false" ht="15" hidden="false" customHeight="false" outlineLevel="0" collapsed="false">
      <c r="A172" s="7" t="s">
        <v>114</v>
      </c>
      <c r="B172" s="7" t="s">
        <v>2</v>
      </c>
      <c r="C172" s="7" t="s">
        <v>4</v>
      </c>
      <c r="D172" s="7" t="s">
        <v>120</v>
      </c>
      <c r="E172" s="22" t="n">
        <v>0.894316982738542</v>
      </c>
      <c r="F172" s="22" t="n">
        <v>0.398674151710969</v>
      </c>
      <c r="G172" s="23" t="n">
        <v>19</v>
      </c>
      <c r="H172" s="24" t="n">
        <f aca="false">IF(AND(ISNUMBER(E172),F172&gt;0),E172/F172,"")</f>
        <v>2.24322790655088</v>
      </c>
      <c r="I172" s="24" t="n">
        <f aca="false">IF(H172="","",TDIST(ABS(H172),G172-1,2))</f>
        <v>0.0377043291140431</v>
      </c>
    </row>
    <row r="173" customFormat="false" ht="15" hidden="false" customHeight="false" outlineLevel="0" collapsed="false">
      <c r="A173" s="7" t="s">
        <v>114</v>
      </c>
      <c r="B173" s="7" t="s">
        <v>2</v>
      </c>
      <c r="C173" s="7" t="s">
        <v>5</v>
      </c>
      <c r="D173" s="7" t="s">
        <v>120</v>
      </c>
      <c r="E173" s="22" t="n">
        <v>1.01506242428764</v>
      </c>
      <c r="F173" s="22" t="n">
        <v>0.323805020552329</v>
      </c>
      <c r="G173" s="23" t="n">
        <v>19</v>
      </c>
      <c r="H173" s="24" t="n">
        <f aca="false">IF(AND(ISNUMBER(E173),F173&gt;0),E173/F173,"")</f>
        <v>3.13479520038385</v>
      </c>
      <c r="I173" s="24" t="n">
        <f aca="false">IF(H173="","",TDIST(ABS(H173),G173-1,2))</f>
        <v>0.00572605418336773</v>
      </c>
    </row>
    <row r="174" customFormat="false" ht="15" hidden="false" customHeight="false" outlineLevel="0" collapsed="false">
      <c r="A174" s="7" t="s">
        <v>114</v>
      </c>
      <c r="B174" s="7" t="s">
        <v>2</v>
      </c>
      <c r="C174" s="7" t="s">
        <v>6</v>
      </c>
      <c r="D174" s="7" t="s">
        <v>120</v>
      </c>
      <c r="E174" s="22" t="n">
        <v>1.15840474288162</v>
      </c>
      <c r="F174" s="22" t="n">
        <v>0.520553786745261</v>
      </c>
      <c r="G174" s="23" t="n">
        <v>19</v>
      </c>
      <c r="H174" s="24" t="n">
        <f aca="false">IF(AND(ISNUMBER(E174),F174&gt;0),E174/F174,"")</f>
        <v>2.22533150728667</v>
      </c>
      <c r="I174" s="24" t="n">
        <f aca="false">IF(H174="","",TDIST(ABS(H174),G174-1,2))</f>
        <v>0.0390809127939968</v>
      </c>
    </row>
    <row r="175" customFormat="false" ht="15" hidden="false" customHeight="false" outlineLevel="0" collapsed="false">
      <c r="A175" s="7" t="s">
        <v>114</v>
      </c>
      <c r="B175" s="7" t="s">
        <v>3</v>
      </c>
      <c r="C175" s="7" t="s">
        <v>4</v>
      </c>
      <c r="D175" s="7" t="s">
        <v>120</v>
      </c>
      <c r="E175" s="22" t="n">
        <v>0.617283814564104</v>
      </c>
      <c r="F175" s="22" t="n">
        <v>0.565964167713723</v>
      </c>
      <c r="G175" s="23" t="n">
        <v>19</v>
      </c>
      <c r="H175" s="24" t="n">
        <f aca="false">IF(AND(ISNUMBER(E175),F175&gt;0),E175/F175,"")</f>
        <v>1.09067649469346</v>
      </c>
      <c r="I175" s="24" t="n">
        <f aca="false">IF(H175="","",TDIST(ABS(H175),G175-1,2))</f>
        <v>0.289800826436668</v>
      </c>
    </row>
    <row r="176" customFormat="false" ht="15" hidden="false" customHeight="false" outlineLevel="0" collapsed="false">
      <c r="A176" s="7" t="s">
        <v>114</v>
      </c>
      <c r="B176" s="7" t="s">
        <v>3</v>
      </c>
      <c r="C176" s="7" t="s">
        <v>5</v>
      </c>
      <c r="D176" s="7" t="s">
        <v>120</v>
      </c>
      <c r="E176" s="22" t="n">
        <v>0.659725948148622</v>
      </c>
      <c r="F176" s="22" t="n">
        <v>0.366389320055706</v>
      </c>
      <c r="G176" s="23" t="n">
        <v>19</v>
      </c>
      <c r="H176" s="24" t="n">
        <f aca="false">IF(AND(ISNUMBER(E176),F176&gt;0),E176/F176,"")</f>
        <v>1.8006145704474</v>
      </c>
      <c r="I176" s="24" t="n">
        <f aca="false">IF(H176="","",TDIST(ABS(H176),G176-1,2))</f>
        <v>0.0885440066989964</v>
      </c>
    </row>
    <row r="177" customFormat="false" ht="15" hidden="false" customHeight="false" outlineLevel="0" collapsed="false">
      <c r="A177" s="7" t="s">
        <v>114</v>
      </c>
      <c r="B177" s="7" t="s">
        <v>3</v>
      </c>
      <c r="C177" s="7" t="s">
        <v>6</v>
      </c>
      <c r="D177" s="7" t="s">
        <v>120</v>
      </c>
      <c r="E177" s="22" t="n">
        <v>0.816981162753842</v>
      </c>
      <c r="F177" s="22" t="n">
        <v>0.564139537445563</v>
      </c>
      <c r="G177" s="23" t="n">
        <v>19</v>
      </c>
      <c r="H177" s="24" t="n">
        <f aca="false">IF(AND(ISNUMBER(E177),F177&gt;0),E177/F177,"")</f>
        <v>1.44818986886321</v>
      </c>
      <c r="I177" s="24" t="n">
        <f aca="false">IF(H177="","",TDIST(ABS(H177),G177-1,2))</f>
        <v>0.164759441200405</v>
      </c>
    </row>
    <row r="178" customFormat="false" ht="15" hidden="false" customHeight="false" outlineLevel="0" collapsed="false">
      <c r="A178" s="7" t="s">
        <v>114</v>
      </c>
      <c r="B178" s="7" t="s">
        <v>2</v>
      </c>
      <c r="C178" s="7" t="s">
        <v>4</v>
      </c>
      <c r="D178" s="7" t="s">
        <v>121</v>
      </c>
      <c r="E178" s="22" t="n">
        <v>0.6341757847461</v>
      </c>
      <c r="F178" s="22" t="n">
        <v>0.572901762269947</v>
      </c>
      <c r="G178" s="23" t="n">
        <v>19</v>
      </c>
      <c r="H178" s="24" t="n">
        <f aca="false">IF(AND(ISNUMBER(E178),F178&gt;0),E178/F178,"")</f>
        <v>1.10695380344681</v>
      </c>
      <c r="I178" s="24" t="n">
        <f aca="false">IF(H178="","",TDIST(ABS(H178),G178-1,2))</f>
        <v>0.282888347561325</v>
      </c>
    </row>
    <row r="179" customFormat="false" ht="15" hidden="false" customHeight="false" outlineLevel="0" collapsed="false">
      <c r="A179" s="7" t="s">
        <v>114</v>
      </c>
      <c r="B179" s="7" t="s">
        <v>2</v>
      </c>
      <c r="C179" s="7" t="s">
        <v>5</v>
      </c>
      <c r="D179" s="7" t="s">
        <v>121</v>
      </c>
      <c r="E179" s="22" t="n">
        <v>1.31300447868498</v>
      </c>
      <c r="F179" s="22" t="n">
        <v>0.465714733626297</v>
      </c>
      <c r="G179" s="23" t="n">
        <v>19</v>
      </c>
      <c r="H179" s="24" t="n">
        <f aca="false">IF(AND(ISNUMBER(E179),F179&gt;0),E179/F179,"")</f>
        <v>2.81933205862148</v>
      </c>
      <c r="I179" s="24" t="n">
        <f aca="false">IF(H179="","",TDIST(ABS(H179),G179-1,2))</f>
        <v>0.0113560199828932</v>
      </c>
    </row>
    <row r="180" customFormat="false" ht="15" hidden="false" customHeight="false" outlineLevel="0" collapsed="false">
      <c r="A180" s="7" t="s">
        <v>114</v>
      </c>
      <c r="B180" s="7" t="s">
        <v>2</v>
      </c>
      <c r="C180" s="7" t="s">
        <v>6</v>
      </c>
      <c r="D180" s="7" t="s">
        <v>121</v>
      </c>
      <c r="E180" s="22" t="n">
        <v>1.05329703028654</v>
      </c>
      <c r="F180" s="22" t="n">
        <v>0.623546130933663</v>
      </c>
      <c r="G180" s="23" t="n">
        <v>19</v>
      </c>
      <c r="H180" s="24" t="n">
        <f aca="false">IF(AND(ISNUMBER(E180),F180&gt;0),E180/F180,"")</f>
        <v>1.68920466030219</v>
      </c>
      <c r="I180" s="24" t="n">
        <f aca="false">IF(H180="","",TDIST(ABS(H180),G180-1,2))</f>
        <v>0.108426872443357</v>
      </c>
    </row>
    <row r="181" customFormat="false" ht="15" hidden="false" customHeight="false" outlineLevel="0" collapsed="false">
      <c r="A181" s="7" t="s">
        <v>114</v>
      </c>
      <c r="B181" s="7" t="s">
        <v>3</v>
      </c>
      <c r="C181" s="7" t="s">
        <v>4</v>
      </c>
      <c r="D181" s="7" t="s">
        <v>121</v>
      </c>
      <c r="E181" s="22" t="n">
        <v>0.334335682522876</v>
      </c>
      <c r="F181" s="22" t="n">
        <v>0.517606726030131</v>
      </c>
      <c r="G181" s="23" t="n">
        <v>19</v>
      </c>
      <c r="H181" s="24" t="n">
        <f aca="false">IF(AND(ISNUMBER(E181),F181&gt;0),E181/F181,"")</f>
        <v>0.645926078061462</v>
      </c>
      <c r="I181" s="24" t="n">
        <f aca="false">IF(H181="","",TDIST(ABS(H181),G181-1,2))</f>
        <v>0.526477072344914</v>
      </c>
    </row>
    <row r="182" customFormat="false" ht="15" hidden="false" customHeight="false" outlineLevel="0" collapsed="false">
      <c r="A182" s="7" t="s">
        <v>114</v>
      </c>
      <c r="B182" s="7" t="s">
        <v>3</v>
      </c>
      <c r="C182" s="7" t="s">
        <v>5</v>
      </c>
      <c r="D182" s="7" t="s">
        <v>121</v>
      </c>
      <c r="E182" s="22" t="n">
        <v>0.303146875422824</v>
      </c>
      <c r="F182" s="22" t="n">
        <v>0.445318055503425</v>
      </c>
      <c r="G182" s="23" t="n">
        <v>19</v>
      </c>
      <c r="H182" s="24" t="n">
        <f aca="false">IF(AND(ISNUMBER(E182),F182&gt;0),E182/F182,"")</f>
        <v>0.680742385529644</v>
      </c>
      <c r="I182" s="24" t="n">
        <f aca="false">IF(H182="","",TDIST(ABS(H182),G182-1,2))</f>
        <v>0.504697966016621</v>
      </c>
    </row>
    <row r="183" customFormat="false" ht="15" hidden="false" customHeight="false" outlineLevel="0" collapsed="false">
      <c r="A183" s="7" t="s">
        <v>114</v>
      </c>
      <c r="B183" s="7" t="s">
        <v>3</v>
      </c>
      <c r="C183" s="7" t="s">
        <v>6</v>
      </c>
      <c r="D183" s="7" t="s">
        <v>121</v>
      </c>
      <c r="E183" s="22" t="n">
        <v>0.758061110221334</v>
      </c>
      <c r="F183" s="22" t="n">
        <v>0.613976295548323</v>
      </c>
      <c r="G183" s="23" t="n">
        <v>19</v>
      </c>
      <c r="H183" s="24" t="n">
        <f aca="false">IF(AND(ISNUMBER(E183),F183&gt;0),E183/F183,"")</f>
        <v>1.23467488194204</v>
      </c>
      <c r="I183" s="24" t="n">
        <f aca="false">IF(H183="","",TDIST(ABS(H183),G183-1,2))</f>
        <v>0.232827290657263</v>
      </c>
    </row>
    <row r="184" customFormat="false" ht="15" hidden="false" customHeight="false" outlineLevel="0" collapsed="false">
      <c r="A184" s="7" t="s">
        <v>114</v>
      </c>
      <c r="B184" s="7" t="s">
        <v>2</v>
      </c>
      <c r="C184" s="7" t="s">
        <v>4</v>
      </c>
      <c r="D184" s="7" t="s">
        <v>122</v>
      </c>
      <c r="E184" s="22" t="n">
        <v>1.91390006307343</v>
      </c>
      <c r="F184" s="22" t="n">
        <v>0.554788148607683</v>
      </c>
      <c r="G184" s="23" t="n">
        <v>19</v>
      </c>
      <c r="H184" s="24" t="n">
        <f aca="false">IF(AND(ISNUMBER(E184),F184&gt;0),E184/F184,"")</f>
        <v>3.4497854142642</v>
      </c>
      <c r="I184" s="24" t="n">
        <f aca="false">IF(H184="","",TDIST(ABS(H184),G184-1,2))</f>
        <v>0.00285810232881354</v>
      </c>
    </row>
    <row r="185" customFormat="false" ht="15" hidden="false" customHeight="false" outlineLevel="0" collapsed="false">
      <c r="A185" s="7" t="s">
        <v>114</v>
      </c>
      <c r="B185" s="7" t="s">
        <v>2</v>
      </c>
      <c r="C185" s="7" t="s">
        <v>5</v>
      </c>
      <c r="D185" s="7" t="s">
        <v>122</v>
      </c>
      <c r="E185" s="22" t="n">
        <v>2.23055413442728</v>
      </c>
      <c r="F185" s="22" t="n">
        <v>0.754464447373707</v>
      </c>
      <c r="G185" s="23" t="n">
        <v>19</v>
      </c>
      <c r="H185" s="24" t="n">
        <f aca="false">IF(AND(ISNUMBER(E185),F185&gt;0),E185/F185,"")</f>
        <v>2.95647348551923</v>
      </c>
      <c r="I185" s="24" t="n">
        <f aca="false">IF(H185="","",TDIST(ABS(H185),G185-1,2))</f>
        <v>0.00844726516953083</v>
      </c>
    </row>
    <row r="186" customFormat="false" ht="15" hidden="false" customHeight="false" outlineLevel="0" collapsed="false">
      <c r="A186" s="7" t="s">
        <v>114</v>
      </c>
      <c r="B186" s="7" t="s">
        <v>2</v>
      </c>
      <c r="C186" s="7" t="s">
        <v>6</v>
      </c>
      <c r="D186" s="7" t="s">
        <v>122</v>
      </c>
      <c r="E186" s="22" t="n">
        <v>1.96367527003952</v>
      </c>
      <c r="F186" s="22" t="n">
        <v>0.86439070636369</v>
      </c>
      <c r="G186" s="23" t="n">
        <v>19</v>
      </c>
      <c r="H186" s="24" t="n">
        <f aca="false">IF(AND(ISNUMBER(E186),F186&gt;0),E186/F186,"")</f>
        <v>2.27174500556616</v>
      </c>
      <c r="I186" s="24" t="n">
        <f aca="false">IF(H186="","",TDIST(ABS(H186),G186-1,2))</f>
        <v>0.0356029408266227</v>
      </c>
    </row>
    <row r="187" customFormat="false" ht="15" hidden="false" customHeight="false" outlineLevel="0" collapsed="false">
      <c r="A187" s="7" t="s">
        <v>114</v>
      </c>
      <c r="B187" s="7" t="s">
        <v>3</v>
      </c>
      <c r="C187" s="7" t="s">
        <v>4</v>
      </c>
      <c r="D187" s="7" t="s">
        <v>122</v>
      </c>
      <c r="E187" s="22" t="n">
        <v>1.32282009217191</v>
      </c>
      <c r="F187" s="22" t="n">
        <v>0.659291003525158</v>
      </c>
      <c r="G187" s="23" t="n">
        <v>19</v>
      </c>
      <c r="H187" s="24" t="n">
        <f aca="false">IF(AND(ISNUMBER(E187),F187&gt;0),E187/F187,"")</f>
        <v>2.00642824655416</v>
      </c>
      <c r="I187" s="24" t="n">
        <f aca="false">IF(H187="","",TDIST(ABS(H187),G187-1,2))</f>
        <v>0.06007387017329</v>
      </c>
    </row>
    <row r="188" customFormat="false" ht="15" hidden="false" customHeight="false" outlineLevel="0" collapsed="false">
      <c r="A188" s="7" t="s">
        <v>114</v>
      </c>
      <c r="B188" s="7" t="s">
        <v>3</v>
      </c>
      <c r="C188" s="7" t="s">
        <v>5</v>
      </c>
      <c r="D188" s="7" t="s">
        <v>122</v>
      </c>
      <c r="E188" s="22" t="n">
        <v>1.05978877946226</v>
      </c>
      <c r="F188" s="22" t="n">
        <v>0.582766084754841</v>
      </c>
      <c r="G188" s="23" t="n">
        <v>19</v>
      </c>
      <c r="H188" s="24" t="n">
        <f aca="false">IF(AND(ISNUMBER(E188),F188&gt;0),E188/F188,"")</f>
        <v>1.81854916953189</v>
      </c>
      <c r="I188" s="24" t="n">
        <f aca="false">IF(H188="","",TDIST(ABS(H188),G188-1,2))</f>
        <v>0.0856598248598009</v>
      </c>
    </row>
    <row r="189" customFormat="false" ht="15" hidden="false" customHeight="false" outlineLevel="0" collapsed="false">
      <c r="A189" s="7" t="s">
        <v>114</v>
      </c>
      <c r="B189" s="7" t="s">
        <v>3</v>
      </c>
      <c r="C189" s="7" t="s">
        <v>6</v>
      </c>
      <c r="D189" s="7" t="s">
        <v>122</v>
      </c>
      <c r="E189" s="22" t="n">
        <v>1.27028533274191</v>
      </c>
      <c r="F189" s="22" t="n">
        <v>0.7857179866685</v>
      </c>
      <c r="G189" s="23" t="n">
        <v>19</v>
      </c>
      <c r="H189" s="24" t="n">
        <f aca="false">IF(AND(ISNUMBER(E189),F189&gt;0),E189/F189,"")</f>
        <v>1.61671917188508</v>
      </c>
      <c r="I189" s="24" t="n">
        <f aca="false">IF(H189="","",TDIST(ABS(H189),G189-1,2))</f>
        <v>0.123329312018076</v>
      </c>
    </row>
    <row r="190" customFormat="false" ht="15" hidden="false" customHeight="false" outlineLevel="0" collapsed="false">
      <c r="A190" s="7" t="s">
        <v>123</v>
      </c>
      <c r="B190" s="7" t="s">
        <v>2</v>
      </c>
      <c r="C190" s="7" t="s">
        <v>4</v>
      </c>
      <c r="D190" s="7" t="s">
        <v>124</v>
      </c>
      <c r="E190" s="22" t="n">
        <v>1.00880865032638</v>
      </c>
      <c r="F190" s="22" t="n">
        <v>0.371039248864098</v>
      </c>
      <c r="G190" s="23" t="n">
        <v>19</v>
      </c>
      <c r="H190" s="24" t="n">
        <f aca="false">IF(AND(ISNUMBER(E190),F190&gt;0),E190/F190,"")</f>
        <v>2.71887314728765</v>
      </c>
      <c r="I190" s="24" t="n">
        <f aca="false">IF(H190="","",TDIST(ABS(H190),G190-1,2))</f>
        <v>0.014075513950478</v>
      </c>
    </row>
    <row r="191" customFormat="false" ht="15" hidden="false" customHeight="false" outlineLevel="0" collapsed="false">
      <c r="A191" s="7" t="s">
        <v>123</v>
      </c>
      <c r="B191" s="7" t="s">
        <v>2</v>
      </c>
      <c r="C191" s="7" t="s">
        <v>6</v>
      </c>
      <c r="D191" s="7" t="s">
        <v>124</v>
      </c>
      <c r="E191" s="22" t="n">
        <v>0.908049836044691</v>
      </c>
      <c r="F191" s="22" t="n">
        <v>0.446161473466054</v>
      </c>
      <c r="G191" s="23" t="n">
        <v>19</v>
      </c>
      <c r="H191" s="24" t="n">
        <f aca="false">IF(AND(ISNUMBER(E191),F191&gt;0),E191/F191,"")</f>
        <v>2.03524932126122</v>
      </c>
      <c r="I191" s="24" t="n">
        <f aca="false">IF(H191="","",TDIST(ABS(H191),G191-1,2))</f>
        <v>0.0568226350902199</v>
      </c>
    </row>
    <row r="192" customFormat="false" ht="15" hidden="false" customHeight="false" outlineLevel="0" collapsed="false">
      <c r="A192" s="7" t="s">
        <v>123</v>
      </c>
      <c r="B192" s="7" t="s">
        <v>3</v>
      </c>
      <c r="C192" s="7" t="s">
        <v>4</v>
      </c>
      <c r="D192" s="7" t="s">
        <v>124</v>
      </c>
      <c r="E192" s="22" t="n">
        <v>0.42453131520285</v>
      </c>
      <c r="F192" s="22" t="n">
        <v>0.158013648191754</v>
      </c>
      <c r="G192" s="23" t="n">
        <v>19</v>
      </c>
      <c r="H192" s="24" t="n">
        <f aca="false">IF(AND(ISNUMBER(E192),F192&gt;0),E192/F192,"")</f>
        <v>2.68667498068059</v>
      </c>
      <c r="I192" s="24" t="n">
        <f aca="false">IF(H192="","",TDIST(ABS(H192),G192-1,2))</f>
        <v>0.0150719382223053</v>
      </c>
    </row>
    <row r="193" customFormat="false" ht="15" hidden="false" customHeight="false" outlineLevel="0" collapsed="false">
      <c r="A193" s="7" t="s">
        <v>123</v>
      </c>
      <c r="B193" s="7" t="s">
        <v>3</v>
      </c>
      <c r="C193" s="7" t="s">
        <v>6</v>
      </c>
      <c r="D193" s="7" t="s">
        <v>124</v>
      </c>
      <c r="E193" s="22" t="n">
        <v>0.314914004125177</v>
      </c>
      <c r="F193" s="22" t="n">
        <v>0.30824606853797</v>
      </c>
      <c r="G193" s="23" t="n">
        <v>19</v>
      </c>
      <c r="H193" s="24" t="n">
        <f aca="false">IF(AND(ISNUMBER(E193),F193&gt;0),E193/F193,"")</f>
        <v>1.02163185930913</v>
      </c>
      <c r="I193" s="24" t="n">
        <f aca="false">IF(H193="","",TDIST(ABS(H193),G193-1,2))</f>
        <v>0.320490609778521</v>
      </c>
    </row>
    <row r="194" customFormat="false" ht="15" hidden="false" customHeight="false" outlineLevel="0" collapsed="false">
      <c r="A194" s="7" t="s">
        <v>123</v>
      </c>
      <c r="B194" s="7" t="s">
        <v>2</v>
      </c>
      <c r="C194" s="7" t="s">
        <v>4</v>
      </c>
      <c r="D194" s="7" t="s">
        <v>125</v>
      </c>
      <c r="E194" s="22" t="n">
        <v>0.933690312279558</v>
      </c>
      <c r="F194" s="22" t="n">
        <v>0.362436608488551</v>
      </c>
      <c r="G194" s="23" t="n">
        <v>19</v>
      </c>
      <c r="H194" s="24" t="n">
        <f aca="false">IF(AND(ISNUMBER(E194),F194&gt;0),E194/F194,"")</f>
        <v>2.57614791224671</v>
      </c>
      <c r="I194" s="24" t="n">
        <f aca="false">IF(H194="","",TDIST(ABS(H194),G194-1,2))</f>
        <v>0.019028885250577</v>
      </c>
    </row>
    <row r="195" customFormat="false" ht="15" hidden="false" customHeight="false" outlineLevel="0" collapsed="false">
      <c r="A195" s="7" t="s">
        <v>123</v>
      </c>
      <c r="B195" s="7" t="s">
        <v>2</v>
      </c>
      <c r="C195" s="7" t="s">
        <v>6</v>
      </c>
      <c r="D195" s="7" t="s">
        <v>125</v>
      </c>
      <c r="E195" s="22" t="n">
        <v>0.812929200257728</v>
      </c>
      <c r="F195" s="22" t="n">
        <v>0.429788400278992</v>
      </c>
      <c r="G195" s="23" t="n">
        <v>19</v>
      </c>
      <c r="H195" s="24" t="n">
        <f aca="false">IF(AND(ISNUMBER(E195),F195&gt;0),E195/F195,"")</f>
        <v>1.89146379876708</v>
      </c>
      <c r="I195" s="24" t="n">
        <f aca="false">IF(H195="","",TDIST(ABS(H195),G195-1,2))</f>
        <v>0.0747660231168769</v>
      </c>
    </row>
    <row r="196" customFormat="false" ht="15" hidden="false" customHeight="false" outlineLevel="0" collapsed="false">
      <c r="A196" s="7" t="s">
        <v>123</v>
      </c>
      <c r="B196" s="7" t="s">
        <v>3</v>
      </c>
      <c r="C196" s="7" t="s">
        <v>4</v>
      </c>
      <c r="D196" s="7" t="s">
        <v>125</v>
      </c>
      <c r="E196" s="22" t="n">
        <v>0.351517691787019</v>
      </c>
      <c r="F196" s="22" t="n">
        <v>0.149124392545806</v>
      </c>
      <c r="G196" s="23" t="n">
        <v>19</v>
      </c>
      <c r="H196" s="24" t="n">
        <f aca="false">IF(AND(ISNUMBER(E196),F196&gt;0),E196/F196,"")</f>
        <v>2.35721122336874</v>
      </c>
      <c r="I196" s="24" t="n">
        <f aca="false">IF(H196="","",TDIST(ABS(H196),G196-1,2))</f>
        <v>0.0299369430510828</v>
      </c>
    </row>
    <row r="197" customFormat="false" ht="15" hidden="false" customHeight="false" outlineLevel="0" collapsed="false">
      <c r="A197" s="7" t="s">
        <v>123</v>
      </c>
      <c r="B197" s="7" t="s">
        <v>3</v>
      </c>
      <c r="C197" s="7" t="s">
        <v>6</v>
      </c>
      <c r="D197" s="7" t="s">
        <v>125</v>
      </c>
      <c r="E197" s="22" t="n">
        <v>0.211473409530114</v>
      </c>
      <c r="F197" s="22" t="n">
        <v>0.290464888400297</v>
      </c>
      <c r="G197" s="23" t="n">
        <v>19</v>
      </c>
      <c r="H197" s="24" t="n">
        <f aca="false">IF(AND(ISNUMBER(E197),F197&gt;0),E197/F197,"")</f>
        <v>0.728051540737951</v>
      </c>
      <c r="I197" s="24" t="n">
        <f aca="false">IF(H197="","",TDIST(ABS(H197),G197-1,2))</f>
        <v>0.475947241339247</v>
      </c>
    </row>
    <row r="198" customFormat="false" ht="15" hidden="false" customHeight="false" outlineLevel="0" collapsed="false">
      <c r="A198" s="7" t="s">
        <v>123</v>
      </c>
      <c r="B198" s="7" t="s">
        <v>2</v>
      </c>
      <c r="C198" s="7" t="s">
        <v>4</v>
      </c>
      <c r="D198" s="7" t="s">
        <v>126</v>
      </c>
      <c r="E198" s="22" t="n">
        <v>0.845419751194137</v>
      </c>
      <c r="F198" s="22" t="n">
        <v>0.294894604113808</v>
      </c>
      <c r="G198" s="23" t="n">
        <v>19</v>
      </c>
      <c r="H198" s="24" t="n">
        <f aca="false">IF(AND(ISNUMBER(E198),F198&gt;0),E198/F198,"")</f>
        <v>2.86685391797764</v>
      </c>
      <c r="I198" s="24" t="n">
        <f aca="false">IF(H198="","",TDIST(ABS(H198),G198-1,2))</f>
        <v>0.0102528747555276</v>
      </c>
    </row>
    <row r="199" customFormat="false" ht="15" hidden="false" customHeight="false" outlineLevel="0" collapsed="false">
      <c r="A199" s="7" t="s">
        <v>123</v>
      </c>
      <c r="B199" s="7" t="s">
        <v>2</v>
      </c>
      <c r="C199" s="7" t="s">
        <v>6</v>
      </c>
      <c r="D199" s="7" t="s">
        <v>126</v>
      </c>
      <c r="E199" s="22" t="n">
        <v>0.679363783734892</v>
      </c>
      <c r="F199" s="22" t="n">
        <v>0.376416901938781</v>
      </c>
      <c r="G199" s="23" t="n">
        <v>19</v>
      </c>
      <c r="H199" s="24" t="n">
        <f aca="false">IF(AND(ISNUMBER(E199),F199&gt;0),E199/F199,"")</f>
        <v>1.80481742513619</v>
      </c>
      <c r="I199" s="24" t="n">
        <f aca="false">IF(H199="","",TDIST(ABS(H199),G199-1,2))</f>
        <v>0.0878606035691774</v>
      </c>
    </row>
    <row r="200" customFormat="false" ht="15" hidden="false" customHeight="false" outlineLevel="0" collapsed="false">
      <c r="A200" s="7" t="s">
        <v>123</v>
      </c>
      <c r="B200" s="7" t="s">
        <v>3</v>
      </c>
      <c r="C200" s="7" t="s">
        <v>4</v>
      </c>
      <c r="D200" s="7" t="s">
        <v>126</v>
      </c>
      <c r="E200" s="22" t="n">
        <v>0.334782827059517</v>
      </c>
      <c r="F200" s="22" t="n">
        <v>0.131982071184289</v>
      </c>
      <c r="G200" s="23" t="n">
        <v>19</v>
      </c>
      <c r="H200" s="24" t="n">
        <f aca="false">IF(AND(ISNUMBER(E200),F200&gt;0),E200/F200,"")</f>
        <v>2.53657806742594</v>
      </c>
      <c r="I200" s="24" t="n">
        <f aca="false">IF(H200="","",TDIST(ABS(H200),G200-1,2))</f>
        <v>0.020671361154114</v>
      </c>
    </row>
    <row r="201" customFormat="false" ht="15" hidden="false" customHeight="false" outlineLevel="0" collapsed="false">
      <c r="A201" s="7" t="s">
        <v>123</v>
      </c>
      <c r="B201" s="7" t="s">
        <v>3</v>
      </c>
      <c r="C201" s="7" t="s">
        <v>6</v>
      </c>
      <c r="D201" s="7" t="s">
        <v>126</v>
      </c>
      <c r="E201" s="22" t="n">
        <v>0.1225370694166</v>
      </c>
      <c r="F201" s="22" t="n">
        <v>0.209504924733184</v>
      </c>
      <c r="G201" s="23" t="n">
        <v>19</v>
      </c>
      <c r="H201" s="24" t="n">
        <f aca="false">IF(AND(ISNUMBER(E201),F201&gt;0),E201/F201,"")</f>
        <v>0.584888730289551</v>
      </c>
      <c r="I201" s="24" t="n">
        <f aca="false">IF(H201="","",TDIST(ABS(H201),G201-1,2))</f>
        <v>0.565882841733479</v>
      </c>
    </row>
    <row r="202" customFormat="false" ht="15" hidden="false" customHeight="false" outlineLevel="0" collapsed="false">
      <c r="A202" s="7" t="s">
        <v>123</v>
      </c>
      <c r="B202" s="7" t="s">
        <v>2</v>
      </c>
      <c r="C202" s="7" t="s">
        <v>4</v>
      </c>
      <c r="D202" s="7" t="s">
        <v>127</v>
      </c>
      <c r="E202" s="22" t="n">
        <v>0.92213933279219</v>
      </c>
      <c r="F202" s="22" t="n">
        <v>0.3985194378897</v>
      </c>
      <c r="G202" s="23" t="n">
        <v>19</v>
      </c>
      <c r="H202" s="24" t="n">
        <f aca="false">IF(AND(ISNUMBER(E202),F202&gt;0),E202/F202,"")</f>
        <v>2.31391306199577</v>
      </c>
      <c r="I202" s="24" t="n">
        <f aca="false">IF(H202="","",TDIST(ABS(H202),G202-1,2))</f>
        <v>0.0326934932146786</v>
      </c>
    </row>
    <row r="203" customFormat="false" ht="15" hidden="false" customHeight="false" outlineLevel="0" collapsed="false">
      <c r="A203" s="7" t="s">
        <v>123</v>
      </c>
      <c r="B203" s="7" t="s">
        <v>2</v>
      </c>
      <c r="C203" s="7" t="s">
        <v>6</v>
      </c>
      <c r="D203" s="7" t="s">
        <v>127</v>
      </c>
      <c r="E203" s="22" t="n">
        <v>0.784324330203946</v>
      </c>
      <c r="F203" s="22" t="n">
        <v>0.450336906927936</v>
      </c>
      <c r="G203" s="23" t="n">
        <v>19</v>
      </c>
      <c r="H203" s="24" t="n">
        <f aca="false">IF(AND(ISNUMBER(E203),F203&gt;0),E203/F203,"")</f>
        <v>1.74163902211429</v>
      </c>
      <c r="I203" s="24" t="n">
        <f aca="false">IF(H203="","",TDIST(ABS(H203),G203-1,2))</f>
        <v>0.0986342452830579</v>
      </c>
    </row>
    <row r="204" customFormat="false" ht="15" hidden="false" customHeight="false" outlineLevel="0" collapsed="false">
      <c r="A204" s="7" t="s">
        <v>123</v>
      </c>
      <c r="B204" s="7" t="s">
        <v>3</v>
      </c>
      <c r="C204" s="7" t="s">
        <v>4</v>
      </c>
      <c r="D204" s="7" t="s">
        <v>127</v>
      </c>
      <c r="E204" s="22" t="n">
        <v>0.364600164312923</v>
      </c>
      <c r="F204" s="22" t="n">
        <v>0.185215094493385</v>
      </c>
      <c r="G204" s="23" t="n">
        <v>19</v>
      </c>
      <c r="H204" s="24" t="n">
        <f aca="false">IF(AND(ISNUMBER(E204),F204&gt;0),E204/F204,"")</f>
        <v>1.96852295062779</v>
      </c>
      <c r="I204" s="24" t="n">
        <f aca="false">IF(H204="","",TDIST(ABS(H204),G204-1,2))</f>
        <v>0.0646041329431138</v>
      </c>
    </row>
    <row r="205" customFormat="false" ht="15" hidden="false" customHeight="false" outlineLevel="0" collapsed="false">
      <c r="A205" s="7" t="s">
        <v>123</v>
      </c>
      <c r="B205" s="7" t="s">
        <v>3</v>
      </c>
      <c r="C205" s="7" t="s">
        <v>6</v>
      </c>
      <c r="D205" s="7" t="s">
        <v>127</v>
      </c>
      <c r="E205" s="22" t="n">
        <v>0.213631491757394</v>
      </c>
      <c r="F205" s="22" t="n">
        <v>0.33587056623705</v>
      </c>
      <c r="G205" s="23" t="n">
        <v>19</v>
      </c>
      <c r="H205" s="24" t="n">
        <f aca="false">IF(AND(ISNUMBER(E205),F205&gt;0),E205/F205,"")</f>
        <v>0.636053031234113</v>
      </c>
      <c r="I205" s="24" t="n">
        <f aca="false">IF(H205="","",TDIST(ABS(H205),G205-1,2))</f>
        <v>0.532746745342747</v>
      </c>
    </row>
    <row r="206" customFormat="false" ht="15" hidden="false" customHeight="false" outlineLevel="0" collapsed="false">
      <c r="A206" s="7" t="s">
        <v>123</v>
      </c>
      <c r="B206" s="7" t="s">
        <v>2</v>
      </c>
      <c r="C206" s="7" t="s">
        <v>4</v>
      </c>
      <c r="D206" s="7" t="s">
        <v>128</v>
      </c>
      <c r="E206" s="22" t="n">
        <v>0.567189044523664</v>
      </c>
      <c r="F206" s="22" t="n">
        <v>0.316639736630231</v>
      </c>
      <c r="G206" s="23" t="n">
        <v>19</v>
      </c>
      <c r="H206" s="24" t="n">
        <f aca="false">IF(AND(ISNUMBER(E206),F206&gt;0),E206/F206,"")</f>
        <v>1.79127563255279</v>
      </c>
      <c r="I206" s="24" t="n">
        <f aca="false">IF(H206="","",TDIST(ABS(H206),G206-1,2))</f>
        <v>0.0900792107866411</v>
      </c>
    </row>
    <row r="207" customFormat="false" ht="15" hidden="false" customHeight="false" outlineLevel="0" collapsed="false">
      <c r="A207" s="7" t="s">
        <v>123</v>
      </c>
      <c r="B207" s="7" t="s">
        <v>2</v>
      </c>
      <c r="C207" s="7" t="s">
        <v>6</v>
      </c>
      <c r="D207" s="7" t="s">
        <v>128</v>
      </c>
      <c r="E207" s="22" t="n">
        <v>0.399287863523711</v>
      </c>
      <c r="F207" s="22" t="n">
        <v>0.451965346503621</v>
      </c>
      <c r="G207" s="23" t="n">
        <v>19</v>
      </c>
      <c r="H207" s="24" t="n">
        <f aca="false">IF(AND(ISNUMBER(E207),F207&gt;0),E207/F207,"")</f>
        <v>0.883447960363732</v>
      </c>
      <c r="I207" s="24" t="n">
        <f aca="false">IF(H207="","",TDIST(ABS(H207),G207-1,2))</f>
        <v>0.38864166268746</v>
      </c>
    </row>
    <row r="208" customFormat="false" ht="15" hidden="false" customHeight="false" outlineLevel="0" collapsed="false">
      <c r="A208" s="7" t="s">
        <v>123</v>
      </c>
      <c r="B208" s="7" t="s">
        <v>3</v>
      </c>
      <c r="C208" s="7" t="s">
        <v>4</v>
      </c>
      <c r="D208" s="7" t="s">
        <v>128</v>
      </c>
      <c r="E208" s="22" t="n">
        <v>0.15672659626931</v>
      </c>
      <c r="F208" s="22" t="n">
        <v>0.25965977075475</v>
      </c>
      <c r="G208" s="23" t="n">
        <v>19</v>
      </c>
      <c r="H208" s="24" t="n">
        <f aca="false">IF(AND(ISNUMBER(E208),F208&gt;0),E208/F208,"")</f>
        <v>0.603584435947681</v>
      </c>
      <c r="I208" s="24" t="n">
        <f aca="false">IF(H208="","",TDIST(ABS(H208),G208-1,2))</f>
        <v>0.553650922592226</v>
      </c>
    </row>
    <row r="209" customFormat="false" ht="15" hidden="false" customHeight="false" outlineLevel="0" collapsed="false">
      <c r="A209" s="7" t="s">
        <v>123</v>
      </c>
      <c r="B209" s="7" t="s">
        <v>3</v>
      </c>
      <c r="C209" s="7" t="s">
        <v>6</v>
      </c>
      <c r="D209" s="7" t="s">
        <v>128</v>
      </c>
      <c r="E209" s="22" t="n">
        <v>-0.181504410659495</v>
      </c>
      <c r="F209" s="22" t="n">
        <v>0.373616631388296</v>
      </c>
      <c r="G209" s="23" t="n">
        <v>19</v>
      </c>
      <c r="H209" s="24" t="n">
        <f aca="false">IF(AND(ISNUMBER(E209),F209&gt;0),E209/F209,"")</f>
        <v>-0.485803884010879</v>
      </c>
      <c r="I209" s="24" t="n">
        <f aca="false">IF(H209="","",TDIST(ABS(H209),G209-1,2))</f>
        <v>0.632967204853732</v>
      </c>
    </row>
    <row r="210" customFormat="false" ht="15" hidden="false" customHeight="false" outlineLevel="0" collapsed="false">
      <c r="A210" s="7" t="s">
        <v>129</v>
      </c>
      <c r="B210" s="7" t="s">
        <v>2</v>
      </c>
      <c r="C210" s="7" t="s">
        <v>4</v>
      </c>
      <c r="D210" s="7" t="s">
        <v>60</v>
      </c>
      <c r="E210" s="22" t="n">
        <v>-0.710238929879916</v>
      </c>
      <c r="F210" s="22" t="n">
        <v>0.335391334258591</v>
      </c>
      <c r="G210" s="23" t="n">
        <v>19</v>
      </c>
      <c r="H210" s="24" t="n">
        <f aca="false">IF(AND(ISNUMBER(E210),F210&gt;0),E210/F210,"")</f>
        <v>-2.11764245921844</v>
      </c>
      <c r="I210" s="24" t="n">
        <f aca="false">IF(H210="","",TDIST(ABS(H210),G210-1,2))</f>
        <v>0.0483861018736675</v>
      </c>
    </row>
    <row r="211" customFormat="false" ht="15" hidden="false" customHeight="false" outlineLevel="0" collapsed="false">
      <c r="A211" s="7" t="s">
        <v>129</v>
      </c>
      <c r="B211" s="7" t="s">
        <v>2</v>
      </c>
      <c r="C211" s="7" t="s">
        <v>6</v>
      </c>
      <c r="D211" s="7" t="s">
        <v>60</v>
      </c>
      <c r="E211" s="22" t="n">
        <v>-0.444342461805345</v>
      </c>
      <c r="F211" s="22" t="n">
        <v>0.409727984191498</v>
      </c>
      <c r="G211" s="23" t="n">
        <v>19</v>
      </c>
      <c r="H211" s="24" t="n">
        <f aca="false">IF(AND(ISNUMBER(E211),F211&gt;0),E211/F211,"")</f>
        <v>-1.08448160474601</v>
      </c>
      <c r="I211" s="24" t="n">
        <f aca="false">IF(H211="","",TDIST(ABS(H211),G211-1,2))</f>
        <v>0.292463781450551</v>
      </c>
    </row>
    <row r="212" customFormat="false" ht="15" hidden="false" customHeight="false" outlineLevel="0" collapsed="false">
      <c r="A212" s="7" t="s">
        <v>129</v>
      </c>
      <c r="B212" s="7" t="s">
        <v>3</v>
      </c>
      <c r="C212" s="7" t="s">
        <v>4</v>
      </c>
      <c r="D212" s="7" t="s">
        <v>60</v>
      </c>
      <c r="E212" s="22" t="n">
        <v>-0.419874145342578</v>
      </c>
      <c r="F212" s="22" t="n">
        <v>0.145616427497702</v>
      </c>
      <c r="G212" s="23" t="n">
        <v>19</v>
      </c>
      <c r="H212" s="24" t="n">
        <f aca="false">IF(AND(ISNUMBER(E212),F212&gt;0),E212/F212,"")</f>
        <v>-2.88342567221136</v>
      </c>
      <c r="I212" s="24" t="n">
        <f aca="false">IF(H212="","",TDIST(ABS(H212),G212-1,2))</f>
        <v>0.00989306002437884</v>
      </c>
    </row>
    <row r="213" customFormat="false" ht="15" hidden="false" customHeight="false" outlineLevel="0" collapsed="false">
      <c r="A213" s="7" t="s">
        <v>129</v>
      </c>
      <c r="B213" s="7" t="s">
        <v>3</v>
      </c>
      <c r="C213" s="7" t="s">
        <v>6</v>
      </c>
      <c r="D213" s="7" t="s">
        <v>60</v>
      </c>
      <c r="E213" s="22" t="n">
        <v>-0.371664467636737</v>
      </c>
      <c r="F213" s="22" t="n">
        <v>0.260708358959443</v>
      </c>
      <c r="G213" s="23" t="n">
        <v>19</v>
      </c>
      <c r="H213" s="24" t="n">
        <f aca="false">IF(AND(ISNUMBER(E213),F213&gt;0),E213/F213,"")</f>
        <v>-1.42559474932124</v>
      </c>
      <c r="I213" s="24" t="n">
        <f aca="false">IF(H213="","",TDIST(ABS(H213),G213-1,2))</f>
        <v>0.171097012188306</v>
      </c>
    </row>
    <row r="214" customFormat="false" ht="15" hidden="false" customHeight="false" outlineLevel="0" collapsed="false">
      <c r="A214" s="7" t="s">
        <v>129</v>
      </c>
      <c r="B214" s="7" t="s">
        <v>2</v>
      </c>
      <c r="C214" s="7" t="s">
        <v>4</v>
      </c>
      <c r="D214" s="7" t="s">
        <v>61</v>
      </c>
      <c r="E214" s="22" t="n">
        <v>-1.24543506236534</v>
      </c>
      <c r="F214" s="22" t="n">
        <v>0.40589969266161</v>
      </c>
      <c r="G214" s="23" t="n">
        <v>19</v>
      </c>
      <c r="H214" s="24" t="n">
        <f aca="false">IF(AND(ISNUMBER(E214),F214&gt;0),E214/F214,"")</f>
        <v>-3.06833211476125</v>
      </c>
      <c r="I214" s="24" t="n">
        <f aca="false">IF(H214="","",TDIST(ABS(H214),G214-1,2))</f>
        <v>0.00662213677660681</v>
      </c>
    </row>
    <row r="215" customFormat="false" ht="15" hidden="false" customHeight="false" outlineLevel="0" collapsed="false">
      <c r="A215" s="7" t="s">
        <v>129</v>
      </c>
      <c r="B215" s="7" t="s">
        <v>2</v>
      </c>
      <c r="C215" s="7" t="s">
        <v>6</v>
      </c>
      <c r="D215" s="7" t="s">
        <v>61</v>
      </c>
      <c r="E215" s="22" t="n">
        <v>-1.18027259318575</v>
      </c>
      <c r="F215" s="22" t="n">
        <v>0.482043677331951</v>
      </c>
      <c r="G215" s="23" t="n">
        <v>19</v>
      </c>
      <c r="H215" s="24" t="n">
        <f aca="false">IF(AND(ISNUMBER(E215),F215&gt;0),E215/F215,"")</f>
        <v>-2.44847645283599</v>
      </c>
      <c r="I215" s="24" t="n">
        <f aca="false">IF(H215="","",TDIST(ABS(H215),G215-1,2))</f>
        <v>0.0248214571774019</v>
      </c>
    </row>
    <row r="216" customFormat="false" ht="15" hidden="false" customHeight="false" outlineLevel="0" collapsed="false">
      <c r="A216" s="7" t="s">
        <v>129</v>
      </c>
      <c r="B216" s="7" t="s">
        <v>3</v>
      </c>
      <c r="C216" s="7" t="s">
        <v>4</v>
      </c>
      <c r="D216" s="7" t="s">
        <v>61</v>
      </c>
      <c r="E216" s="22" t="n">
        <v>-0.555733556708416</v>
      </c>
      <c r="F216" s="22" t="n">
        <v>0.345744115826644</v>
      </c>
      <c r="G216" s="23" t="n">
        <v>19</v>
      </c>
      <c r="H216" s="24" t="n">
        <f aca="false">IF(AND(ISNUMBER(E216),F216&gt;0),E216/F216,"")</f>
        <v>-1.60735506772025</v>
      </c>
      <c r="I216" s="24" t="n">
        <f aca="false">IF(H216="","",TDIST(ABS(H216),G216-1,2))</f>
        <v>0.125375746239566</v>
      </c>
    </row>
    <row r="217" customFormat="false" ht="15" hidden="false" customHeight="false" outlineLevel="0" collapsed="false">
      <c r="A217" s="7" t="s">
        <v>129</v>
      </c>
      <c r="B217" s="7" t="s">
        <v>3</v>
      </c>
      <c r="C217" s="7" t="s">
        <v>6</v>
      </c>
      <c r="D217" s="7" t="s">
        <v>61</v>
      </c>
      <c r="E217" s="22" t="n">
        <v>-0.531696510591972</v>
      </c>
      <c r="F217" s="22" t="n">
        <v>0.42689524880855</v>
      </c>
      <c r="G217" s="23" t="n">
        <v>19</v>
      </c>
      <c r="H217" s="24" t="n">
        <f aca="false">IF(AND(ISNUMBER(E217),F217&gt;0),E217/F217,"")</f>
        <v>-1.24549643519322</v>
      </c>
      <c r="I217" s="24" t="n">
        <f aca="false">IF(H217="","",TDIST(ABS(H217),G217-1,2))</f>
        <v>0.228919154943463</v>
      </c>
    </row>
    <row r="218" customFormat="false" ht="15" hidden="false" customHeight="false" outlineLevel="0" collapsed="false">
      <c r="A218" s="7" t="s">
        <v>129</v>
      </c>
      <c r="B218" s="7" t="s">
        <v>2</v>
      </c>
      <c r="C218" s="7" t="s">
        <v>4</v>
      </c>
      <c r="D218" s="7" t="s">
        <v>62</v>
      </c>
      <c r="E218" s="22" t="n">
        <v>-1.25141458707709</v>
      </c>
      <c r="F218" s="22" t="n">
        <v>0.40034381003222</v>
      </c>
      <c r="G218" s="23" t="n">
        <v>19</v>
      </c>
      <c r="H218" s="24" t="n">
        <f aca="false">IF(AND(ISNUMBER(E218),F218&gt;0),E218/F218,"")</f>
        <v>-3.1258497214591</v>
      </c>
      <c r="I218" s="24" t="n">
        <f aca="false">IF(H218="","",TDIST(ABS(H218),G218-1,2))</f>
        <v>0.00583938419493523</v>
      </c>
    </row>
    <row r="219" customFormat="false" ht="15" hidden="false" customHeight="false" outlineLevel="0" collapsed="false">
      <c r="A219" s="7" t="s">
        <v>129</v>
      </c>
      <c r="B219" s="7" t="s">
        <v>2</v>
      </c>
      <c r="C219" s="7" t="s">
        <v>6</v>
      </c>
      <c r="D219" s="7" t="s">
        <v>62</v>
      </c>
      <c r="E219" s="22" t="n">
        <v>-1.3342198721886</v>
      </c>
      <c r="F219" s="22" t="n">
        <v>0.502901574859499</v>
      </c>
      <c r="G219" s="23" t="n">
        <v>19</v>
      </c>
      <c r="H219" s="24" t="n">
        <f aca="false">IF(AND(ISNUMBER(E219),F219&gt;0),E219/F219,"")</f>
        <v>-2.65304373437556</v>
      </c>
      <c r="I219" s="24" t="n">
        <f aca="false">IF(H219="","",TDIST(ABS(H219),G219-1,2))</f>
        <v>0.0161844254165991</v>
      </c>
    </row>
    <row r="220" customFormat="false" ht="15" hidden="false" customHeight="false" outlineLevel="0" collapsed="false">
      <c r="A220" s="7" t="s">
        <v>129</v>
      </c>
      <c r="B220" s="7" t="s">
        <v>3</v>
      </c>
      <c r="C220" s="7" t="s">
        <v>4</v>
      </c>
      <c r="D220" s="7" t="s">
        <v>62</v>
      </c>
      <c r="E220" s="22" t="n">
        <v>-0.442550871141827</v>
      </c>
      <c r="F220" s="22" t="n">
        <v>0.361456470834075</v>
      </c>
      <c r="G220" s="23" t="n">
        <v>19</v>
      </c>
      <c r="H220" s="24" t="n">
        <f aca="false">IF(AND(ISNUMBER(E220),F220&gt;0),E220/F220,"")</f>
        <v>-1.22435454017637</v>
      </c>
      <c r="I220" s="24" t="n">
        <f aca="false">IF(H220="","",TDIST(ABS(H220),G220-1,2))</f>
        <v>0.236602060156376</v>
      </c>
    </row>
    <row r="221" customFormat="false" ht="15" hidden="false" customHeight="false" outlineLevel="0" collapsed="false">
      <c r="A221" s="7" t="s">
        <v>129</v>
      </c>
      <c r="B221" s="7" t="s">
        <v>3</v>
      </c>
      <c r="C221" s="7" t="s">
        <v>6</v>
      </c>
      <c r="D221" s="7" t="s">
        <v>62</v>
      </c>
      <c r="E221" s="22" t="n">
        <v>-0.475047095693838</v>
      </c>
      <c r="F221" s="22" t="n">
        <v>0.447949824779748</v>
      </c>
      <c r="G221" s="23" t="n">
        <v>19</v>
      </c>
      <c r="H221" s="24" t="n">
        <f aca="false">IF(AND(ISNUMBER(E221),F221&gt;0),E221/F221,"")</f>
        <v>-1.06049175469019</v>
      </c>
      <c r="I221" s="24" t="n">
        <f aca="false">IF(H221="","",TDIST(ABS(H221),G221-1,2))</f>
        <v>0.302944181753321</v>
      </c>
    </row>
    <row r="222" customFormat="false" ht="15" hidden="false" customHeight="false" outlineLevel="0" collapsed="false">
      <c r="A222" s="7" t="s">
        <v>129</v>
      </c>
      <c r="B222" s="7" t="s">
        <v>2</v>
      </c>
      <c r="C222" s="7" t="s">
        <v>4</v>
      </c>
      <c r="D222" s="7" t="s">
        <v>63</v>
      </c>
      <c r="E222" s="22" t="n">
        <v>-0.499397954803455</v>
      </c>
      <c r="F222" s="22" t="n">
        <v>0.493822619576496</v>
      </c>
      <c r="G222" s="23" t="n">
        <v>19</v>
      </c>
      <c r="H222" s="24" t="n">
        <f aca="false">IF(AND(ISNUMBER(E222),F222&gt;0),E222/F222,"")</f>
        <v>-1.01129015765163</v>
      </c>
      <c r="I222" s="24" t="n">
        <f aca="false">IF(H222="","",TDIST(ABS(H222),G222-1,2))</f>
        <v>0.325279464631316</v>
      </c>
    </row>
    <row r="223" customFormat="false" ht="15" hidden="false" customHeight="false" outlineLevel="0" collapsed="false">
      <c r="A223" s="7" t="s">
        <v>129</v>
      </c>
      <c r="B223" s="7" t="s">
        <v>2</v>
      </c>
      <c r="C223" s="7" t="s">
        <v>6</v>
      </c>
      <c r="D223" s="7" t="s">
        <v>63</v>
      </c>
      <c r="E223" s="22" t="n">
        <v>-0.618384886630043</v>
      </c>
      <c r="F223" s="22" t="n">
        <v>0.536400345247676</v>
      </c>
      <c r="G223" s="23" t="n">
        <v>19</v>
      </c>
      <c r="H223" s="24" t="n">
        <f aca="false">IF(AND(ISNUMBER(E223),F223&gt;0),E223/F223,"")</f>
        <v>-1.15284207422445</v>
      </c>
      <c r="I223" s="24" t="n">
        <f aca="false">IF(H223="","",TDIST(ABS(H223),G223-1,2))</f>
        <v>0.264055652793494</v>
      </c>
    </row>
    <row r="224" customFormat="false" ht="15" hidden="false" customHeight="false" outlineLevel="0" collapsed="false">
      <c r="A224" s="7" t="s">
        <v>129</v>
      </c>
      <c r="B224" s="7" t="s">
        <v>3</v>
      </c>
      <c r="C224" s="7" t="s">
        <v>4</v>
      </c>
      <c r="D224" s="7" t="s">
        <v>63</v>
      </c>
      <c r="E224" s="22" t="n">
        <v>-0.209893798840471</v>
      </c>
      <c r="F224" s="22" t="n">
        <v>0.237239218529701</v>
      </c>
      <c r="G224" s="23" t="n">
        <v>19</v>
      </c>
      <c r="H224" s="24" t="n">
        <f aca="false">IF(AND(ISNUMBER(E224),F224&gt;0),E224/F224,"")</f>
        <v>-0.884734826481455</v>
      </c>
      <c r="I224" s="24" t="n">
        <f aca="false">IF(H224="","",TDIST(ABS(H224),G224-1,2))</f>
        <v>0.387965470722777</v>
      </c>
    </row>
    <row r="225" customFormat="false" ht="15" hidden="false" customHeight="false" outlineLevel="0" collapsed="false">
      <c r="A225" s="7" t="s">
        <v>129</v>
      </c>
      <c r="B225" s="7" t="s">
        <v>3</v>
      </c>
      <c r="C225" s="7" t="s">
        <v>6</v>
      </c>
      <c r="D225" s="7" t="s">
        <v>63</v>
      </c>
      <c r="E225" s="22" t="n">
        <v>-0.203118877731811</v>
      </c>
      <c r="F225" s="22" t="n">
        <v>0.316096743129541</v>
      </c>
      <c r="G225" s="23" t="n">
        <v>19</v>
      </c>
      <c r="H225" s="24" t="n">
        <f aca="false">IF(AND(ISNUMBER(E225),F225&gt;0),E225/F225,"")</f>
        <v>-0.642584531940495</v>
      </c>
      <c r="I225" s="24" t="n">
        <f aca="false">IF(H225="","",TDIST(ABS(H225),G225-1,2))</f>
        <v>0.528594465589479</v>
      </c>
    </row>
    <row r="226" customFormat="false" ht="15" hidden="false" customHeight="false" outlineLevel="0" collapsed="false">
      <c r="A226" s="7" t="s">
        <v>129</v>
      </c>
      <c r="B226" s="7" t="s">
        <v>2</v>
      </c>
      <c r="C226" s="7" t="s">
        <v>4</v>
      </c>
      <c r="D226" s="7" t="s">
        <v>64</v>
      </c>
      <c r="E226" s="22" t="n">
        <v>-0.36540820847534</v>
      </c>
      <c r="F226" s="22" t="n">
        <v>0.447073693707892</v>
      </c>
      <c r="G226" s="23" t="n">
        <v>19</v>
      </c>
      <c r="H226" s="24" t="n">
        <f aca="false">IF(AND(ISNUMBER(E226),F226&gt;0),E226/F226,"")</f>
        <v>-0.817333279989606</v>
      </c>
      <c r="I226" s="24" t="n">
        <f aca="false">IF(H226="","",TDIST(ABS(H226),G226-1,2))</f>
        <v>0.424424928760725</v>
      </c>
    </row>
    <row r="227" customFormat="false" ht="15" hidden="false" customHeight="false" outlineLevel="0" collapsed="false">
      <c r="A227" s="7" t="s">
        <v>129</v>
      </c>
      <c r="B227" s="7" t="s">
        <v>2</v>
      </c>
      <c r="C227" s="7" t="s">
        <v>6</v>
      </c>
      <c r="D227" s="7" t="s">
        <v>64</v>
      </c>
      <c r="E227" s="22" t="n">
        <v>-0.589270184821939</v>
      </c>
      <c r="F227" s="22" t="n">
        <v>0.484146935169299</v>
      </c>
      <c r="G227" s="23" t="n">
        <v>19</v>
      </c>
      <c r="H227" s="24" t="n">
        <f aca="false">IF(AND(ISNUMBER(E227),F227&gt;0),E227/F227,"")</f>
        <v>-1.2171308791119</v>
      </c>
      <c r="I227" s="24" t="n">
        <f aca="false">IF(H227="","",TDIST(ABS(H227),G227-1,2))</f>
        <v>0.239271993941638</v>
      </c>
    </row>
    <row r="228" customFormat="false" ht="15" hidden="false" customHeight="false" outlineLevel="0" collapsed="false">
      <c r="A228" s="7" t="s">
        <v>129</v>
      </c>
      <c r="B228" s="7" t="s">
        <v>3</v>
      </c>
      <c r="C228" s="7" t="s">
        <v>4</v>
      </c>
      <c r="D228" s="7" t="s">
        <v>64</v>
      </c>
      <c r="E228" s="22" t="n">
        <v>-0.0262247903307525</v>
      </c>
      <c r="F228" s="22" t="n">
        <v>0.202116128079643</v>
      </c>
      <c r="G228" s="23" t="n">
        <v>19</v>
      </c>
      <c r="H228" s="24" t="n">
        <f aca="false">IF(AND(ISNUMBER(E228),F228&gt;0),E228/F228,"")</f>
        <v>-0.129751101903252</v>
      </c>
      <c r="I228" s="24" t="n">
        <f aca="false">IF(H228="","",TDIST(ABS(H228),G228-1,2))</f>
        <v>0.898202305987643</v>
      </c>
    </row>
    <row r="229" customFormat="false" ht="15" hidden="false" customHeight="false" outlineLevel="0" collapsed="false">
      <c r="A229" s="7" t="s">
        <v>129</v>
      </c>
      <c r="B229" s="7" t="s">
        <v>3</v>
      </c>
      <c r="C229" s="7" t="s">
        <v>6</v>
      </c>
      <c r="D229" s="7" t="s">
        <v>64</v>
      </c>
      <c r="E229" s="22" t="n">
        <v>-0.0625847516038194</v>
      </c>
      <c r="F229" s="22" t="n">
        <v>0.214708299282964</v>
      </c>
      <c r="G229" s="23" t="n">
        <v>19</v>
      </c>
      <c r="H229" s="24" t="n">
        <f aca="false">IF(AND(ISNUMBER(E229),F229&gt;0),E229/F229,"")</f>
        <v>-0.291487342654319</v>
      </c>
      <c r="I229" s="24" t="n">
        <f aca="false">IF(H229="","",TDIST(ABS(H229),G229-1,2))</f>
        <v>0.774011115657219</v>
      </c>
    </row>
    <row r="230" customFormat="false" ht="15" hidden="false" customHeight="false" outlineLevel="0" collapsed="false">
      <c r="A230" s="7" t="s">
        <v>129</v>
      </c>
      <c r="B230" s="7" t="s">
        <v>2</v>
      </c>
      <c r="C230" s="7" t="s">
        <v>4</v>
      </c>
      <c r="D230" s="7" t="s">
        <v>65</v>
      </c>
      <c r="E230" s="22" t="n">
        <v>0.171858181120209</v>
      </c>
      <c r="F230" s="22" t="n">
        <v>0.470264297225478</v>
      </c>
      <c r="G230" s="23" t="n">
        <v>19</v>
      </c>
      <c r="H230" s="24" t="n">
        <f aca="false">IF(AND(ISNUMBER(E230),F230&gt;0),E230/F230,"")</f>
        <v>0.365450199247867</v>
      </c>
      <c r="I230" s="24" t="n">
        <f aca="false">IF(H230="","",TDIST(ABS(H230),G230-1,2))</f>
        <v>0.719034506699968</v>
      </c>
    </row>
    <row r="231" customFormat="false" ht="15" hidden="false" customHeight="false" outlineLevel="0" collapsed="false">
      <c r="A231" s="7" t="s">
        <v>129</v>
      </c>
      <c r="B231" s="7" t="s">
        <v>2</v>
      </c>
      <c r="C231" s="7" t="s">
        <v>6</v>
      </c>
      <c r="D231" s="7" t="s">
        <v>65</v>
      </c>
      <c r="E231" s="22" t="n">
        <v>-0.100185821690238</v>
      </c>
      <c r="F231" s="22" t="n">
        <v>0.505067803023274</v>
      </c>
      <c r="G231" s="23" t="n">
        <v>19</v>
      </c>
      <c r="H231" s="24" t="n">
        <f aca="false">IF(AND(ISNUMBER(E231),F231&gt;0),E231/F231,"")</f>
        <v>-0.198361133080623</v>
      </c>
      <c r="I231" s="24" t="n">
        <f aca="false">IF(H231="","",TDIST(ABS(H231),G231-1,2))</f>
        <v>0.844985663061338</v>
      </c>
    </row>
    <row r="232" customFormat="false" ht="15" hidden="false" customHeight="false" outlineLevel="0" collapsed="false">
      <c r="A232" s="7" t="s">
        <v>129</v>
      </c>
      <c r="B232" s="7" t="s">
        <v>3</v>
      </c>
      <c r="C232" s="7" t="s">
        <v>4</v>
      </c>
      <c r="D232" s="7" t="s">
        <v>65</v>
      </c>
      <c r="E232" s="22" t="n">
        <v>0.148235342861515</v>
      </c>
      <c r="F232" s="22" t="n">
        <v>0.241439448000347</v>
      </c>
      <c r="G232" s="23" t="n">
        <v>19</v>
      </c>
      <c r="H232" s="24" t="n">
        <f aca="false">IF(AND(ISNUMBER(E232),F232&gt;0),E232/F232,"")</f>
        <v>0.613964884732929</v>
      </c>
      <c r="I232" s="24" t="n">
        <f aca="false">IF(H232="","",TDIST(ABS(H232),G232-1,2))</f>
        <v>0.546920507764563</v>
      </c>
    </row>
    <row r="233" customFormat="false" ht="15" hidden="false" customHeight="false" outlineLevel="0" collapsed="false">
      <c r="A233" s="7" t="s">
        <v>129</v>
      </c>
      <c r="B233" s="7" t="s">
        <v>3</v>
      </c>
      <c r="C233" s="7" t="s">
        <v>6</v>
      </c>
      <c r="D233" s="7" t="s">
        <v>65</v>
      </c>
      <c r="E233" s="22" t="n">
        <v>0.0323815481232768</v>
      </c>
      <c r="F233" s="22" t="n">
        <v>0.284242486235768</v>
      </c>
      <c r="G233" s="23" t="n">
        <v>19</v>
      </c>
      <c r="H233" s="24" t="n">
        <f aca="false">IF(AND(ISNUMBER(E233),F233&gt;0),E233/F233,"")</f>
        <v>0.113922265992346</v>
      </c>
      <c r="I233" s="24" t="n">
        <f aca="false">IF(H233="","",TDIST(ABS(H233),G233-1,2))</f>
        <v>0.910560485995842</v>
      </c>
    </row>
    <row r="234" customFormat="false" ht="15" hidden="false" customHeight="false" outlineLevel="0" collapsed="false">
      <c r="A234" s="7" t="s">
        <v>129</v>
      </c>
      <c r="B234" s="7" t="s">
        <v>2</v>
      </c>
      <c r="C234" s="7" t="s">
        <v>4</v>
      </c>
      <c r="D234" s="7" t="s">
        <v>66</v>
      </c>
      <c r="E234" s="22" t="n">
        <v>0.78991468221668</v>
      </c>
      <c r="F234" s="22" t="n">
        <v>0.376364689247223</v>
      </c>
      <c r="G234" s="23" t="n">
        <v>19</v>
      </c>
      <c r="H234" s="24" t="n">
        <f aca="false">IF(AND(ISNUMBER(E234),F234&gt;0),E234/F234,"")</f>
        <v>2.09880125523095</v>
      </c>
      <c r="I234" s="24" t="n">
        <f aca="false">IF(H234="","",TDIST(ABS(H234),G234-1,2))</f>
        <v>0.0502081643167455</v>
      </c>
    </row>
    <row r="235" customFormat="false" ht="15" hidden="false" customHeight="false" outlineLevel="0" collapsed="false">
      <c r="A235" s="7" t="s">
        <v>129</v>
      </c>
      <c r="B235" s="7" t="s">
        <v>2</v>
      </c>
      <c r="C235" s="7" t="s">
        <v>6</v>
      </c>
      <c r="D235" s="7" t="s">
        <v>66</v>
      </c>
      <c r="E235" s="22" t="n">
        <v>0.668599560948321</v>
      </c>
      <c r="F235" s="22" t="n">
        <v>0.484692397285597</v>
      </c>
      <c r="G235" s="23" t="n">
        <v>19</v>
      </c>
      <c r="H235" s="24" t="n">
        <f aca="false">IF(AND(ISNUMBER(E235),F235&gt;0),E235/F235,"")</f>
        <v>1.37943067539877</v>
      </c>
      <c r="I235" s="24" t="n">
        <f aca="false">IF(H235="","",TDIST(ABS(H235),G235-1,2))</f>
        <v>0.184660238101604</v>
      </c>
    </row>
    <row r="236" customFormat="false" ht="15" hidden="false" customHeight="false" outlineLevel="0" collapsed="false">
      <c r="A236" s="7" t="s">
        <v>129</v>
      </c>
      <c r="B236" s="7" t="s">
        <v>3</v>
      </c>
      <c r="C236" s="7" t="s">
        <v>4</v>
      </c>
      <c r="D236" s="7" t="s">
        <v>66</v>
      </c>
      <c r="E236" s="22" t="n">
        <v>0.474078080438226</v>
      </c>
      <c r="F236" s="22" t="n">
        <v>0.107811601143353</v>
      </c>
      <c r="G236" s="23" t="n">
        <v>19</v>
      </c>
      <c r="H236" s="24" t="n">
        <f aca="false">IF(AND(ISNUMBER(E236),F236&gt;0),E236/F236,"")</f>
        <v>4.39728262460238</v>
      </c>
      <c r="I236" s="24" t="n">
        <f aca="false">IF(H236="","",TDIST(ABS(H236),G236-1,2))</f>
        <v>0.000347546311860614</v>
      </c>
    </row>
    <row r="237" customFormat="false" ht="15" hidden="false" customHeight="false" outlineLevel="0" collapsed="false">
      <c r="A237" s="7" t="s">
        <v>129</v>
      </c>
      <c r="B237" s="7" t="s">
        <v>3</v>
      </c>
      <c r="C237" s="7" t="s">
        <v>6</v>
      </c>
      <c r="D237" s="7" t="s">
        <v>66</v>
      </c>
      <c r="E237" s="22" t="n">
        <v>0.418625139088045</v>
      </c>
      <c r="F237" s="22" t="n">
        <v>0.239605709466308</v>
      </c>
      <c r="G237" s="23" t="n">
        <v>19</v>
      </c>
      <c r="H237" s="24" t="n">
        <f aca="false">IF(AND(ISNUMBER(E237),F237&gt;0),E237/F237,"")</f>
        <v>1.74714175225825</v>
      </c>
      <c r="I237" s="24" t="n">
        <f aca="false">IF(H237="","",TDIST(ABS(H237),G237-1,2))</f>
        <v>0.0976523241304453</v>
      </c>
    </row>
    <row r="238" customFormat="false" ht="15" hidden="false" customHeight="false" outlineLevel="0" collapsed="false">
      <c r="A238" s="7" t="s">
        <v>129</v>
      </c>
      <c r="B238" s="7" t="s">
        <v>2</v>
      </c>
      <c r="C238" s="7" t="s">
        <v>4</v>
      </c>
      <c r="D238" s="7" t="s">
        <v>67</v>
      </c>
      <c r="E238" s="22" t="n">
        <v>1.00856672569899</v>
      </c>
      <c r="F238" s="22" t="n">
        <v>0.370697647276076</v>
      </c>
      <c r="G238" s="23" t="n">
        <v>19</v>
      </c>
      <c r="H238" s="24" t="n">
        <f aca="false">IF(AND(ISNUMBER(E238),F238&gt;0),E238/F238,"")</f>
        <v>2.72072599626688</v>
      </c>
      <c r="I238" s="24" t="n">
        <f aca="false">IF(H238="","",TDIST(ABS(H238),G238-1,2))</f>
        <v>0.0140201334277178</v>
      </c>
    </row>
    <row r="239" customFormat="false" ht="15" hidden="false" customHeight="false" outlineLevel="0" collapsed="false">
      <c r="A239" s="7" t="s">
        <v>129</v>
      </c>
      <c r="B239" s="7" t="s">
        <v>2</v>
      </c>
      <c r="C239" s="7" t="s">
        <v>6</v>
      </c>
      <c r="D239" s="7" t="s">
        <v>67</v>
      </c>
      <c r="E239" s="22" t="n">
        <v>0.907906620828129</v>
      </c>
      <c r="F239" s="22" t="n">
        <v>0.445956304845856</v>
      </c>
      <c r="G239" s="23" t="n">
        <v>19</v>
      </c>
      <c r="H239" s="24" t="n">
        <f aca="false">IF(AND(ISNUMBER(E239),F239&gt;0),E239/F239,"")</f>
        <v>2.03586452520712</v>
      </c>
      <c r="I239" s="24" t="n">
        <f aca="false">IF(H239="","",TDIST(ABS(H239),G239-1,2))</f>
        <v>0.0567549985827337</v>
      </c>
    </row>
    <row r="240" customFormat="false" ht="15" hidden="false" customHeight="false" outlineLevel="0" collapsed="false">
      <c r="A240" s="7" t="s">
        <v>129</v>
      </c>
      <c r="B240" s="7" t="s">
        <v>3</v>
      </c>
      <c r="C240" s="7" t="s">
        <v>4</v>
      </c>
      <c r="D240" s="7" t="s">
        <v>67</v>
      </c>
      <c r="E240" s="22" t="n">
        <v>0.42453131520285</v>
      </c>
      <c r="F240" s="22" t="n">
        <v>0.158013648191754</v>
      </c>
      <c r="G240" s="23" t="n">
        <v>19</v>
      </c>
      <c r="H240" s="24" t="n">
        <f aca="false">IF(AND(ISNUMBER(E240),F240&gt;0),E240/F240,"")</f>
        <v>2.68667498068059</v>
      </c>
      <c r="I240" s="24" t="n">
        <f aca="false">IF(H240="","",TDIST(ABS(H240),G240-1,2))</f>
        <v>0.0150719382223053</v>
      </c>
    </row>
    <row r="241" customFormat="false" ht="15" hidden="false" customHeight="false" outlineLevel="0" collapsed="false">
      <c r="A241" s="7" t="s">
        <v>129</v>
      </c>
      <c r="B241" s="7" t="s">
        <v>3</v>
      </c>
      <c r="C241" s="7" t="s">
        <v>6</v>
      </c>
      <c r="D241" s="7" t="s">
        <v>67</v>
      </c>
      <c r="E241" s="22" t="n">
        <v>0.314914004125177</v>
      </c>
      <c r="F241" s="22" t="n">
        <v>0.30824606853797</v>
      </c>
      <c r="G241" s="23" t="n">
        <v>19</v>
      </c>
      <c r="H241" s="24" t="n">
        <f aca="false">IF(AND(ISNUMBER(E241),F241&gt;0),E241/F241,"")</f>
        <v>1.02163185930913</v>
      </c>
      <c r="I241" s="24" t="n">
        <f aca="false">IF(H241="","",TDIST(ABS(H241),G241-1,2))</f>
        <v>0.320490609778521</v>
      </c>
    </row>
    <row r="242" customFormat="false" ht="15" hidden="false" customHeight="false" outlineLevel="0" collapsed="false">
      <c r="A242" s="7" t="s">
        <v>129</v>
      </c>
      <c r="B242" s="7" t="s">
        <v>2</v>
      </c>
      <c r="C242" s="7" t="s">
        <v>4</v>
      </c>
      <c r="D242" s="7" t="s">
        <v>68</v>
      </c>
      <c r="E242" s="22" t="n">
        <v>0.532674113907905</v>
      </c>
      <c r="F242" s="22" t="n">
        <v>0.292625592027706</v>
      </c>
      <c r="G242" s="23" t="n">
        <v>19</v>
      </c>
      <c r="H242" s="24" t="n">
        <f aca="false">IF(AND(ISNUMBER(E242),F242&gt;0),E242/F242,"")</f>
        <v>1.82032648004851</v>
      </c>
      <c r="I242" s="24" t="n">
        <f aca="false">IF(H242="","",TDIST(ABS(H242),G242-1,2))</f>
        <v>0.0853785362149627</v>
      </c>
    </row>
    <row r="243" customFormat="false" ht="15" hidden="false" customHeight="false" outlineLevel="0" collapsed="false">
      <c r="A243" s="7" t="s">
        <v>129</v>
      </c>
      <c r="B243" s="7" t="s">
        <v>2</v>
      </c>
      <c r="C243" s="7" t="s">
        <v>6</v>
      </c>
      <c r="D243" s="7" t="s">
        <v>68</v>
      </c>
      <c r="E243" s="22" t="n">
        <v>0.367922394874969</v>
      </c>
      <c r="F243" s="22" t="n">
        <v>0.343889992855927</v>
      </c>
      <c r="G243" s="23" t="n">
        <v>19</v>
      </c>
      <c r="H243" s="24" t="n">
        <f aca="false">IF(AND(ISNUMBER(E243),F243&gt;0),E243/F243,"")</f>
        <v>1.06988398184971</v>
      </c>
      <c r="I243" s="24" t="n">
        <f aca="false">IF(H243="","",TDIST(ABS(H243),G243-1,2))</f>
        <v>0.29880914434972</v>
      </c>
    </row>
    <row r="244" customFormat="false" ht="15" hidden="false" customHeight="false" outlineLevel="0" collapsed="false">
      <c r="A244" s="7" t="s">
        <v>129</v>
      </c>
      <c r="B244" s="7" t="s">
        <v>3</v>
      </c>
      <c r="C244" s="7" t="s">
        <v>4</v>
      </c>
      <c r="D244" s="7" t="s">
        <v>68</v>
      </c>
      <c r="E244" s="22" t="n">
        <v>0.352958459463356</v>
      </c>
      <c r="F244" s="22" t="n">
        <v>0.220099662010529</v>
      </c>
      <c r="G244" s="23" t="n">
        <v>19</v>
      </c>
      <c r="H244" s="24" t="n">
        <f aca="false">IF(AND(ISNUMBER(E244),F244&gt;0),E244/F244,"")</f>
        <v>1.60363017479996</v>
      </c>
      <c r="I244" s="24" t="n">
        <f aca="false">IF(H244="","",TDIST(ABS(H244),G244-1,2))</f>
        <v>0.126197729722944</v>
      </c>
    </row>
    <row r="245" customFormat="false" ht="15" hidden="false" customHeight="false" outlineLevel="0" collapsed="false">
      <c r="A245" s="7" t="s">
        <v>129</v>
      </c>
      <c r="B245" s="7" t="s">
        <v>3</v>
      </c>
      <c r="C245" s="7" t="s">
        <v>6</v>
      </c>
      <c r="D245" s="7" t="s">
        <v>68</v>
      </c>
      <c r="E245" s="22" t="n">
        <v>0.226341203052836</v>
      </c>
      <c r="F245" s="22" t="n">
        <v>0.245123058851837</v>
      </c>
      <c r="G245" s="23" t="n">
        <v>19</v>
      </c>
      <c r="H245" s="24" t="n">
        <f aca="false">IF(AND(ISNUMBER(E245),F245&gt;0),E245/F245,"")</f>
        <v>0.923377849938004</v>
      </c>
      <c r="I245" s="24" t="n">
        <f aca="false">IF(H245="","",TDIST(ABS(H245),G245-1,2))</f>
        <v>0.368023391691567</v>
      </c>
    </row>
    <row r="246" customFormat="false" ht="15" hidden="false" customHeight="false" outlineLevel="0" collapsed="false">
      <c r="A246" s="7" t="s">
        <v>129</v>
      </c>
      <c r="B246" s="7" t="s">
        <v>2</v>
      </c>
      <c r="C246" s="7" t="s">
        <v>4</v>
      </c>
      <c r="D246" s="7" t="s">
        <v>69</v>
      </c>
      <c r="E246" s="22" t="n">
        <v>0.475258692274996</v>
      </c>
      <c r="F246" s="22" t="n">
        <v>0.251281139581495</v>
      </c>
      <c r="G246" s="23" t="n">
        <v>19</v>
      </c>
      <c r="H246" s="24" t="n">
        <f aca="false">IF(AND(ISNUMBER(E246),F246&gt;0),E246/F246,"")</f>
        <v>1.89134247427615</v>
      </c>
      <c r="I246" s="24" t="n">
        <f aca="false">IF(H246="","",TDIST(ABS(H246),G246-1,2))</f>
        <v>0.0747830822075983</v>
      </c>
    </row>
    <row r="247" customFormat="false" ht="15" hidden="false" customHeight="false" outlineLevel="0" collapsed="false">
      <c r="A247" s="7" t="s">
        <v>129</v>
      </c>
      <c r="B247" s="7" t="s">
        <v>2</v>
      </c>
      <c r="C247" s="7" t="s">
        <v>6</v>
      </c>
      <c r="D247" s="7" t="s">
        <v>69</v>
      </c>
      <c r="E247" s="22" t="n">
        <v>0.374371314224649</v>
      </c>
      <c r="F247" s="22" t="n">
        <v>0.279898144660466</v>
      </c>
      <c r="G247" s="23" t="n">
        <v>19</v>
      </c>
      <c r="H247" s="24" t="n">
        <f aca="false">IF(AND(ISNUMBER(E247),F247&gt;0),E247/F247,"")</f>
        <v>1.33752695888279</v>
      </c>
      <c r="I247" s="24" t="n">
        <f aca="false">IF(H247="","",TDIST(ABS(H247),G247-1,2))</f>
        <v>0.197706903288561</v>
      </c>
    </row>
    <row r="248" customFormat="false" ht="15" hidden="false" customHeight="false" outlineLevel="0" collapsed="false">
      <c r="A248" s="7" t="s">
        <v>129</v>
      </c>
      <c r="B248" s="7" t="s">
        <v>3</v>
      </c>
      <c r="C248" s="7" t="s">
        <v>4</v>
      </c>
      <c r="D248" s="7" t="s">
        <v>69</v>
      </c>
      <c r="E248" s="22" t="n">
        <v>0.158540079070809</v>
      </c>
      <c r="F248" s="22" t="n">
        <v>0.208636445683973</v>
      </c>
      <c r="G248" s="23" t="n">
        <v>19</v>
      </c>
      <c r="H248" s="24" t="n">
        <f aca="false">IF(AND(ISNUMBER(E248),F248&gt;0),E248/F248,"")</f>
        <v>0.759886790397845</v>
      </c>
      <c r="I248" s="24" t="n">
        <f aca="false">IF(H248="","",TDIST(ABS(H248),G248-1,2))</f>
        <v>0.45716021847204</v>
      </c>
    </row>
    <row r="249" customFormat="false" ht="15" hidden="false" customHeight="false" outlineLevel="0" collapsed="false">
      <c r="A249" s="7" t="s">
        <v>129</v>
      </c>
      <c r="B249" s="7" t="s">
        <v>3</v>
      </c>
      <c r="C249" s="7" t="s">
        <v>6</v>
      </c>
      <c r="D249" s="7" t="s">
        <v>69</v>
      </c>
      <c r="E249" s="22" t="n">
        <v>0.101558346361591</v>
      </c>
      <c r="F249" s="22" t="n">
        <v>0.174355590715858</v>
      </c>
      <c r="G249" s="23" t="n">
        <v>19</v>
      </c>
      <c r="H249" s="24" t="n">
        <f aca="false">IF(AND(ISNUMBER(E249),F249&gt;0),E249/F249,"")</f>
        <v>0.582478290169072</v>
      </c>
      <c r="I249" s="24" t="n">
        <f aca="false">IF(H249="","",TDIST(ABS(H249),G249-1,2))</f>
        <v>0.567470102556104</v>
      </c>
    </row>
    <row r="250" customFormat="false" ht="15" hidden="false" customHeight="false" outlineLevel="0" collapsed="false">
      <c r="A250" s="7" t="s">
        <v>129</v>
      </c>
      <c r="B250" s="7" t="s">
        <v>2</v>
      </c>
      <c r="C250" s="7" t="s">
        <v>4</v>
      </c>
      <c r="D250" s="7" t="s">
        <v>70</v>
      </c>
      <c r="E250" s="22" t="n">
        <v>0.220763953526266</v>
      </c>
      <c r="F250" s="22" t="n">
        <v>0.314643007668804</v>
      </c>
      <c r="G250" s="23" t="n">
        <v>19</v>
      </c>
      <c r="H250" s="24" t="n">
        <f aca="false">IF(AND(ISNUMBER(E250),F250&gt;0),E250/F250,"")</f>
        <v>0.701633114817679</v>
      </c>
      <c r="I250" s="24" t="n">
        <f aca="false">IF(H250="","",TDIST(ABS(H250),G250-1,2))</f>
        <v>0.491880984213985</v>
      </c>
    </row>
    <row r="251" customFormat="false" ht="15" hidden="false" customHeight="false" outlineLevel="0" collapsed="false">
      <c r="A251" s="7" t="s">
        <v>129</v>
      </c>
      <c r="B251" s="7" t="s">
        <v>2</v>
      </c>
      <c r="C251" s="7" t="s">
        <v>6</v>
      </c>
      <c r="D251" s="7" t="s">
        <v>70</v>
      </c>
      <c r="E251" s="22" t="n">
        <v>0.292721427539407</v>
      </c>
      <c r="F251" s="22" t="n">
        <v>0.299111613543244</v>
      </c>
      <c r="G251" s="23" t="n">
        <v>19</v>
      </c>
      <c r="H251" s="24" t="n">
        <f aca="false">IF(AND(ISNUMBER(E251),F251&gt;0),E251/F251,"")</f>
        <v>0.978636115367974</v>
      </c>
      <c r="I251" s="24" t="n">
        <f aca="false">IF(H251="","",TDIST(ABS(H251),G251-1,2))</f>
        <v>0.340730664261042</v>
      </c>
    </row>
    <row r="252" customFormat="false" ht="15" hidden="false" customHeight="false" outlineLevel="0" collapsed="false">
      <c r="A252" s="7" t="s">
        <v>129</v>
      </c>
      <c r="B252" s="7" t="s">
        <v>3</v>
      </c>
      <c r="C252" s="7" t="s">
        <v>4</v>
      </c>
      <c r="D252" s="7" t="s">
        <v>70</v>
      </c>
      <c r="E252" s="22" t="n">
        <v>0.0453135275073387</v>
      </c>
      <c r="F252" s="22" t="n">
        <v>0.184009875637257</v>
      </c>
      <c r="G252" s="23" t="n">
        <v>19</v>
      </c>
      <c r="H252" s="24" t="n">
        <f aca="false">IF(AND(ISNUMBER(E252),F252&gt;0),E252/F252,"")</f>
        <v>0.246255954200341</v>
      </c>
      <c r="I252" s="24" t="n">
        <f aca="false">IF(H252="","",TDIST(ABS(H252),G252-1,2))</f>
        <v>0.808270426922153</v>
      </c>
    </row>
    <row r="253" customFormat="false" ht="15" hidden="false" customHeight="false" outlineLevel="0" collapsed="false">
      <c r="A253" s="7" t="s">
        <v>129</v>
      </c>
      <c r="B253" s="7" t="s">
        <v>3</v>
      </c>
      <c r="C253" s="7" t="s">
        <v>6</v>
      </c>
      <c r="D253" s="7" t="s">
        <v>70</v>
      </c>
      <c r="E253" s="22" t="n">
        <v>0.183320790666798</v>
      </c>
      <c r="F253" s="22" t="n">
        <v>0.176047311240492</v>
      </c>
      <c r="G253" s="23" t="n">
        <v>19</v>
      </c>
      <c r="H253" s="24" t="n">
        <f aca="false">IF(AND(ISNUMBER(E253),F253&gt;0),E253/F253,"")</f>
        <v>1.04131548147515</v>
      </c>
      <c r="I253" s="24" t="n">
        <f aca="false">IF(H253="","",TDIST(ABS(H253),G253-1,2))</f>
        <v>0.311514535060388</v>
      </c>
    </row>
    <row r="254" customFormat="false" ht="15" hidden="false" customHeight="false" outlineLevel="0" collapsed="false">
      <c r="A254" s="7" t="s">
        <v>129</v>
      </c>
      <c r="B254" s="7" t="s">
        <v>2</v>
      </c>
      <c r="C254" s="7" t="s">
        <v>4</v>
      </c>
      <c r="D254" s="7" t="s">
        <v>71</v>
      </c>
      <c r="E254" s="22" t="n">
        <v>0.237345823912719</v>
      </c>
      <c r="F254" s="22" t="n">
        <v>0.34062044215832</v>
      </c>
      <c r="G254" s="23" t="n">
        <v>19</v>
      </c>
      <c r="H254" s="24" t="n">
        <f aca="false">IF(AND(ISNUMBER(E254),F254&gt;0),E254/F254,"")</f>
        <v>0.696804403190814</v>
      </c>
      <c r="I254" s="24" t="n">
        <f aca="false">IF(H254="","",TDIST(ABS(H254),G254-1,2))</f>
        <v>0.49482658867323</v>
      </c>
    </row>
    <row r="255" customFormat="false" ht="15" hidden="false" customHeight="false" outlineLevel="0" collapsed="false">
      <c r="A255" s="7" t="s">
        <v>129</v>
      </c>
      <c r="B255" s="7" t="s">
        <v>2</v>
      </c>
      <c r="C255" s="7" t="s">
        <v>6</v>
      </c>
      <c r="D255" s="7" t="s">
        <v>71</v>
      </c>
      <c r="E255" s="22" t="n">
        <v>0.292844235333822</v>
      </c>
      <c r="F255" s="22" t="n">
        <v>0.31893832795537</v>
      </c>
      <c r="G255" s="23" t="n">
        <v>19</v>
      </c>
      <c r="H255" s="24" t="n">
        <f aca="false">IF(AND(ISNUMBER(E255),F255&gt;0),E255/F255,"")</f>
        <v>0.918184519280482</v>
      </c>
      <c r="I255" s="24" t="n">
        <f aca="false">IF(H255="","",TDIST(ABS(H255),G255-1,2))</f>
        <v>0.370662525441473</v>
      </c>
    </row>
    <row r="256" customFormat="false" ht="15" hidden="false" customHeight="false" outlineLevel="0" collapsed="false">
      <c r="A256" s="7" t="s">
        <v>129</v>
      </c>
      <c r="B256" s="7" t="s">
        <v>3</v>
      </c>
      <c r="C256" s="7" t="s">
        <v>4</v>
      </c>
      <c r="D256" s="7" t="s">
        <v>71</v>
      </c>
      <c r="E256" s="22" t="n">
        <v>0.0335818244711367</v>
      </c>
      <c r="F256" s="22" t="n">
        <v>0.177804202757945</v>
      </c>
      <c r="G256" s="23" t="n">
        <v>19</v>
      </c>
      <c r="H256" s="24" t="n">
        <f aca="false">IF(AND(ISNUMBER(E256),F256&gt;0),E256/F256,"")</f>
        <v>0.188869688962603</v>
      </c>
      <c r="I256" s="24" t="n">
        <f aca="false">IF(H256="","",TDIST(ABS(H256),G256-1,2))</f>
        <v>0.85230814750435</v>
      </c>
    </row>
    <row r="257" customFormat="false" ht="15" hidden="false" customHeight="false" outlineLevel="0" collapsed="false">
      <c r="A257" s="7" t="s">
        <v>129</v>
      </c>
      <c r="B257" s="7" t="s">
        <v>3</v>
      </c>
      <c r="C257" s="7" t="s">
        <v>6</v>
      </c>
      <c r="D257" s="7" t="s">
        <v>71</v>
      </c>
      <c r="E257" s="22" t="n">
        <v>0.171391126075246</v>
      </c>
      <c r="F257" s="22" t="n">
        <v>0.2132828464035</v>
      </c>
      <c r="G257" s="23" t="n">
        <v>19</v>
      </c>
      <c r="H257" s="24" t="n">
        <f aca="false">IF(AND(ISNUMBER(E257),F257&gt;0),E257/F257,"")</f>
        <v>0.803586078136815</v>
      </c>
      <c r="I257" s="24" t="n">
        <f aca="false">IF(H257="","",TDIST(ABS(H257),G257-1,2))</f>
        <v>0.432120672124827</v>
      </c>
    </row>
    <row r="258" customFormat="false" ht="15" hidden="false" customHeight="false" outlineLevel="0" collapsed="false">
      <c r="A258" s="7" t="s">
        <v>129</v>
      </c>
      <c r="B258" s="7" t="s">
        <v>2</v>
      </c>
      <c r="C258" s="7" t="s">
        <v>4</v>
      </c>
      <c r="D258" s="7" t="s">
        <v>72</v>
      </c>
      <c r="E258" s="22" t="n">
        <v>0.056677953152514</v>
      </c>
      <c r="F258" s="22" t="n">
        <v>0.269694777610919</v>
      </c>
      <c r="G258" s="23" t="n">
        <v>19</v>
      </c>
      <c r="H258" s="24" t="n">
        <f aca="false">IF(AND(ISNUMBER(E258),F258&gt;0),E258/F258,"")</f>
        <v>0.210155916457091</v>
      </c>
      <c r="I258" s="24" t="n">
        <f aca="false">IF(H258="","",TDIST(ABS(H258),G258-1,2))</f>
        <v>0.835906480235023</v>
      </c>
    </row>
    <row r="259" customFormat="false" ht="15" hidden="false" customHeight="false" outlineLevel="0" collapsed="false">
      <c r="A259" s="7" t="s">
        <v>129</v>
      </c>
      <c r="B259" s="7" t="s">
        <v>2</v>
      </c>
      <c r="C259" s="7" t="s">
        <v>6</v>
      </c>
      <c r="D259" s="7" t="s">
        <v>72</v>
      </c>
      <c r="E259" s="22" t="n">
        <v>0.0628953064069249</v>
      </c>
      <c r="F259" s="22" t="n">
        <v>0.292854538728515</v>
      </c>
      <c r="G259" s="23" t="n">
        <v>19</v>
      </c>
      <c r="H259" s="24" t="n">
        <f aca="false">IF(AND(ISNUMBER(E259),F259&gt;0),E259/F259,"")</f>
        <v>0.214766370635733</v>
      </c>
      <c r="I259" s="24" t="n">
        <f aca="false">IF(H259="","",TDIST(ABS(H259),G259-1,2))</f>
        <v>0.832363889032092</v>
      </c>
    </row>
    <row r="260" customFormat="false" ht="15" hidden="false" customHeight="false" outlineLevel="0" collapsed="false">
      <c r="A260" s="7" t="s">
        <v>129</v>
      </c>
      <c r="B260" s="7" t="s">
        <v>3</v>
      </c>
      <c r="C260" s="7" t="s">
        <v>4</v>
      </c>
      <c r="D260" s="7" t="s">
        <v>72</v>
      </c>
      <c r="E260" s="22" t="n">
        <v>0.0891739288380671</v>
      </c>
      <c r="F260" s="22" t="n">
        <v>0.228113229853011</v>
      </c>
      <c r="G260" s="23" t="n">
        <v>19</v>
      </c>
      <c r="H260" s="24" t="n">
        <f aca="false">IF(AND(ISNUMBER(E260),F260&gt;0),E260/F260,"")</f>
        <v>0.390919583645052</v>
      </c>
      <c r="I260" s="24" t="n">
        <f aca="false">IF(H260="","",TDIST(ABS(H260),G260-1,2))</f>
        <v>0.700445062569323</v>
      </c>
    </row>
    <row r="261" customFormat="false" ht="15" hidden="false" customHeight="false" outlineLevel="0" collapsed="false">
      <c r="A261" s="7" t="s">
        <v>129</v>
      </c>
      <c r="B261" s="7" t="s">
        <v>3</v>
      </c>
      <c r="C261" s="7" t="s">
        <v>6</v>
      </c>
      <c r="D261" s="7" t="s">
        <v>72</v>
      </c>
      <c r="E261" s="22" t="n">
        <v>0.284750414088837</v>
      </c>
      <c r="F261" s="22" t="n">
        <v>0.305874503904045</v>
      </c>
      <c r="G261" s="23" t="n">
        <v>19</v>
      </c>
      <c r="H261" s="24" t="n">
        <f aca="false">IF(AND(ISNUMBER(E261),F261&gt;0),E261/F261,"")</f>
        <v>0.930938703469595</v>
      </c>
      <c r="I261" s="24" t="n">
        <f aca="false">IF(H261="","",TDIST(ABS(H261),G261-1,2))</f>
        <v>0.364203883787226</v>
      </c>
    </row>
    <row r="262" customFormat="false" ht="15" hidden="false" customHeight="false" outlineLevel="0" collapsed="false">
      <c r="A262" s="7" t="s">
        <v>129</v>
      </c>
      <c r="B262" s="7" t="s">
        <v>2</v>
      </c>
      <c r="C262" s="7" t="s">
        <v>4</v>
      </c>
      <c r="D262" s="7" t="s">
        <v>73</v>
      </c>
      <c r="E262" s="22" t="n">
        <v>0.194017050786878</v>
      </c>
      <c r="F262" s="22" t="n">
        <v>0.319849682266356</v>
      </c>
      <c r="G262" s="23" t="n">
        <v>19</v>
      </c>
      <c r="H262" s="24" t="n">
        <f aca="false">IF(AND(ISNUMBER(E262),F262&gt;0),E262/F262,"")</f>
        <v>0.606588224231248</v>
      </c>
      <c r="I262" s="24" t="n">
        <f aca="false">IF(H262="","",TDIST(ABS(H262),G262-1,2))</f>
        <v>0.551698824168401</v>
      </c>
    </row>
    <row r="263" customFormat="false" ht="15" hidden="false" customHeight="false" outlineLevel="0" collapsed="false">
      <c r="A263" s="7" t="s">
        <v>129</v>
      </c>
      <c r="B263" s="7" t="s">
        <v>2</v>
      </c>
      <c r="C263" s="7" t="s">
        <v>6</v>
      </c>
      <c r="D263" s="7" t="s">
        <v>73</v>
      </c>
      <c r="E263" s="22" t="n">
        <v>0.256615309779347</v>
      </c>
      <c r="F263" s="22" t="n">
        <v>0.320554819311355</v>
      </c>
      <c r="G263" s="23" t="n">
        <v>19</v>
      </c>
      <c r="H263" s="24" t="n">
        <f aca="false">IF(AND(ISNUMBER(E263),F263&gt;0),E263/F263,"")</f>
        <v>0.800534867423396</v>
      </c>
      <c r="I263" s="24" t="n">
        <f aca="false">IF(H263="","",TDIST(ABS(H263),G263-1,2))</f>
        <v>0.433840581358542</v>
      </c>
    </row>
    <row r="264" customFormat="false" ht="15" hidden="false" customHeight="false" outlineLevel="0" collapsed="false">
      <c r="A264" s="7" t="s">
        <v>129</v>
      </c>
      <c r="B264" s="7" t="s">
        <v>3</v>
      </c>
      <c r="C264" s="7" t="s">
        <v>4</v>
      </c>
      <c r="D264" s="7" t="s">
        <v>73</v>
      </c>
      <c r="E264" s="22" t="n">
        <v>-0.0222265159442725</v>
      </c>
      <c r="F264" s="22" t="n">
        <v>0.214177991975012</v>
      </c>
      <c r="G264" s="23" t="n">
        <v>19</v>
      </c>
      <c r="H264" s="24" t="n">
        <f aca="false">IF(AND(ISNUMBER(E264),F264&gt;0),E264/F264,"")</f>
        <v>-0.103775909650258</v>
      </c>
      <c r="I264" s="24" t="n">
        <f aca="false">IF(H264="","",TDIST(ABS(H264),G264-1,2))</f>
        <v>0.918494713172286</v>
      </c>
    </row>
    <row r="265" customFormat="false" ht="15" hidden="false" customHeight="false" outlineLevel="0" collapsed="false">
      <c r="A265" s="7" t="s">
        <v>129</v>
      </c>
      <c r="B265" s="7" t="s">
        <v>3</v>
      </c>
      <c r="C265" s="7" t="s">
        <v>6</v>
      </c>
      <c r="D265" s="7" t="s">
        <v>73</v>
      </c>
      <c r="E265" s="22" t="n">
        <v>0.145495797677192</v>
      </c>
      <c r="F265" s="22" t="n">
        <v>0.290988281728644</v>
      </c>
      <c r="G265" s="23" t="n">
        <v>19</v>
      </c>
      <c r="H265" s="24" t="n">
        <f aca="false">IF(AND(ISNUMBER(E265),F265&gt;0),E265/F265,"")</f>
        <v>0.500005693744297</v>
      </c>
      <c r="I265" s="24" t="n">
        <f aca="false">IF(H265="","",TDIST(ABS(H265),G265-1,2))</f>
        <v>0.623128527227852</v>
      </c>
    </row>
    <row r="266" customFormat="false" ht="15" hidden="false" customHeight="false" outlineLevel="0" collapsed="false">
      <c r="A266" s="7" t="s">
        <v>129</v>
      </c>
      <c r="B266" s="7" t="s">
        <v>2</v>
      </c>
      <c r="C266" s="7" t="s">
        <v>4</v>
      </c>
      <c r="D266" s="7" t="s">
        <v>74</v>
      </c>
      <c r="E266" s="22" t="n">
        <v>0.282122113145137</v>
      </c>
      <c r="F266" s="22" t="n">
        <v>0.459727818277068</v>
      </c>
      <c r="G266" s="23" t="n">
        <v>19</v>
      </c>
      <c r="H266" s="24" t="n">
        <f aca="false">IF(AND(ISNUMBER(E266),F266&gt;0),E266/F266,"")</f>
        <v>0.613672051002814</v>
      </c>
      <c r="I266" s="24" t="n">
        <f aca="false">IF(H266="","",TDIST(ABS(H266),G266-1,2))</f>
        <v>0.547109769699296</v>
      </c>
    </row>
    <row r="267" customFormat="false" ht="15" hidden="false" customHeight="false" outlineLevel="0" collapsed="false">
      <c r="A267" s="7" t="s">
        <v>129</v>
      </c>
      <c r="B267" s="7" t="s">
        <v>2</v>
      </c>
      <c r="C267" s="7" t="s">
        <v>6</v>
      </c>
      <c r="D267" s="7" t="s">
        <v>74</v>
      </c>
      <c r="E267" s="22" t="n">
        <v>0.277563876675436</v>
      </c>
      <c r="F267" s="22" t="n">
        <v>0.43782690311479</v>
      </c>
      <c r="G267" s="23" t="n">
        <v>19</v>
      </c>
      <c r="H267" s="24" t="n">
        <f aca="false">IF(AND(ISNUMBER(E267),F267&gt;0),E267/F267,"")</f>
        <v>0.633958020169135</v>
      </c>
      <c r="I267" s="24" t="n">
        <f aca="false">IF(H267="","",TDIST(ABS(H267),G267-1,2))</f>
        <v>0.534082394505254</v>
      </c>
    </row>
    <row r="268" customFormat="false" ht="15" hidden="false" customHeight="false" outlineLevel="0" collapsed="false">
      <c r="A268" s="7" t="s">
        <v>129</v>
      </c>
      <c r="B268" s="7" t="s">
        <v>3</v>
      </c>
      <c r="C268" s="7" t="s">
        <v>4</v>
      </c>
      <c r="D268" s="7" t="s">
        <v>74</v>
      </c>
      <c r="E268" s="22" t="n">
        <v>0.238107543701919</v>
      </c>
      <c r="F268" s="22" t="n">
        <v>0.315939007211495</v>
      </c>
      <c r="G268" s="23" t="n">
        <v>19</v>
      </c>
      <c r="H268" s="24" t="n">
        <f aca="false">IF(AND(ISNUMBER(E268),F268&gt;0),E268/F268,"")</f>
        <v>0.753650351070849</v>
      </c>
      <c r="I268" s="24" t="n">
        <f aca="false">IF(H268="","",TDIST(ABS(H268),G268-1,2))</f>
        <v>0.460804600626361</v>
      </c>
    </row>
    <row r="269" customFormat="false" ht="15" hidden="false" customHeight="false" outlineLevel="0" collapsed="false">
      <c r="A269" s="7" t="s">
        <v>129</v>
      </c>
      <c r="B269" s="7" t="s">
        <v>3</v>
      </c>
      <c r="C269" s="7" t="s">
        <v>6</v>
      </c>
      <c r="D269" s="7" t="s">
        <v>74</v>
      </c>
      <c r="E269" s="22" t="n">
        <v>0.389451584464097</v>
      </c>
      <c r="F269" s="22" t="n">
        <v>0.34601711710881</v>
      </c>
      <c r="G269" s="23" t="n">
        <v>19</v>
      </c>
      <c r="H269" s="24" t="n">
        <f aca="false">IF(AND(ISNUMBER(E269),F269&gt;0),E269/F269,"")</f>
        <v>1.12552693265064</v>
      </c>
      <c r="I269" s="24" t="n">
        <f aca="false">IF(H269="","",TDIST(ABS(H269),G269-1,2))</f>
        <v>0.275149890086911</v>
      </c>
    </row>
    <row r="270" customFormat="false" ht="15" hidden="false" customHeight="false" outlineLevel="0" collapsed="false">
      <c r="A270" s="7" t="s">
        <v>129</v>
      </c>
      <c r="B270" s="7" t="s">
        <v>2</v>
      </c>
      <c r="C270" s="7" t="s">
        <v>4</v>
      </c>
      <c r="D270" s="7" t="s">
        <v>130</v>
      </c>
      <c r="E270" s="22" t="n">
        <v>-0.644864028771078</v>
      </c>
      <c r="F270" s="22" t="n">
        <v>0.478735791695162</v>
      </c>
      <c r="G270" s="23" t="n">
        <v>7</v>
      </c>
      <c r="H270" s="24" t="n">
        <f aca="false">IF(AND(ISNUMBER(E270),F270&gt;0),E270/F270,"")</f>
        <v>-1.34701444921774</v>
      </c>
      <c r="I270" s="24" t="n">
        <f aca="false">IF(H270="","",TDIST(ABS(H270),G270-1,2))</f>
        <v>0.226621323500301</v>
      </c>
    </row>
    <row r="271" customFormat="false" ht="15" hidden="false" customHeight="false" outlineLevel="0" collapsed="false">
      <c r="A271" s="7" t="s">
        <v>129</v>
      </c>
      <c r="B271" s="7" t="s">
        <v>2</v>
      </c>
      <c r="C271" s="7" t="s">
        <v>6</v>
      </c>
      <c r="D271" s="7" t="s">
        <v>130</v>
      </c>
      <c r="E271" s="22" t="n">
        <v>-0.951951780155644</v>
      </c>
      <c r="F271" s="22" t="n">
        <v>0.844339781402571</v>
      </c>
      <c r="G271" s="23" t="n">
        <v>7</v>
      </c>
      <c r="H271" s="24" t="n">
        <f aca="false">IF(AND(ISNUMBER(E271),F271&gt;0),E271/F271,"")</f>
        <v>-1.12745105835747</v>
      </c>
      <c r="I271" s="24" t="n">
        <f aca="false">IF(H271="","",TDIST(ABS(H271),G271-1,2))</f>
        <v>0.30261046994746</v>
      </c>
    </row>
    <row r="272" customFormat="false" ht="15" hidden="false" customHeight="false" outlineLevel="0" collapsed="false">
      <c r="A272" s="7" t="s">
        <v>129</v>
      </c>
      <c r="B272" s="7" t="s">
        <v>3</v>
      </c>
      <c r="C272" s="7" t="s">
        <v>4</v>
      </c>
      <c r="D272" s="7" t="s">
        <v>130</v>
      </c>
      <c r="E272" s="22" t="n">
        <v>0.15224669543014</v>
      </c>
      <c r="F272" s="22" t="n">
        <v>0.20798263996902</v>
      </c>
      <c r="G272" s="23" t="n">
        <v>7</v>
      </c>
      <c r="H272" s="24" t="n">
        <f aca="false">IF(AND(ISNUMBER(E272),F272&gt;0),E272/F272,"")</f>
        <v>0.732016361811824</v>
      </c>
      <c r="I272" s="24" t="n">
        <f aca="false">IF(H272="","",TDIST(ABS(H272),G272-1,2))</f>
        <v>0.491749855903437</v>
      </c>
    </row>
    <row r="273" customFormat="false" ht="15" hidden="false" customHeight="false" outlineLevel="0" collapsed="false">
      <c r="A273" s="7" t="s">
        <v>129</v>
      </c>
      <c r="B273" s="7" t="s">
        <v>3</v>
      </c>
      <c r="C273" s="7" t="s">
        <v>6</v>
      </c>
      <c r="D273" s="7" t="s">
        <v>130</v>
      </c>
      <c r="E273" s="22" t="n">
        <v>0.170217904918037</v>
      </c>
      <c r="F273" s="22" t="n">
        <v>0.24872915815332</v>
      </c>
      <c r="G273" s="23" t="n">
        <v>7</v>
      </c>
      <c r="H273" s="24" t="n">
        <f aca="false">IF(AND(ISNUMBER(E273),F273&gt;0),E273/F273,"")</f>
        <v>0.684350424300122</v>
      </c>
      <c r="I273" s="24" t="n">
        <f aca="false">IF(H273="","",TDIST(ABS(H273),G273-1,2))</f>
        <v>0.519298269628751</v>
      </c>
    </row>
    <row r="274" customFormat="false" ht="15" hidden="false" customHeight="false" outlineLevel="0" collapsed="false">
      <c r="A274" s="7" t="s">
        <v>131</v>
      </c>
      <c r="B274" s="7" t="s">
        <v>2</v>
      </c>
      <c r="C274" s="7" t="s">
        <v>132</v>
      </c>
      <c r="D274" s="7" t="s">
        <v>133</v>
      </c>
      <c r="E274" s="22" t="n">
        <v>0.385708410665878</v>
      </c>
      <c r="F274" s="22" t="n">
        <v>0.286541216666743</v>
      </c>
      <c r="G274" s="23" t="n">
        <v>19</v>
      </c>
      <c r="H274" s="24" t="n">
        <f aca="false">IF(AND(ISNUMBER(E274),F274&gt;0),E274/F274,"")</f>
        <v>1.34608352387388</v>
      </c>
      <c r="I274" s="24" t="n">
        <f aca="false">IF(H274="","",TDIST(ABS(H274),G274-1,2))</f>
        <v>0.194984895081623</v>
      </c>
    </row>
    <row r="275" customFormat="false" ht="15" hidden="false" customHeight="false" outlineLevel="0" collapsed="false">
      <c r="A275" s="7" t="s">
        <v>131</v>
      </c>
      <c r="B275" s="7" t="s">
        <v>2</v>
      </c>
      <c r="C275" s="7" t="s">
        <v>132</v>
      </c>
      <c r="D275" s="7" t="s">
        <v>134</v>
      </c>
      <c r="E275" s="22" t="n">
        <v>-0.886468275848383</v>
      </c>
      <c r="F275" s="22" t="n">
        <v>0.286726303494272</v>
      </c>
      <c r="G275" s="23" t="n">
        <v>19</v>
      </c>
      <c r="H275" s="24" t="n">
        <f aca="false">IF(AND(ISNUMBER(E275),F275&gt;0),E275/F275,"")</f>
        <v>-3.0916880141277</v>
      </c>
      <c r="I275" s="24" t="n">
        <f aca="false">IF(H275="","",TDIST(ABS(H275),G275-1,2))</f>
        <v>0.00629267099862132</v>
      </c>
    </row>
    <row r="276" customFormat="false" ht="15" hidden="false" customHeight="false" outlineLevel="0" collapsed="false">
      <c r="A276" s="7" t="s">
        <v>131</v>
      </c>
      <c r="B276" s="7" t="s">
        <v>2</v>
      </c>
      <c r="C276" s="7" t="s">
        <v>132</v>
      </c>
      <c r="D276" s="7" t="s">
        <v>135</v>
      </c>
      <c r="E276" s="22" t="n">
        <v>1.27217668651426</v>
      </c>
      <c r="F276" s="22" t="n">
        <v>0.431154427810112</v>
      </c>
      <c r="G276" s="23" t="n">
        <v>19</v>
      </c>
      <c r="H276" s="24" t="n">
        <f aca="false">IF(AND(ISNUMBER(E276),F276&gt;0),E276/F276,"")</f>
        <v>2.95062883379351</v>
      </c>
      <c r="I276" s="24" t="n">
        <f aca="false">IF(H276="","",TDIST(ABS(H276),G276-1,2))</f>
        <v>0.00855498113450704</v>
      </c>
    </row>
    <row r="277" customFormat="false" ht="15" hidden="false" customHeight="false" outlineLevel="0" collapsed="false">
      <c r="A277" s="7" t="s">
        <v>131</v>
      </c>
      <c r="B277" s="7" t="s">
        <v>2</v>
      </c>
      <c r="C277" s="7" t="s">
        <v>136</v>
      </c>
      <c r="D277" s="7" t="s">
        <v>133</v>
      </c>
      <c r="E277" s="22" t="n">
        <v>0.319522842302258</v>
      </c>
      <c r="F277" s="22" t="n">
        <v>0.391089979947584</v>
      </c>
      <c r="G277" s="23" t="n">
        <v>19</v>
      </c>
      <c r="H277" s="24" t="n">
        <f aca="false">IF(AND(ISNUMBER(E277),F277&gt;0),E277/F277,"")</f>
        <v>0.817005954346063</v>
      </c>
      <c r="I277" s="24" t="n">
        <f aca="false">IF(H277="","",TDIST(ABS(H277),G277-1,2))</f>
        <v>0.424607151580777</v>
      </c>
    </row>
    <row r="278" customFormat="false" ht="15" hidden="false" customHeight="false" outlineLevel="0" collapsed="false">
      <c r="A278" s="7" t="s">
        <v>131</v>
      </c>
      <c r="B278" s="7" t="s">
        <v>2</v>
      </c>
      <c r="C278" s="7" t="s">
        <v>136</v>
      </c>
      <c r="D278" s="7" t="s">
        <v>134</v>
      </c>
      <c r="E278" s="22" t="n">
        <v>-0.806605145379997</v>
      </c>
      <c r="F278" s="22" t="n">
        <v>0.303974812825947</v>
      </c>
      <c r="G278" s="23" t="n">
        <v>19</v>
      </c>
      <c r="H278" s="24" t="n">
        <f aca="false">IF(AND(ISNUMBER(E278),F278&gt;0),E278/F278,"")</f>
        <v>-2.65352625068266</v>
      </c>
      <c r="I278" s="24" t="n">
        <f aca="false">IF(H278="","",TDIST(ABS(H278),G278-1,2))</f>
        <v>0.0161679248450838</v>
      </c>
    </row>
    <row r="279" customFormat="false" ht="15" hidden="false" customHeight="false" outlineLevel="0" collapsed="false">
      <c r="A279" s="7" t="s">
        <v>131</v>
      </c>
      <c r="B279" s="7" t="s">
        <v>2</v>
      </c>
      <c r="C279" s="7" t="s">
        <v>136</v>
      </c>
      <c r="D279" s="7" t="s">
        <v>135</v>
      </c>
      <c r="E279" s="22" t="n">
        <v>1.12612798768226</v>
      </c>
      <c r="F279" s="22" t="n">
        <v>0.501260479959753</v>
      </c>
      <c r="G279" s="23" t="n">
        <v>19</v>
      </c>
      <c r="H279" s="24" t="n">
        <f aca="false">IF(AND(ISNUMBER(E279),F279&gt;0),E279/F279,"")</f>
        <v>2.24659240595363</v>
      </c>
      <c r="I279" s="24" t="n">
        <f aca="false">IF(H279="","",TDIST(ABS(H279),G279-1,2))</f>
        <v>0.0374505794970817</v>
      </c>
    </row>
    <row r="280" customFormat="false" ht="15" hidden="false" customHeight="false" outlineLevel="0" collapsed="false">
      <c r="A280" s="7" t="s">
        <v>131</v>
      </c>
      <c r="B280" s="7" t="s">
        <v>3</v>
      </c>
      <c r="C280" s="7" t="s">
        <v>132</v>
      </c>
      <c r="D280" s="7" t="s">
        <v>133</v>
      </c>
      <c r="E280" s="22" t="n">
        <v>-0.142642014216328</v>
      </c>
      <c r="F280" s="22" t="n">
        <v>0.226807582460856</v>
      </c>
      <c r="G280" s="23" t="n">
        <v>19</v>
      </c>
      <c r="H280" s="24" t="n">
        <f aca="false">IF(AND(ISNUMBER(E280),F280&gt;0),E280/F280,"")</f>
        <v>-0.62891201726444</v>
      </c>
      <c r="I280" s="24" t="n">
        <f aca="false">IF(H280="","",TDIST(ABS(H280),G280-1,2))</f>
        <v>0.537306930470987</v>
      </c>
    </row>
    <row r="281" customFormat="false" ht="15" hidden="false" customHeight="false" outlineLevel="0" collapsed="false">
      <c r="A281" s="7" t="s">
        <v>131</v>
      </c>
      <c r="B281" s="7" t="s">
        <v>3</v>
      </c>
      <c r="C281" s="7" t="s">
        <v>132</v>
      </c>
      <c r="D281" s="7" t="s">
        <v>134</v>
      </c>
      <c r="E281" s="22" t="n">
        <v>-0.796561484514145</v>
      </c>
      <c r="F281" s="22" t="n">
        <v>0.241779759084575</v>
      </c>
      <c r="G281" s="23" t="n">
        <v>19</v>
      </c>
      <c r="H281" s="24" t="n">
        <f aca="false">IF(AND(ISNUMBER(E281),F281&gt;0),E281/F281,"")</f>
        <v>-3.29457473003564</v>
      </c>
      <c r="I281" s="24" t="n">
        <f aca="false">IF(H281="","",TDIST(ABS(H281),G281-1,2))</f>
        <v>0.00402926692987926</v>
      </c>
    </row>
    <row r="282" customFormat="false" ht="15" hidden="false" customHeight="false" outlineLevel="0" collapsed="false">
      <c r="A282" s="7" t="s">
        <v>131</v>
      </c>
      <c r="B282" s="7" t="s">
        <v>3</v>
      </c>
      <c r="C282" s="7" t="s">
        <v>132</v>
      </c>
      <c r="D282" s="7" t="s">
        <v>135</v>
      </c>
      <c r="E282" s="22" t="n">
        <v>0.653919470297818</v>
      </c>
      <c r="F282" s="22" t="n">
        <v>0.176479276814232</v>
      </c>
      <c r="G282" s="23" t="n">
        <v>19</v>
      </c>
      <c r="H282" s="24" t="n">
        <f aca="false">IF(AND(ISNUMBER(E282),F282&gt;0),E282/F282,"")</f>
        <v>3.70536123052088</v>
      </c>
      <c r="I282" s="24" t="n">
        <f aca="false">IF(H282="","",TDIST(ABS(H282),G282-1,2))</f>
        <v>0.00161920914332944</v>
      </c>
    </row>
    <row r="283" customFormat="false" ht="15" hidden="false" customHeight="false" outlineLevel="0" collapsed="false">
      <c r="A283" s="7" t="s">
        <v>131</v>
      </c>
      <c r="B283" s="7" t="s">
        <v>3</v>
      </c>
      <c r="C283" s="7" t="s">
        <v>136</v>
      </c>
      <c r="D283" s="7" t="s">
        <v>133</v>
      </c>
      <c r="E283" s="22" t="n">
        <v>-0.176610986184485</v>
      </c>
      <c r="F283" s="22" t="n">
        <v>0.396858286870943</v>
      </c>
      <c r="G283" s="23" t="n">
        <v>19</v>
      </c>
      <c r="H283" s="24" t="n">
        <f aca="false">IF(AND(ISNUMBER(E283),F283&gt;0),E283/F283,"")</f>
        <v>-0.445022800398063</v>
      </c>
      <c r="I283" s="24" t="n">
        <f aca="false">IF(H283="","",TDIST(ABS(H283),G283-1,2))</f>
        <v>0.661608560110617</v>
      </c>
    </row>
    <row r="284" customFormat="false" ht="15" hidden="false" customHeight="false" outlineLevel="0" collapsed="false">
      <c r="A284" s="7" t="s">
        <v>131</v>
      </c>
      <c r="B284" s="7" t="s">
        <v>3</v>
      </c>
      <c r="C284" s="7" t="s">
        <v>136</v>
      </c>
      <c r="D284" s="7" t="s">
        <v>134</v>
      </c>
      <c r="E284" s="22" t="n">
        <v>-0.674902057897634</v>
      </c>
      <c r="F284" s="22" t="n">
        <v>0.296269837124942</v>
      </c>
      <c r="G284" s="23" t="n">
        <v>19</v>
      </c>
      <c r="H284" s="24" t="n">
        <f aca="false">IF(AND(ISNUMBER(E284),F284&gt;0),E284/F284,"")</f>
        <v>-2.27799786993847</v>
      </c>
      <c r="I284" s="24" t="n">
        <f aca="false">IF(H284="","",TDIST(ABS(H284),G284-1,2))</f>
        <v>0.0351568877450452</v>
      </c>
    </row>
    <row r="285" customFormat="false" ht="15" hidden="false" customHeight="false" outlineLevel="0" collapsed="false">
      <c r="A285" s="7" t="s">
        <v>131</v>
      </c>
      <c r="B285" s="7" t="s">
        <v>3</v>
      </c>
      <c r="C285" s="7" t="s">
        <v>136</v>
      </c>
      <c r="D285" s="7" t="s">
        <v>135</v>
      </c>
      <c r="E285" s="22" t="n">
        <v>0.498291071713149</v>
      </c>
      <c r="F285" s="22" t="n">
        <v>0.312089541370464</v>
      </c>
      <c r="G285" s="23" t="n">
        <v>19</v>
      </c>
      <c r="H285" s="24" t="n">
        <f aca="false">IF(AND(ISNUMBER(E285),F285&gt;0),E285/F285,"")</f>
        <v>1.59662854937409</v>
      </c>
      <c r="I285" s="24" t="n">
        <f aca="false">IF(H285="","",TDIST(ABS(H285),G285-1,2))</f>
        <v>0.127755120722863</v>
      </c>
    </row>
    <row r="286" customFormat="false" ht="15" hidden="false" customHeight="false" outlineLevel="0" collapsed="false">
      <c r="A286" s="7" t="s">
        <v>131</v>
      </c>
      <c r="B286" s="7" t="s">
        <v>2</v>
      </c>
      <c r="C286" s="7" t="s">
        <v>137</v>
      </c>
      <c r="D286" s="7" t="s">
        <v>133</v>
      </c>
      <c r="E286" s="22" t="n">
        <v>0.763423875104729</v>
      </c>
      <c r="F286" s="22" t="n">
        <v>0.337698944421471</v>
      </c>
      <c r="G286" s="23" t="n">
        <v>19</v>
      </c>
      <c r="H286" s="24" t="n">
        <f aca="false">IF(AND(ISNUMBER(E286),F286&gt;0),E286/F286,"")</f>
        <v>2.26066408472964</v>
      </c>
      <c r="I286" s="24" t="n">
        <f aca="false">IF(H286="","",TDIST(ABS(H286),G286-1,2))</f>
        <v>0.0364062829169469</v>
      </c>
    </row>
    <row r="287" customFormat="false" ht="15" hidden="false" customHeight="false" outlineLevel="0" collapsed="false">
      <c r="A287" s="7" t="s">
        <v>131</v>
      </c>
      <c r="B287" s="7" t="s">
        <v>2</v>
      </c>
      <c r="C287" s="7" t="s">
        <v>137</v>
      </c>
      <c r="D287" s="7" t="s">
        <v>134</v>
      </c>
      <c r="E287" s="22" t="n">
        <v>-0.524220894517793</v>
      </c>
      <c r="F287" s="22" t="n">
        <v>0.306815230126163</v>
      </c>
      <c r="G287" s="23" t="n">
        <v>19</v>
      </c>
      <c r="H287" s="24" t="n">
        <f aca="false">IF(AND(ISNUMBER(E287),F287&gt;0),E287/F287,"")</f>
        <v>-1.70858824153623</v>
      </c>
      <c r="I287" s="24" t="n">
        <f aca="false">IF(H287="","",TDIST(ABS(H287),G287-1,2))</f>
        <v>0.104713474018024</v>
      </c>
    </row>
    <row r="288" customFormat="false" ht="15" hidden="false" customHeight="false" outlineLevel="0" collapsed="false">
      <c r="A288" s="7" t="s">
        <v>131</v>
      </c>
      <c r="B288" s="7" t="s">
        <v>2</v>
      </c>
      <c r="C288" s="7" t="s">
        <v>137</v>
      </c>
      <c r="D288" s="7" t="s">
        <v>135</v>
      </c>
      <c r="E288" s="22" t="n">
        <v>1.28764476962252</v>
      </c>
      <c r="F288" s="22" t="n">
        <v>0.456503233549179</v>
      </c>
      <c r="G288" s="23" t="n">
        <v>19</v>
      </c>
      <c r="H288" s="24" t="n">
        <f aca="false">IF(AND(ISNUMBER(E288),F288&gt;0),E288/F288,"")</f>
        <v>2.82066954840924</v>
      </c>
      <c r="I288" s="24" t="n">
        <f aca="false">IF(H288="","",TDIST(ABS(H288),G288-1,2))</f>
        <v>0.0113234660497758</v>
      </c>
    </row>
    <row r="289" customFormat="false" ht="15" hidden="false" customHeight="false" outlineLevel="0" collapsed="false">
      <c r="A289" s="7" t="s">
        <v>131</v>
      </c>
      <c r="B289" s="7" t="s">
        <v>2</v>
      </c>
      <c r="C289" s="7" t="s">
        <v>138</v>
      </c>
      <c r="D289" s="7" t="s">
        <v>133</v>
      </c>
      <c r="E289" s="22" t="n">
        <v>0.665135328685161</v>
      </c>
      <c r="F289" s="22" t="n">
        <v>0.433314016708601</v>
      </c>
      <c r="G289" s="23" t="n">
        <v>19</v>
      </c>
      <c r="H289" s="24" t="n">
        <f aca="false">IF(AND(ISNUMBER(E289),F289&gt;0),E289/F289,"")</f>
        <v>1.53499610683597</v>
      </c>
      <c r="I289" s="24" t="n">
        <f aca="false">IF(H289="","",TDIST(ABS(H289),G289-1,2))</f>
        <v>0.142175050420718</v>
      </c>
    </row>
    <row r="290" customFormat="false" ht="15" hidden="false" customHeight="false" outlineLevel="0" collapsed="false">
      <c r="A290" s="7" t="s">
        <v>131</v>
      </c>
      <c r="B290" s="7" t="s">
        <v>2</v>
      </c>
      <c r="C290" s="7" t="s">
        <v>138</v>
      </c>
      <c r="D290" s="7" t="s">
        <v>134</v>
      </c>
      <c r="E290" s="22" t="n">
        <v>-0.494207925921312</v>
      </c>
      <c r="F290" s="22" t="n">
        <v>0.297235902773145</v>
      </c>
      <c r="G290" s="23" t="n">
        <v>19</v>
      </c>
      <c r="H290" s="24" t="n">
        <f aca="false">IF(AND(ISNUMBER(E290),F290&gt;0),E290/F290,"")</f>
        <v>-1.6626791087835</v>
      </c>
      <c r="I290" s="24" t="n">
        <f aca="false">IF(H290="","",TDIST(ABS(H290),G290-1,2))</f>
        <v>0.113691197740017</v>
      </c>
    </row>
    <row r="291" customFormat="false" ht="15" hidden="false" customHeight="false" outlineLevel="0" collapsed="false">
      <c r="A291" s="7" t="s">
        <v>131</v>
      </c>
      <c r="B291" s="7" t="s">
        <v>2</v>
      </c>
      <c r="C291" s="7" t="s">
        <v>138</v>
      </c>
      <c r="D291" s="7" t="s">
        <v>135</v>
      </c>
      <c r="E291" s="22" t="n">
        <v>1.15934325460647</v>
      </c>
      <c r="F291" s="22" t="n">
        <v>0.503813767482137</v>
      </c>
      <c r="G291" s="23" t="n">
        <v>19</v>
      </c>
      <c r="H291" s="24" t="n">
        <f aca="false">IF(AND(ISNUMBER(E291),F291&gt;0),E291/F291,"")</f>
        <v>2.30113452516476</v>
      </c>
      <c r="I291" s="24" t="n">
        <f aca="false">IF(H291="","",TDIST(ABS(H291),G291-1,2))</f>
        <v>0.0335510121441654</v>
      </c>
    </row>
    <row r="292" customFormat="false" ht="15" hidden="false" customHeight="false" outlineLevel="0" collapsed="false">
      <c r="A292" s="7" t="s">
        <v>131</v>
      </c>
      <c r="B292" s="7" t="s">
        <v>3</v>
      </c>
      <c r="C292" s="7" t="s">
        <v>137</v>
      </c>
      <c r="D292" s="7" t="s">
        <v>133</v>
      </c>
      <c r="E292" s="22" t="n">
        <v>0.0176532778966794</v>
      </c>
      <c r="F292" s="22" t="n">
        <v>0.247700015169344</v>
      </c>
      <c r="G292" s="23" t="n">
        <v>19</v>
      </c>
      <c r="H292" s="24" t="n">
        <f aca="false">IF(AND(ISNUMBER(E292),F292&gt;0),E292/F292,"")</f>
        <v>0.071268780038671</v>
      </c>
      <c r="I292" s="24" t="n">
        <f aca="false">IF(H292="","",TDIST(ABS(H292),G292-1,2))</f>
        <v>0.943969730823747</v>
      </c>
    </row>
    <row r="293" customFormat="false" ht="15" hidden="false" customHeight="false" outlineLevel="0" collapsed="false">
      <c r="A293" s="7" t="s">
        <v>131</v>
      </c>
      <c r="B293" s="7" t="s">
        <v>3</v>
      </c>
      <c r="C293" s="7" t="s">
        <v>137</v>
      </c>
      <c r="D293" s="7" t="s">
        <v>134</v>
      </c>
      <c r="E293" s="22" t="n">
        <v>-0.842336039564908</v>
      </c>
      <c r="F293" s="22" t="n">
        <v>0.42953924093343</v>
      </c>
      <c r="G293" s="23" t="n">
        <v>19</v>
      </c>
      <c r="H293" s="24" t="n">
        <f aca="false">IF(AND(ISNUMBER(E293),F293&gt;0),E293/F293,"")</f>
        <v>-1.96102232181263</v>
      </c>
      <c r="I293" s="24" t="n">
        <f aca="false">IF(H293="","",TDIST(ABS(H293),G293-1,2))</f>
        <v>0.0655360152981138</v>
      </c>
    </row>
    <row r="294" customFormat="false" ht="15" hidden="false" customHeight="false" outlineLevel="0" collapsed="false">
      <c r="A294" s="7" t="s">
        <v>131</v>
      </c>
      <c r="B294" s="7" t="s">
        <v>3</v>
      </c>
      <c r="C294" s="7" t="s">
        <v>137</v>
      </c>
      <c r="D294" s="7" t="s">
        <v>135</v>
      </c>
      <c r="E294" s="22" t="n">
        <v>0.859989317461588</v>
      </c>
      <c r="F294" s="22" t="n">
        <v>0.271757148188146</v>
      </c>
      <c r="G294" s="23" t="n">
        <v>19</v>
      </c>
      <c r="H294" s="24" t="n">
        <f aca="false">IF(AND(ISNUMBER(E294),F294&gt;0),E294/F294,"")</f>
        <v>3.16455086166194</v>
      </c>
      <c r="I294" s="24" t="n">
        <f aca="false">IF(H294="","",TDIST(ABS(H294),G294-1,2))</f>
        <v>0.00536432907567188</v>
      </c>
    </row>
    <row r="295" customFormat="false" ht="15" hidden="false" customHeight="false" outlineLevel="0" collapsed="false">
      <c r="A295" s="7" t="s">
        <v>131</v>
      </c>
      <c r="B295" s="7" t="s">
        <v>3</v>
      </c>
      <c r="C295" s="7" t="s">
        <v>138</v>
      </c>
      <c r="D295" s="7" t="s">
        <v>133</v>
      </c>
      <c r="E295" s="22" t="n">
        <v>0.014273365863465</v>
      </c>
      <c r="F295" s="22" t="n">
        <v>0.37623918181856</v>
      </c>
      <c r="G295" s="23" t="n">
        <v>19</v>
      </c>
      <c r="H295" s="24" t="n">
        <f aca="false">IF(AND(ISNUMBER(E295),F295&gt;0),E295/F295,"")</f>
        <v>0.0379369469029631</v>
      </c>
      <c r="I295" s="24" t="n">
        <f aca="false">IF(H295="","",TDIST(ABS(H295),G295-1,2))</f>
        <v>0.970155540736119</v>
      </c>
    </row>
    <row r="296" customFormat="false" ht="15" hidden="false" customHeight="false" outlineLevel="0" collapsed="false">
      <c r="A296" s="7" t="s">
        <v>131</v>
      </c>
      <c r="B296" s="7" t="s">
        <v>3</v>
      </c>
      <c r="C296" s="7" t="s">
        <v>138</v>
      </c>
      <c r="D296" s="7" t="s">
        <v>134</v>
      </c>
      <c r="E296" s="22" t="n">
        <v>-0.625997347568283</v>
      </c>
      <c r="F296" s="22" t="n">
        <v>0.449963837871402</v>
      </c>
      <c r="G296" s="23" t="n">
        <v>19</v>
      </c>
      <c r="H296" s="24" t="n">
        <f aca="false">IF(AND(ISNUMBER(E296),F296&gt;0),E296/F296,"")</f>
        <v>-1.39121701541534</v>
      </c>
      <c r="I296" s="24" t="n">
        <f aca="false">IF(H296="","",TDIST(ABS(H296),G296-1,2))</f>
        <v>0.181117699017682</v>
      </c>
    </row>
    <row r="297" customFormat="false" ht="15" hidden="false" customHeight="false" outlineLevel="0" collapsed="false">
      <c r="A297" s="7" t="s">
        <v>131</v>
      </c>
      <c r="B297" s="7" t="s">
        <v>3</v>
      </c>
      <c r="C297" s="7" t="s">
        <v>138</v>
      </c>
      <c r="D297" s="7" t="s">
        <v>135</v>
      </c>
      <c r="E297" s="22" t="n">
        <v>0.640270713431748</v>
      </c>
      <c r="F297" s="22" t="n">
        <v>0.371771200515511</v>
      </c>
      <c r="G297" s="23" t="n">
        <v>19</v>
      </c>
      <c r="H297" s="24" t="n">
        <f aca="false">IF(AND(ISNUMBER(E297),F297&gt;0),E297/F297,"")</f>
        <v>1.72221708551907</v>
      </c>
      <c r="I297" s="24" t="n">
        <f aca="false">IF(H297="","",TDIST(ABS(H297),G297-1,2))</f>
        <v>0.102168559897368</v>
      </c>
    </row>
    <row r="298" customFormat="false" ht="15" hidden="false" customHeight="false" outlineLevel="0" collapsed="false">
      <c r="A298" s="7" t="s">
        <v>131</v>
      </c>
      <c r="B298" s="7" t="s">
        <v>2</v>
      </c>
      <c r="C298" s="7" t="s">
        <v>139</v>
      </c>
      <c r="D298" s="7" t="s">
        <v>133</v>
      </c>
      <c r="E298" s="22" t="n">
        <v>0.942939067042583</v>
      </c>
      <c r="F298" s="22" t="n">
        <v>0.375945307654085</v>
      </c>
      <c r="G298" s="23" t="n">
        <v>19</v>
      </c>
      <c r="H298" s="24" t="n">
        <f aca="false">IF(AND(ISNUMBER(E298),F298&gt;0),E298/F298,"")</f>
        <v>2.50818150365159</v>
      </c>
      <c r="I298" s="24" t="n">
        <f aca="false">IF(H298="","",TDIST(ABS(H298),G298-1,2))</f>
        <v>0.0219316679512581</v>
      </c>
    </row>
    <row r="299" customFormat="false" ht="15" hidden="false" customHeight="false" outlineLevel="0" collapsed="false">
      <c r="A299" s="7" t="s">
        <v>131</v>
      </c>
      <c r="B299" s="7" t="s">
        <v>2</v>
      </c>
      <c r="C299" s="7" t="s">
        <v>139</v>
      </c>
      <c r="D299" s="7" t="s">
        <v>134</v>
      </c>
      <c r="E299" s="22" t="n">
        <v>-0.276217817732953</v>
      </c>
      <c r="F299" s="22" t="n">
        <v>0.486518107503272</v>
      </c>
      <c r="G299" s="23" t="n">
        <v>19</v>
      </c>
      <c r="H299" s="24" t="n">
        <f aca="false">IF(AND(ISNUMBER(E299),F299&gt;0),E299/F299,"")</f>
        <v>-0.567744167119402</v>
      </c>
      <c r="I299" s="24" t="n">
        <f aca="false">IF(H299="","",TDIST(ABS(H299),G299-1,2))</f>
        <v>0.577222445425744</v>
      </c>
    </row>
    <row r="300" customFormat="false" ht="15" hidden="false" customHeight="false" outlineLevel="0" collapsed="false">
      <c r="A300" s="7" t="s">
        <v>131</v>
      </c>
      <c r="B300" s="7" t="s">
        <v>2</v>
      </c>
      <c r="C300" s="7" t="s">
        <v>139</v>
      </c>
      <c r="D300" s="7" t="s">
        <v>135</v>
      </c>
      <c r="E300" s="22" t="n">
        <v>1.21915688477554</v>
      </c>
      <c r="F300" s="22" t="n">
        <v>0.56607840185822</v>
      </c>
      <c r="G300" s="23" t="n">
        <v>19</v>
      </c>
      <c r="H300" s="24" t="n">
        <f aca="false">IF(AND(ISNUMBER(E300),F300&gt;0),E300/F300,"")</f>
        <v>2.1536891016748</v>
      </c>
      <c r="I300" s="24" t="n">
        <f aca="false">IF(H300="","",TDIST(ABS(H300),G300-1,2))</f>
        <v>0.0450670626497269</v>
      </c>
    </row>
    <row r="301" customFormat="false" ht="15" hidden="false" customHeight="false" outlineLevel="0" collapsed="false">
      <c r="A301" s="7" t="s">
        <v>131</v>
      </c>
      <c r="B301" s="7" t="s">
        <v>2</v>
      </c>
      <c r="C301" s="7" t="s">
        <v>140</v>
      </c>
      <c r="D301" s="7" t="s">
        <v>133</v>
      </c>
      <c r="E301" s="22" t="n">
        <v>0.858553180733201</v>
      </c>
      <c r="F301" s="22" t="n">
        <v>0.435299834091513</v>
      </c>
      <c r="G301" s="23" t="n">
        <v>19</v>
      </c>
      <c r="H301" s="24" t="n">
        <f aca="false">IF(AND(ISNUMBER(E301),F301&gt;0),E301/F301,"")</f>
        <v>1.97232600036486</v>
      </c>
      <c r="I301" s="24" t="n">
        <f aca="false">IF(H301="","",TDIST(ABS(H301),G301-1,2))</f>
        <v>0.0641361843836501</v>
      </c>
    </row>
    <row r="302" customFormat="false" ht="15" hidden="false" customHeight="false" outlineLevel="0" collapsed="false">
      <c r="A302" s="7" t="s">
        <v>131</v>
      </c>
      <c r="B302" s="7" t="s">
        <v>2</v>
      </c>
      <c r="C302" s="7" t="s">
        <v>140</v>
      </c>
      <c r="D302" s="7" t="s">
        <v>134</v>
      </c>
      <c r="E302" s="22" t="n">
        <v>-0.233772537911049</v>
      </c>
      <c r="F302" s="22" t="n">
        <v>0.49332691134608</v>
      </c>
      <c r="G302" s="23" t="n">
        <v>19</v>
      </c>
      <c r="H302" s="24" t="n">
        <f aca="false">IF(AND(ISNUMBER(E302),F302&gt;0),E302/F302,"")</f>
        <v>-0.47386942113736</v>
      </c>
      <c r="I302" s="24" t="n">
        <f aca="false">IF(H302="","",TDIST(ABS(H302),G302-1,2))</f>
        <v>0.641290064903566</v>
      </c>
    </row>
    <row r="303" customFormat="false" ht="15" hidden="false" customHeight="false" outlineLevel="0" collapsed="false">
      <c r="A303" s="7" t="s">
        <v>131</v>
      </c>
      <c r="B303" s="7" t="s">
        <v>2</v>
      </c>
      <c r="C303" s="7" t="s">
        <v>140</v>
      </c>
      <c r="D303" s="7" t="s">
        <v>135</v>
      </c>
      <c r="E303" s="22" t="n">
        <v>1.09232571864425</v>
      </c>
      <c r="F303" s="22" t="n">
        <v>0.652731324116473</v>
      </c>
      <c r="G303" s="23" t="n">
        <v>19</v>
      </c>
      <c r="H303" s="24" t="n">
        <f aca="false">IF(AND(ISNUMBER(E303),F303&gt;0),E303/F303,"")</f>
        <v>1.67346912624854</v>
      </c>
      <c r="I303" s="24" t="n">
        <f aca="false">IF(H303="","",TDIST(ABS(H303),G303-1,2))</f>
        <v>0.111523980591039</v>
      </c>
    </row>
    <row r="304" customFormat="false" ht="15" hidden="false" customHeight="false" outlineLevel="0" collapsed="false">
      <c r="A304" s="7" t="s">
        <v>131</v>
      </c>
      <c r="B304" s="7" t="s">
        <v>3</v>
      </c>
      <c r="C304" s="7" t="s">
        <v>139</v>
      </c>
      <c r="D304" s="7" t="s">
        <v>133</v>
      </c>
      <c r="E304" s="22" t="n">
        <v>0.494487757511283</v>
      </c>
      <c r="F304" s="22" t="n">
        <v>0.197197536934486</v>
      </c>
      <c r="G304" s="23" t="n">
        <v>19</v>
      </c>
      <c r="H304" s="24" t="n">
        <f aca="false">IF(AND(ISNUMBER(E304),F304&gt;0),E304/F304,"")</f>
        <v>2.50757572938431</v>
      </c>
      <c r="I304" s="24" t="n">
        <f aca="false">IF(H304="","",TDIST(ABS(H304),G304-1,2))</f>
        <v>0.0219593273084652</v>
      </c>
    </row>
    <row r="305" customFormat="false" ht="15" hidden="false" customHeight="false" outlineLevel="0" collapsed="false">
      <c r="A305" s="7" t="s">
        <v>131</v>
      </c>
      <c r="B305" s="7" t="s">
        <v>3</v>
      </c>
      <c r="C305" s="7" t="s">
        <v>139</v>
      </c>
      <c r="D305" s="7" t="s">
        <v>134</v>
      </c>
      <c r="E305" s="22" t="n">
        <v>0.357899887688479</v>
      </c>
      <c r="F305" s="22" t="n">
        <v>0.419492834114378</v>
      </c>
      <c r="G305" s="23" t="n">
        <v>19</v>
      </c>
      <c r="H305" s="24" t="n">
        <f aca="false">IF(AND(ISNUMBER(E305),F305&gt;0),E305/F305,"")</f>
        <v>0.853172828193998</v>
      </c>
      <c r="I305" s="24" t="n">
        <f aca="false">IF(H305="","",TDIST(ABS(H305),G305-1,2))</f>
        <v>0.40477408216184</v>
      </c>
    </row>
    <row r="306" customFormat="false" ht="15" hidden="false" customHeight="false" outlineLevel="0" collapsed="false">
      <c r="A306" s="7" t="s">
        <v>131</v>
      </c>
      <c r="B306" s="7" t="s">
        <v>3</v>
      </c>
      <c r="C306" s="7" t="s">
        <v>139</v>
      </c>
      <c r="D306" s="7" t="s">
        <v>135</v>
      </c>
      <c r="E306" s="22" t="n">
        <v>0.136587869822804</v>
      </c>
      <c r="F306" s="22" t="n">
        <v>0.328818875683339</v>
      </c>
      <c r="G306" s="23" t="n">
        <v>19</v>
      </c>
      <c r="H306" s="24" t="n">
        <f aca="false">IF(AND(ISNUMBER(E306),F306&gt;0),E306/F306,"")</f>
        <v>0.415389382799123</v>
      </c>
      <c r="I306" s="24" t="n">
        <f aca="false">IF(H306="","",TDIST(ABS(H306),G306-1,2))</f>
        <v>0.68276657099024</v>
      </c>
    </row>
    <row r="307" customFormat="false" ht="15" hidden="false" customHeight="false" outlineLevel="0" collapsed="false">
      <c r="A307" s="7" t="s">
        <v>131</v>
      </c>
      <c r="B307" s="7" t="s">
        <v>3</v>
      </c>
      <c r="C307" s="7" t="s">
        <v>140</v>
      </c>
      <c r="D307" s="7" t="s">
        <v>133</v>
      </c>
      <c r="E307" s="22" t="n">
        <v>0.36310526491793</v>
      </c>
      <c r="F307" s="22" t="n">
        <v>0.313298883952482</v>
      </c>
      <c r="G307" s="23" t="n">
        <v>19</v>
      </c>
      <c r="H307" s="24" t="n">
        <f aca="false">IF(AND(ISNUMBER(E307),F307&gt;0),E307/F307,"")</f>
        <v>1.15897401336738</v>
      </c>
      <c r="I307" s="24" t="n">
        <f aca="false">IF(H307="","",TDIST(ABS(H307),G307-1,2))</f>
        <v>0.261611722388892</v>
      </c>
    </row>
    <row r="308" customFormat="false" ht="15" hidden="false" customHeight="false" outlineLevel="0" collapsed="false">
      <c r="A308" s="7" t="s">
        <v>131</v>
      </c>
      <c r="B308" s="7" t="s">
        <v>3</v>
      </c>
      <c r="C308" s="7" t="s">
        <v>140</v>
      </c>
      <c r="D308" s="7" t="s">
        <v>134</v>
      </c>
      <c r="E308" s="22" t="n">
        <v>0.164891406326622</v>
      </c>
      <c r="F308" s="22" t="n">
        <v>0.374211617394359</v>
      </c>
      <c r="G308" s="23" t="n">
        <v>19</v>
      </c>
      <c r="H308" s="24" t="n">
        <f aca="false">IF(AND(ISNUMBER(E308),F308&gt;0),E308/F308,"")</f>
        <v>0.440636791221939</v>
      </c>
      <c r="I308" s="24" t="n">
        <f aca="false">IF(H308="","",TDIST(ABS(H308),G308-1,2))</f>
        <v>0.664722252810383</v>
      </c>
    </row>
    <row r="309" customFormat="false" ht="15" hidden="false" customHeight="false" outlineLevel="0" collapsed="false">
      <c r="A309" s="7" t="s">
        <v>131</v>
      </c>
      <c r="B309" s="7" t="s">
        <v>3</v>
      </c>
      <c r="C309" s="7" t="s">
        <v>140</v>
      </c>
      <c r="D309" s="7" t="s">
        <v>135</v>
      </c>
      <c r="E309" s="22" t="n">
        <v>0.198213858591307</v>
      </c>
      <c r="F309" s="22" t="n">
        <v>0.419441810091262</v>
      </c>
      <c r="G309" s="23" t="n">
        <v>19</v>
      </c>
      <c r="H309" s="24" t="n">
        <f aca="false">IF(AND(ISNUMBER(E309),F309&gt;0),E309/F309,"")</f>
        <v>0.472565809660654</v>
      </c>
      <c r="I309" s="24" t="n">
        <f aca="false">IF(H309="","",TDIST(ABS(H309),G309-1,2))</f>
        <v>0.642202176036678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2026-10-19T20:39:15Z</dcterms:created>
  <dc:creator>openpyxl</dc:creator>
  <dc:description/>
  <dc:language>en-US</dc:language>
  <cp:lastModifiedBy/>
  <dcterms:modified xsi:type="dcterms:W3CDTF">2026-10-19T20:39:15Z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