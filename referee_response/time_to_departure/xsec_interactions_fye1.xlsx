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actions" sheetId="1" state="visible" r:id="rId3"/>
    <sheet name="Estima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<sst xmlns="http://schemas.openxmlformats.org/spreadsheetml/2006/main" count="222" uniqueCount="39">
  <si>
    <t xml:space="preserve">Table: Conflicted CIOs and Cross-Sectional Characteristics, Interaction Specification</t>
  </si>
  <si>
    <t xml:space="preserve">This table re-estimates the Table III regression with all control variables and fiscal-year-end date fixed effects, adding a cross-sectional characteristic X and its interaction with Conflicted CIO. Each column uses a different X: Underpaid equals 1 if the CIO is underpaid relative to the size of the plan; Young CIO equals 1 for CIOs who are 46 years old or younger; Prior Private Exp. equals 1 for CIOs with prior private firm experience; Financial Center equals 1 for plans headquartered in financial centers; High Discount Rate equals 1 if the plan's discount rate is above 8%; High Funding equals 1 for plans with a funding ratio of at least 92%. Young CIO and High Funding are missing when CIO age or the funding ratio is missing. The control variables are those of Table III and have the same coefficients for both groups. Conflicted CIO is the effect of conflict when X = 0, Conflicted CIO x X is the difference between the two groups, and the italic row reports the effect when X = 1. Panel A uses Peer-Adjusted Return. Panel B uses Benchmark-Adjusted Return computed as the plan's return minus the updated policy benchmark (the benchmark return reported in the plan's financial report or, where none is stated, an inferred value graded A or B). Fiscal-year-end date fixed effects compare plans only with plans whose fiscal year covers the same twelve months. The standard errors are double clustered by plan and year. Coefficients marked with ***, **, and * are significant at the 1%, 5%, and 10% level, respectively.</t>
  </si>
  <si>
    <t xml:space="preserve">Panel A. Peer-Adjusted Returns</t>
  </si>
  <si>
    <t xml:space="preserve">X = Underpaid</t>
  </si>
  <si>
    <t xml:space="preserve">X = Young CIO</t>
  </si>
  <si>
    <t xml:space="preserve">X = Prior Private Exp.</t>
  </si>
  <si>
    <t xml:space="preserve">X = Financial Center</t>
  </si>
  <si>
    <t xml:space="preserve">X = High Discount Rate</t>
  </si>
  <si>
    <t xml:space="preserve">X = High Funding</t>
  </si>
  <si>
    <t xml:space="preserve">Peer-adj. Ret. (t)</t>
  </si>
  <si>
    <t xml:space="preserve">Conflicted CIO (0/1)</t>
  </si>
  <si>
    <t xml:space="preserve">Conflicted CIO x X</t>
  </si>
  <si>
    <t xml:space="preserve">X (0/1)</t>
  </si>
  <si>
    <t xml:space="preserve">Conflicted CIO effect when X = 1</t>
  </si>
  <si>
    <t xml:space="preserve">Observations</t>
  </si>
  <si>
    <t xml:space="preserve">Adjusted R-squared</t>
  </si>
  <si>
    <t xml:space="preserve">Table III Controls</t>
  </si>
  <si>
    <t xml:space="preserve">Yes</t>
  </si>
  <si>
    <t xml:space="preserve">Fiscal-Year-End FE</t>
  </si>
  <si>
    <t xml:space="preserve">Panel B. Benchmark-Adjusted Returns (updated benchmark)</t>
  </si>
  <si>
    <t xml:space="preserve">Bench-adj. Ret. (t)</t>
  </si>
  <si>
    <t xml:space="preserve">Coefficients and observations will match reghdfe exactly; t-statistics can differ somewhat. Use the attached Stata code for the exact figures.</t>
  </si>
  <si>
    <t xml:space="preserve">Estimates behind the table. Blue = regression output (coefficient, SE, minimum cluster count). t and p are formulas; p uses the t distribution with (min clusters - 1) df. SE double clustered by plan and fiscal year, with the eigenvalue fix.</t>
  </si>
  <si>
    <t xml:space="preserve">Variable</t>
  </si>
  <si>
    <t xml:space="preserve">Dependent variable</t>
  </si>
  <si>
    <t xml:space="preserve">Term</t>
  </si>
  <si>
    <t xml:space="preserve">Coefficient</t>
  </si>
  <si>
    <t xml:space="preserve">SE</t>
  </si>
  <si>
    <t xml:space="preserve">Clusters (min)</t>
  </si>
  <si>
    <t xml:space="preserve">t</t>
  </si>
  <si>
    <t xml:space="preserve">p</t>
  </si>
  <si>
    <t xml:space="preserve">Underpaid</t>
  </si>
  <si>
    <t xml:space="preserve">peer_adj_ret100</t>
  </si>
  <si>
    <t xml:space="preserve">Young CIO</t>
  </si>
  <si>
    <t xml:space="preserve">Prior Private Exp.</t>
  </si>
  <si>
    <t xml:space="preserve">Financial Center</t>
  </si>
  <si>
    <t xml:space="preserve">High Discount Rate</t>
  </si>
  <si>
    <t xml:space="preserve">High Funding</t>
  </si>
  <si>
    <t xml:space="preserve">b_AB</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</si>
</sst>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7" min="2" style="0" width="14"/>
  </cols>
  <sheetData>
    <row r="1" customFormat="false" ht="15" hidden="false" customHeight="false" outlineLevel="0" collapsed="false">
      <c r="A1" s="1" t="s">
        <v>0</v>
      </c>
    </row>
    <row r="2" customFormat="false" ht="255" hidden="false" customHeight="true" outlineLevel="0" collapsed="false">
      <c r="A2" s="2" t="s">
        <v>1</v>
      </c>
      <c r="B2" s="2"/>
      <c r="C2" s="2"/>
      <c r="D2" s="2"/>
      <c r="E2" s="2"/>
      <c r="F2" s="2"/>
      <c r="G2" s="2"/>
    </row>
    <row r="4" customFormat="false" ht="15" hidden="false" customHeight="false" outlineLevel="0" collapsed="false">
      <c r="A4" s="1" t="s">
        <v>2</v>
      </c>
    </row>
    <row r="5" customFormat="false" ht="30" hidden="false" customHeight="true" outlineLevel="0" collapsed="false">
      <c r="A5" s="3"/>
      <c r="B5" s="4" t="s">
        <v>3</v>
      </c>
      <c r="C5" s="4" t="s">
        <v>4</v>
      </c>
      <c r="D5" s="4" t="s">
        <v>5</v>
      </c>
      <c r="E5" s="4" t="s">
        <v>6</v>
      </c>
      <c r="F5" s="4" t="s">
        <v>7</v>
      </c>
      <c r="G5" s="4" t="s">
        <v>8</v>
      </c>
    </row>
    <row r="6" customFormat="false" ht="15" hidden="false" customHeight="false" outlineLevel="0" collapsed="false">
      <c r="A6" s="5"/>
      <c r="B6" s="6" t="s">
        <v>9</v>
      </c>
      <c r="C6" s="6" t="s">
        <v>9</v>
      </c>
      <c r="D6" s="6" t="s">
        <v>9</v>
      </c>
      <c r="E6" s="6" t="s">
        <v>9</v>
      </c>
      <c r="F6" s="6" t="s">
        <v>9</v>
      </c>
      <c r="G6" s="6" t="s">
        <v>9</v>
      </c>
    </row>
    <row r="7" customFormat="false" ht="15" hidden="false" customHeight="false" outlineLevel="0" collapsed="false">
      <c r="A7" s="7" t="s">
        <v>10</v>
      </c>
      <c r="B7" s="8" t="str">
        <f aca="false">IF(Estimates!H4="","",TEXT(Estimates!D4,"0.000")&amp;IF(Estimates!H4&lt;0.01,"***",IF(Estimates!H4&lt;0.05,"**",IF(Estimates!H4&lt;0.1,"*",""))))</f>
        <v>-0.314</v>
      </c>
      <c r="C7" s="8" t="str">
        <f aca="false">IF(Estimates!H5="","",TEXT(Estimates!D5,"0.000")&amp;IF(Estimates!H5&lt;0.01,"***",IF(Estimates!H5&lt;0.05,"**",IF(Estimates!H5&lt;0.1,"*",""))))</f>
        <v>-0.221</v>
      </c>
      <c r="D7" s="8" t="str">
        <f aca="false">IF(Estimates!H6="","",TEXT(Estimates!D6,"0.000")&amp;IF(Estimates!H6&lt;0.01,"***",IF(Estimates!H6&lt;0.05,"**",IF(Estimates!H6&lt;0.1,"*",""))))</f>
        <v>-0.690**</v>
      </c>
      <c r="E7" s="8" t="str">
        <f aca="false">IF(Estimates!H7="","",TEXT(Estimates!D7,"0.000")&amp;IF(Estimates!H7&lt;0.01,"***",IF(Estimates!H7&lt;0.05,"**",IF(Estimates!H7&lt;0.1,"*",""))))</f>
        <v>-0.623**</v>
      </c>
      <c r="F7" s="8" t="str">
        <f aca="false">IF(Estimates!H8="","",TEXT(Estimates!D8,"0.000")&amp;IF(Estimates!H8&lt;0.01,"***",IF(Estimates!H8&lt;0.05,"**",IF(Estimates!H8&lt;0.1,"*",""))))</f>
        <v>-0.339*</v>
      </c>
      <c r="G7" s="8" t="str">
        <f aca="false">IF(Estimates!H9="","",TEXT(Estimates!D9,"0.000")&amp;IF(Estimates!H9&lt;0.01,"***",IF(Estimates!H9&lt;0.05,"**",IF(Estimates!H9&lt;0.1,"*",""))))</f>
        <v>-0.379*</v>
      </c>
    </row>
    <row r="8" customFormat="false" ht="15" hidden="false" customHeight="false" outlineLevel="0" collapsed="false">
      <c r="B8" s="8" t="str">
        <f aca="false">IF(Estimates!G4="","","("&amp;TEXT(Estimates!G4,"0.00")&amp;")")</f>
        <v>(-1.13)</v>
      </c>
      <c r="C8" s="8" t="str">
        <f aca="false">IF(Estimates!G5="","","("&amp;TEXT(Estimates!G5,"0.00")&amp;")")</f>
        <v>(-1.14)</v>
      </c>
      <c r="D8" s="8" t="str">
        <f aca="false">IF(Estimates!G6="","","("&amp;TEXT(Estimates!G6,"0.00")&amp;")")</f>
        <v>(-2.86)</v>
      </c>
      <c r="E8" s="8" t="str">
        <f aca="false">IF(Estimates!G7="","","("&amp;TEXT(Estimates!G7,"0.00")&amp;")")</f>
        <v>(-2.78)</v>
      </c>
      <c r="F8" s="8" t="str">
        <f aca="false">IF(Estimates!G8="","","("&amp;TEXT(Estimates!G8,"0.00")&amp;")")</f>
        <v>(-1.75)</v>
      </c>
      <c r="G8" s="8" t="str">
        <f aca="false">IF(Estimates!G9="","","("&amp;TEXT(Estimates!G9,"0.00")&amp;")")</f>
        <v>(-2.06)</v>
      </c>
    </row>
    <row r="9" customFormat="false" ht="15" hidden="false" customHeight="false" outlineLevel="0" collapsed="false">
      <c r="A9" s="7" t="s">
        <v>11</v>
      </c>
      <c r="B9" s="8" t="str">
        <f aca="false">IF(Estimates!H10="","",TEXT(Estimates!D10,"0.000")&amp;IF(Estimates!H10&lt;0.01,"***",IF(Estimates!H10&lt;0.05,"**",IF(Estimates!H10&lt;0.1,"*",""))))</f>
        <v>-0.332</v>
      </c>
      <c r="C9" s="8" t="str">
        <f aca="false">IF(Estimates!H11="","",TEXT(Estimates!D11,"0.000")&amp;IF(Estimates!H11&lt;0.01,"***",IF(Estimates!H11&lt;0.05,"**",IF(Estimates!H11&lt;0.1,"*",""))))</f>
        <v>-0.623</v>
      </c>
      <c r="D9" s="8" t="str">
        <f aca="false">IF(Estimates!H12="","",TEXT(Estimates!D12,"0.000")&amp;IF(Estimates!H12&lt;0.01,"***",IF(Estimates!H12&lt;0.05,"**",IF(Estimates!H12&lt;0.1,"*",""))))</f>
        <v>0.385</v>
      </c>
      <c r="E9" s="8" t="str">
        <f aca="false">IF(Estimates!H13="","",TEXT(Estimates!D13,"0.000")&amp;IF(Estimates!H13&lt;0.01,"***",IF(Estimates!H13&lt;0.05,"**",IF(Estimates!H13&lt;0.1,"*",""))))</f>
        <v>0.622*</v>
      </c>
      <c r="F9" s="8" t="str">
        <f aca="false">IF(Estimates!H14="","",TEXT(Estimates!D14,"0.000")&amp;IF(Estimates!H14&lt;0.01,"***",IF(Estimates!H14&lt;0.05,"**",IF(Estimates!H14&lt;0.1,"*",""))))</f>
        <v>-0.975**</v>
      </c>
      <c r="G9" s="8" t="str">
        <f aca="false">IF(Estimates!H15="","",TEXT(Estimates!D15,"0.000")&amp;IF(Estimates!H15&lt;0.01,"***",IF(Estimates!H15&lt;0.05,"**",IF(Estimates!H15&lt;0.1,"*",""))))</f>
        <v>-0.902***</v>
      </c>
    </row>
    <row r="10" customFormat="false" ht="15" hidden="false" customHeight="false" outlineLevel="0" collapsed="false">
      <c r="B10" s="8" t="str">
        <f aca="false">IF(Estimates!G10="","","("&amp;TEXT(Estimates!G10,"0.00")&amp;")")</f>
        <v>(-1.17)</v>
      </c>
      <c r="C10" s="8" t="str">
        <f aca="false">IF(Estimates!G11="","","("&amp;TEXT(Estimates!G11,"0.00")&amp;")")</f>
        <v>(-1.39)</v>
      </c>
      <c r="D10" s="8" t="str">
        <f aca="false">IF(Estimates!G12="","","("&amp;TEXT(Estimates!G12,"0.00")&amp;")")</f>
        <v>(1.44)</v>
      </c>
      <c r="E10" s="8" t="str">
        <f aca="false">IF(Estimates!G13="","","("&amp;TEXT(Estimates!G13,"0.00")&amp;")")</f>
        <v>(2.01)</v>
      </c>
      <c r="F10" s="8" t="str">
        <f aca="false">IF(Estimates!G14="","","("&amp;TEXT(Estimates!G14,"0.00")&amp;")")</f>
        <v>(-2.42)</v>
      </c>
      <c r="G10" s="8" t="str">
        <f aca="false">IF(Estimates!G15="","","("&amp;TEXT(Estimates!G15,"0.00")&amp;")")</f>
        <v>(-4.60)</v>
      </c>
    </row>
    <row r="11" customFormat="false" ht="15" hidden="false" customHeight="false" outlineLevel="0" collapsed="false">
      <c r="A11" s="7" t="s">
        <v>12</v>
      </c>
      <c r="B11" s="8" t="str">
        <f aca="false">IF(Estimates!H16="","",TEXT(Estimates!D16,"0.000")&amp;IF(Estimates!H16&lt;0.01,"***",IF(Estimates!H16&lt;0.05,"**",IF(Estimates!H16&lt;0.1,"*",""))))</f>
        <v>0.096</v>
      </c>
      <c r="C11" s="8" t="str">
        <f aca="false">IF(Estimates!H17="","",TEXT(Estimates!D17,"0.000")&amp;IF(Estimates!H17&lt;0.01,"***",IF(Estimates!H17&lt;0.05,"**",IF(Estimates!H17&lt;0.1,"*",""))))</f>
        <v>0.222</v>
      </c>
      <c r="D11" s="8" t="str">
        <f aca="false">IF(Estimates!H18="","",TEXT(Estimates!D18,"0.000")&amp;IF(Estimates!H18&lt;0.01,"***",IF(Estimates!H18&lt;0.05,"**",IF(Estimates!H18&lt;0.1,"*",""))))</f>
        <v>-0.067</v>
      </c>
      <c r="E11" s="8" t="str">
        <f aca="false">IF(Estimates!H19="","",TEXT(Estimates!D19,"0.000")&amp;IF(Estimates!H19&lt;0.01,"***",IF(Estimates!H19&lt;0.05,"**",IF(Estimates!H19&lt;0.1,"*",""))))</f>
        <v>-0.061</v>
      </c>
      <c r="F11" s="8" t="str">
        <f aca="false">IF(Estimates!H20="","",TEXT(Estimates!D20,"0.000")&amp;IF(Estimates!H20&lt;0.01,"***",IF(Estimates!H20&lt;0.05,"**",IF(Estimates!H20&lt;0.1,"*",""))))</f>
        <v>0.543*</v>
      </c>
      <c r="G11" s="8" t="str">
        <f aca="false">IF(Estimates!H21="","",TEXT(Estimates!D21,"0.000")&amp;IF(Estimates!H21&lt;0.01,"***",IF(Estimates!H21&lt;0.05,"**",IF(Estimates!H21&lt;0.1,"*",""))))</f>
        <v>0.191</v>
      </c>
    </row>
    <row r="12" customFormat="false" ht="15" hidden="false" customHeight="false" outlineLevel="0" collapsed="false">
      <c r="B12" s="8" t="str">
        <f aca="false">IF(Estimates!G16="","","("&amp;TEXT(Estimates!G16,"0.00")&amp;")")</f>
        <v>(0.54)</v>
      </c>
      <c r="C12" s="8" t="str">
        <f aca="false">IF(Estimates!G17="","","("&amp;TEXT(Estimates!G17,"0.00")&amp;")")</f>
        <v>(0.72)</v>
      </c>
      <c r="D12" s="8" t="str">
        <f aca="false">IF(Estimates!G18="","","("&amp;TEXT(Estimates!G18,"0.00")&amp;")")</f>
        <v>(-0.42)</v>
      </c>
      <c r="E12" s="8" t="str">
        <f aca="false">IF(Estimates!G19="","","("&amp;TEXT(Estimates!G19,"0.00")&amp;")")</f>
        <v>(-0.36)</v>
      </c>
      <c r="F12" s="8" t="str">
        <f aca="false">IF(Estimates!G20="","","("&amp;TEXT(Estimates!G20,"0.00")&amp;")")</f>
        <v>(1.88)</v>
      </c>
      <c r="G12" s="8" t="str">
        <f aca="false">IF(Estimates!G21="","","("&amp;TEXT(Estimates!G21,"0.00")&amp;")")</f>
        <v>(0.92)</v>
      </c>
    </row>
    <row r="14" customFormat="false" ht="15" hidden="false" customHeight="false" outlineLevel="0" collapsed="false">
      <c r="A14" s="9" t="s">
        <v>13</v>
      </c>
      <c r="B14" s="10" t="str">
        <f aca="false">IF(Estimates!H22="","",TEXT(Estimates!D22,"0.000")&amp;IF(Estimates!H22&lt;0.01,"***",IF(Estimates!H22&lt;0.05,"**",IF(Estimates!H22&lt;0.1,"*",""))))</f>
        <v>-0.646***</v>
      </c>
      <c r="C14" s="10" t="str">
        <f aca="false">IF(Estimates!H23="","",TEXT(Estimates!D23,"0.000")&amp;IF(Estimates!H23&lt;0.01,"***",IF(Estimates!H23&lt;0.05,"**",IF(Estimates!H23&lt;0.1,"*",""))))</f>
        <v>-0.844**</v>
      </c>
      <c r="D14" s="10" t="str">
        <f aca="false">IF(Estimates!H24="","",TEXT(Estimates!D24,"0.000")&amp;IF(Estimates!H24&lt;0.01,"***",IF(Estimates!H24&lt;0.05,"**",IF(Estimates!H24&lt;0.1,"*",""))))</f>
        <v>-0.305</v>
      </c>
      <c r="E14" s="10" t="str">
        <f aca="false">IF(Estimates!H25="","",TEXT(Estimates!D25,"0.000")&amp;IF(Estimates!H25&lt;0.01,"***",IF(Estimates!H25&lt;0.05,"**",IF(Estimates!H25&lt;0.1,"*",""))))</f>
        <v>-0.002</v>
      </c>
      <c r="F14" s="10" t="str">
        <f aca="false">IF(Estimates!H26="","",TEXT(Estimates!D26,"0.000")&amp;IF(Estimates!H26&lt;0.01,"***",IF(Estimates!H26&lt;0.05,"**",IF(Estimates!H26&lt;0.1,"*",""))))</f>
        <v>-1.314***</v>
      </c>
      <c r="G14" s="10" t="str">
        <f aca="false">IF(Estimates!H27="","",TEXT(Estimates!D27,"0.000")&amp;IF(Estimates!H27&lt;0.01,"***",IF(Estimates!H27&lt;0.05,"**",IF(Estimates!H27&lt;0.1,"*",""))))</f>
        <v>-1.281***</v>
      </c>
    </row>
    <row r="15" customFormat="false" ht="15" hidden="false" customHeight="false" outlineLevel="0" collapsed="false">
      <c r="B15" s="10" t="str">
        <f aca="false">IF(Estimates!G22="","","("&amp;TEXT(Estimates!G22,"0.00")&amp;")")</f>
        <v>(-3.29)</v>
      </c>
      <c r="C15" s="10" t="str">
        <f aca="false">IF(Estimates!G23="","","("&amp;TEXT(Estimates!G23,"0.00")&amp;")")</f>
        <v>(-2.22)</v>
      </c>
      <c r="D15" s="10" t="str">
        <f aca="false">IF(Estimates!G24="","","("&amp;TEXT(Estimates!G24,"0.00")&amp;")")</f>
        <v>(-1.48)</v>
      </c>
      <c r="E15" s="10" t="str">
        <f aca="false">IF(Estimates!G25="","","("&amp;TEXT(Estimates!G25,"0.00")&amp;")")</f>
        <v>(-0.01)</v>
      </c>
      <c r="F15" s="10" t="str">
        <f aca="false">IF(Estimates!G26="","","("&amp;TEXT(Estimates!G26,"0.00")&amp;")")</f>
        <v>(-3.69)</v>
      </c>
      <c r="G15" s="10" t="str">
        <f aca="false">IF(Estimates!G27="","","("&amp;TEXT(Estimates!G27,"0.00")&amp;")")</f>
        <v>(-4.86)</v>
      </c>
    </row>
    <row r="17" customFormat="false" ht="15" hidden="false" customHeight="false" outlineLevel="0" collapsed="false">
      <c r="A17" s="7" t="s">
        <v>14</v>
      </c>
      <c r="B17" s="11" t="n">
        <v>1407</v>
      </c>
      <c r="C17" s="11" t="n">
        <v>1475</v>
      </c>
      <c r="D17" s="11" t="n">
        <v>1478</v>
      </c>
      <c r="E17" s="11" t="n">
        <v>1478</v>
      </c>
      <c r="F17" s="11" t="n">
        <v>1463</v>
      </c>
      <c r="G17" s="11" t="n">
        <v>1478</v>
      </c>
    </row>
    <row r="18" customFormat="false" ht="15" hidden="false" customHeight="false" outlineLevel="0" collapsed="false">
      <c r="A18" s="7" t="s">
        <v>15</v>
      </c>
      <c r="B18" s="12" t="n">
        <v>0.0777998951545735</v>
      </c>
      <c r="C18" s="12" t="n">
        <v>0.0724462914961391</v>
      </c>
      <c r="D18" s="12" t="n">
        <v>0.071173366973235</v>
      </c>
      <c r="E18" s="12" t="n">
        <v>0.0719116769241062</v>
      </c>
      <c r="F18" s="12" t="n">
        <v>0.0764911717642705</v>
      </c>
      <c r="G18" s="12" t="n">
        <v>0.0730372514186866</v>
      </c>
    </row>
    <row r="19" customFormat="false" ht="15" hidden="false" customHeight="false" outlineLevel="0" collapsed="false">
      <c r="A19" s="7" t="s">
        <v>16</v>
      </c>
      <c r="B19" s="13" t="s">
        <v>17</v>
      </c>
      <c r="C19" s="13" t="s">
        <v>17</v>
      </c>
      <c r="D19" s="13" t="s">
        <v>17</v>
      </c>
      <c r="E19" s="13" t="s">
        <v>17</v>
      </c>
      <c r="F19" s="13" t="s">
        <v>17</v>
      </c>
      <c r="G19" s="13" t="s">
        <v>17</v>
      </c>
    </row>
    <row r="20" customFormat="false" ht="15" hidden="false" customHeight="false" outlineLevel="0" collapsed="false">
      <c r="A20" s="14" t="s">
        <v>18</v>
      </c>
      <c r="B20" s="6" t="s">
        <v>17</v>
      </c>
      <c r="C20" s="6" t="s">
        <v>17</v>
      </c>
      <c r="D20" s="6" t="s">
        <v>17</v>
      </c>
      <c r="E20" s="6" t="s">
        <v>17</v>
      </c>
      <c r="F20" s="6" t="s">
        <v>17</v>
      </c>
      <c r="G20" s="6" t="s">
        <v>17</v>
      </c>
    </row>
    <row r="23" customFormat="false" ht="15" hidden="false" customHeight="false" outlineLevel="0" collapsed="false">
      <c r="A23" s="1" t="s">
        <v>19</v>
      </c>
    </row>
    <row r="24" customFormat="false" ht="30" hidden="false" customHeight="true" outlineLevel="0" collapsed="false">
      <c r="A24" s="3"/>
      <c r="B24" s="4" t="s">
        <v>3</v>
      </c>
      <c r="C24" s="4" t="s">
        <v>4</v>
      </c>
      <c r="D24" s="4" t="s">
        <v>5</v>
      </c>
      <c r="E24" s="4" t="s">
        <v>6</v>
      </c>
      <c r="F24" s="4" t="s">
        <v>7</v>
      </c>
      <c r="G24" s="4" t="s">
        <v>8</v>
      </c>
    </row>
    <row r="25" customFormat="false" ht="23.85" hidden="false" customHeight="false" outlineLevel="0" collapsed="false">
      <c r="A25" s="5"/>
      <c r="B25" s="6" t="s">
        <v>20</v>
      </c>
      <c r="C25" s="6" t="s">
        <v>20</v>
      </c>
      <c r="D25" s="6" t="s">
        <v>20</v>
      </c>
      <c r="E25" s="6" t="s">
        <v>20</v>
      </c>
      <c r="F25" s="6" t="s">
        <v>20</v>
      </c>
      <c r="G25" s="6" t="s">
        <v>20</v>
      </c>
    </row>
    <row r="26" customFormat="false" ht="15" hidden="false" customHeight="false" outlineLevel="0" collapsed="false">
      <c r="A26" s="7" t="s">
        <v>10</v>
      </c>
      <c r="B26" s="8" t="str">
        <f aca="false">IF(Estimates!H28="","",TEXT(Estimates!D28,"0.000")&amp;IF(Estimates!H28&lt;0.01,"***",IF(Estimates!H28&lt;0.05,"**",IF(Estimates!H28&lt;0.1,"*",""))))</f>
        <v>-0.236</v>
      </c>
      <c r="C26" s="8" t="str">
        <f aca="false">IF(Estimates!H29="","",TEXT(Estimates!D29,"0.000")&amp;IF(Estimates!H29&lt;0.01,"***",IF(Estimates!H29&lt;0.05,"**",IF(Estimates!H29&lt;0.1,"*",""))))</f>
        <v>-0.274*</v>
      </c>
      <c r="D26" s="8" t="str">
        <f aca="false">IF(Estimates!H30="","",TEXT(Estimates!D30,"0.000")&amp;IF(Estimates!H30&lt;0.01,"***",IF(Estimates!H30&lt;0.05,"**",IF(Estimates!H30&lt;0.1,"*",""))))</f>
        <v>-0.507**</v>
      </c>
      <c r="E26" s="8" t="str">
        <f aca="false">IF(Estimates!H31="","",TEXT(Estimates!D31,"0.000")&amp;IF(Estimates!H31&lt;0.01,"***",IF(Estimates!H31&lt;0.05,"**",IF(Estimates!H31&lt;0.1,"*",""))))</f>
        <v>-0.475***</v>
      </c>
      <c r="F26" s="8" t="str">
        <f aca="false">IF(Estimates!H32="","",TEXT(Estimates!D32,"0.000")&amp;IF(Estimates!H32&lt;0.01,"***",IF(Estimates!H32&lt;0.05,"**",IF(Estimates!H32&lt;0.1,"*",""))))</f>
        <v>-0.268*</v>
      </c>
      <c r="G26" s="8" t="str">
        <f aca="false">IF(Estimates!H33="","",TEXT(Estimates!D33,"0.000")&amp;IF(Estimates!H33&lt;0.01,"***",IF(Estimates!H33&lt;0.05,"**",IF(Estimates!H33&lt;0.1,"*",""))))</f>
        <v>-0.360**</v>
      </c>
    </row>
    <row r="27" customFormat="false" ht="15" hidden="false" customHeight="false" outlineLevel="0" collapsed="false">
      <c r="B27" s="8" t="str">
        <f aca="false">IF(Estimates!G28="","","("&amp;TEXT(Estimates!G28,"0.00")&amp;")")</f>
        <v>(-1.09)</v>
      </c>
      <c r="C27" s="8" t="str">
        <f aca="false">IF(Estimates!G29="","","("&amp;TEXT(Estimates!G29,"0.00")&amp;")")</f>
        <v>(-1.87)</v>
      </c>
      <c r="D27" s="8" t="str">
        <f aca="false">IF(Estimates!G30="","","("&amp;TEXT(Estimates!G30,"0.00")&amp;")")</f>
        <v>(-2.35)</v>
      </c>
      <c r="E27" s="8" t="str">
        <f aca="false">IF(Estimates!G31="","","("&amp;TEXT(Estimates!G31,"0.00")&amp;")")</f>
        <v>(-3.44)</v>
      </c>
      <c r="F27" s="8" t="str">
        <f aca="false">IF(Estimates!G32="","","("&amp;TEXT(Estimates!G32,"0.00")&amp;")")</f>
        <v>(-1.75)</v>
      </c>
      <c r="G27" s="8" t="str">
        <f aca="false">IF(Estimates!G33="","","("&amp;TEXT(Estimates!G33,"0.00")&amp;")")</f>
        <v>(-2.80)</v>
      </c>
    </row>
    <row r="28" customFormat="false" ht="15" hidden="false" customHeight="false" outlineLevel="0" collapsed="false">
      <c r="A28" s="7" t="s">
        <v>11</v>
      </c>
      <c r="B28" s="8" t="str">
        <f aca="false">IF(Estimates!H34="","",TEXT(Estimates!D34,"0.000")&amp;IF(Estimates!H34&lt;0.01,"***",IF(Estimates!H34&lt;0.05,"**",IF(Estimates!H34&lt;0.1,"*",""))))</f>
        <v>-0.358</v>
      </c>
      <c r="C28" s="8" t="str">
        <f aca="false">IF(Estimates!H35="","",TEXT(Estimates!D35,"0.000")&amp;IF(Estimates!H35&lt;0.01,"***",IF(Estimates!H35&lt;0.05,"**",IF(Estimates!H35&lt;0.1,"*",""))))</f>
        <v>-0.425**</v>
      </c>
      <c r="D28" s="8" t="str">
        <f aca="false">IF(Estimates!H36="","",TEXT(Estimates!D36,"0.000")&amp;IF(Estimates!H36&lt;0.01,"***",IF(Estimates!H36&lt;0.05,"**",IF(Estimates!H36&lt;0.1,"*",""))))</f>
        <v>0.101</v>
      </c>
      <c r="E28" s="8" t="str">
        <f aca="false">IF(Estimates!H37="","",TEXT(Estimates!D37,"0.000")&amp;IF(Estimates!H37&lt;0.01,"***",IF(Estimates!H37&lt;0.05,"**",IF(Estimates!H37&lt;0.1,"*",""))))</f>
        <v>0.101</v>
      </c>
      <c r="F28" s="8" t="str">
        <f aca="false">IF(Estimates!H38="","",TEXT(Estimates!D38,"0.000")&amp;IF(Estimates!H38&lt;0.01,"***",IF(Estimates!H38&lt;0.05,"**",IF(Estimates!H38&lt;0.1,"*",""))))</f>
        <v>-0.925***</v>
      </c>
      <c r="G28" s="8" t="str">
        <f aca="false">IF(Estimates!H39="","",TEXT(Estimates!D39,"0.000")&amp;IF(Estimates!H39&lt;0.01,"***",IF(Estimates!H39&lt;0.05,"**",IF(Estimates!H39&lt;0.1,"*",""))))</f>
        <v>-0.876*</v>
      </c>
    </row>
    <row r="29" customFormat="false" ht="15" hidden="false" customHeight="false" outlineLevel="0" collapsed="false">
      <c r="B29" s="8" t="str">
        <f aca="false">IF(Estimates!G34="","","("&amp;TEXT(Estimates!G34,"0.00")&amp;")")</f>
        <v>(-1.39)</v>
      </c>
      <c r="C29" s="8" t="str">
        <f aca="false">IF(Estimates!G35="","","("&amp;TEXT(Estimates!G35,"0.00")&amp;")")</f>
        <v>(-2.45)</v>
      </c>
      <c r="D29" s="8" t="str">
        <f aca="false">IF(Estimates!G36="","","("&amp;TEXT(Estimates!G36,"0.00")&amp;")")</f>
        <v>(0.34)</v>
      </c>
      <c r="E29" s="8" t="str">
        <f aca="false">IF(Estimates!G37="","","("&amp;TEXT(Estimates!G37,"0.00")&amp;")")</f>
        <v>(0.40)</v>
      </c>
      <c r="F29" s="8" t="str">
        <f aca="false">IF(Estimates!G38="","","("&amp;TEXT(Estimates!G38,"0.00")&amp;")")</f>
        <v>(-3.53)</v>
      </c>
      <c r="G29" s="8" t="str">
        <f aca="false">IF(Estimates!G39="","","("&amp;TEXT(Estimates!G39,"0.00")&amp;")")</f>
        <v>(-2.07)</v>
      </c>
    </row>
    <row r="30" customFormat="false" ht="15" hidden="false" customHeight="false" outlineLevel="0" collapsed="false">
      <c r="A30" s="7" t="s">
        <v>12</v>
      </c>
      <c r="B30" s="8" t="str">
        <f aca="false">IF(Estimates!H40="","",TEXT(Estimates!D40,"0.000")&amp;IF(Estimates!H40&lt;0.01,"***",IF(Estimates!H40&lt;0.05,"**",IF(Estimates!H40&lt;0.1,"*",""))))</f>
        <v>0.226</v>
      </c>
      <c r="C30" s="8" t="str">
        <f aca="false">IF(Estimates!H41="","",TEXT(Estimates!D41,"0.000")&amp;IF(Estimates!H41&lt;0.01,"***",IF(Estimates!H41&lt;0.05,"**",IF(Estimates!H41&lt;0.1,"*",""))))</f>
        <v>0.151</v>
      </c>
      <c r="D30" s="8" t="str">
        <f aca="false">IF(Estimates!H42="","",TEXT(Estimates!D42,"0.000")&amp;IF(Estimates!H42&lt;0.01,"***",IF(Estimates!H42&lt;0.05,"**",IF(Estimates!H42&lt;0.1,"*",""))))</f>
        <v>0.059</v>
      </c>
      <c r="E30" s="8" t="str">
        <f aca="false">IF(Estimates!H43="","",TEXT(Estimates!D43,"0.000")&amp;IF(Estimates!H43&lt;0.01,"***",IF(Estimates!H43&lt;0.05,"**",IF(Estimates!H43&lt;0.1,"*",""))))</f>
        <v>-0.216</v>
      </c>
      <c r="F30" s="8" t="str">
        <f aca="false">IF(Estimates!H44="","",TEXT(Estimates!D44,"0.000")&amp;IF(Estimates!H44&lt;0.01,"***",IF(Estimates!H44&lt;0.05,"**",IF(Estimates!H44&lt;0.1,"*",""))))</f>
        <v>0.463**</v>
      </c>
      <c r="G30" s="8" t="str">
        <f aca="false">IF(Estimates!H45="","",TEXT(Estimates!D45,"0.000")&amp;IF(Estimates!H45&lt;0.01,"***",IF(Estimates!H45&lt;0.05,"**",IF(Estimates!H45&lt;0.1,"*",""))))</f>
        <v>-0.085</v>
      </c>
    </row>
    <row r="31" customFormat="false" ht="15" hidden="false" customHeight="false" outlineLevel="0" collapsed="false">
      <c r="B31" s="8" t="str">
        <f aca="false">IF(Estimates!G40="","","("&amp;TEXT(Estimates!G40,"0.00")&amp;")")</f>
        <v>(1.14)</v>
      </c>
      <c r="C31" s="8" t="str">
        <f aca="false">IF(Estimates!G41="","","("&amp;TEXT(Estimates!G41,"0.00")&amp;")")</f>
        <v>(0.73)</v>
      </c>
      <c r="D31" s="8" t="str">
        <f aca="false">IF(Estimates!G42="","","("&amp;TEXT(Estimates!G42,"0.00")&amp;")")</f>
        <v>(0.67)</v>
      </c>
      <c r="E31" s="8" t="str">
        <f aca="false">IF(Estimates!G43="","","("&amp;TEXT(Estimates!G43,"0.00")&amp;")")</f>
        <v>(-1.50)</v>
      </c>
      <c r="F31" s="8" t="str">
        <f aca="false">IF(Estimates!G44="","","("&amp;TEXT(Estimates!G44,"0.00")&amp;")")</f>
        <v>(2.12)</v>
      </c>
      <c r="G31" s="8" t="str">
        <f aca="false">IF(Estimates!G45="","","("&amp;TEXT(Estimates!G45,"0.00")&amp;")")</f>
        <v>(-0.55)</v>
      </c>
    </row>
    <row r="33" customFormat="false" ht="15" hidden="false" customHeight="false" outlineLevel="0" collapsed="false">
      <c r="A33" s="9" t="s">
        <v>13</v>
      </c>
      <c r="B33" s="10" t="str">
        <f aca="false">IF(Estimates!H46="","",TEXT(Estimates!D46,"0.000")&amp;IF(Estimates!H46&lt;0.01,"***",IF(Estimates!H46&lt;0.05,"**",IF(Estimates!H46&lt;0.1,"*",""))))</f>
        <v>-0.594***</v>
      </c>
      <c r="C33" s="10" t="str">
        <f aca="false">IF(Estimates!H47="","",TEXT(Estimates!D47,"0.000")&amp;IF(Estimates!H47&lt;0.01,"***",IF(Estimates!H47&lt;0.05,"**",IF(Estimates!H47&lt;0.1,"*",""))))</f>
        <v>-0.699***</v>
      </c>
      <c r="D33" s="10" t="str">
        <f aca="false">IF(Estimates!H48="","",TEXT(Estimates!D48,"0.000")&amp;IF(Estimates!H48&lt;0.01,"***",IF(Estimates!H48&lt;0.05,"**",IF(Estimates!H48&lt;0.1,"*",""))))</f>
        <v>-0.406**</v>
      </c>
      <c r="E33" s="10" t="str">
        <f aca="false">IF(Estimates!H49="","",TEXT(Estimates!D49,"0.000")&amp;IF(Estimates!H49&lt;0.01,"***",IF(Estimates!H49&lt;0.05,"**",IF(Estimates!H49&lt;0.1,"*",""))))</f>
        <v>-0.374</v>
      </c>
      <c r="F33" s="10" t="str">
        <f aca="false">IF(Estimates!H50="","",TEXT(Estimates!D50,"0.000")&amp;IF(Estimates!H50&lt;0.01,"***",IF(Estimates!H50&lt;0.05,"**",IF(Estimates!H50&lt;0.1,"*",""))))</f>
        <v>-1.193***</v>
      </c>
      <c r="G33" s="10" t="str">
        <f aca="false">IF(Estimates!H51="","",TEXT(Estimates!D51,"0.000")&amp;IF(Estimates!H51&lt;0.01,"***",IF(Estimates!H51&lt;0.05,"**",IF(Estimates!H51&lt;0.1,"*",""))))</f>
        <v>-1.236***</v>
      </c>
    </row>
    <row r="34" customFormat="false" ht="15" hidden="false" customHeight="false" outlineLevel="0" collapsed="false">
      <c r="B34" s="10" t="str">
        <f aca="false">IF(Estimates!G46="","","("&amp;TEXT(Estimates!G46,"0.00")&amp;")")</f>
        <v>(-3.82)</v>
      </c>
      <c r="C34" s="10" t="str">
        <f aca="false">IF(Estimates!G47="","","("&amp;TEXT(Estimates!G47,"0.00")&amp;")")</f>
        <v>(-4.15)</v>
      </c>
      <c r="D34" s="10" t="str">
        <f aca="false">IF(Estimates!G48="","","("&amp;TEXT(Estimates!G48,"0.00")&amp;")")</f>
        <v>(-2.34)</v>
      </c>
      <c r="E34" s="10" t="str">
        <f aca="false">IF(Estimates!G49="","","("&amp;TEXT(Estimates!G49,"0.00")&amp;")")</f>
        <v>(-1.51)</v>
      </c>
      <c r="F34" s="10" t="str">
        <f aca="false">IF(Estimates!G50="","","("&amp;TEXT(Estimates!G50,"0.00")&amp;")")</f>
        <v>(-6.86)</v>
      </c>
      <c r="G34" s="10" t="str">
        <f aca="false">IF(Estimates!G51="","","("&amp;TEXT(Estimates!G51,"0.00")&amp;")")</f>
        <v>(-3.22)</v>
      </c>
    </row>
    <row r="36" customFormat="false" ht="15" hidden="false" customHeight="false" outlineLevel="0" collapsed="false">
      <c r="A36" s="7" t="s">
        <v>14</v>
      </c>
      <c r="B36" s="11" t="n">
        <v>1244</v>
      </c>
      <c r="C36" s="11" t="n">
        <v>1310</v>
      </c>
      <c r="D36" s="11" t="n">
        <v>1313</v>
      </c>
      <c r="E36" s="11" t="n">
        <v>1313</v>
      </c>
      <c r="F36" s="11" t="n">
        <v>1300</v>
      </c>
      <c r="G36" s="11" t="n">
        <v>1313</v>
      </c>
    </row>
    <row r="37" customFormat="false" ht="15" hidden="false" customHeight="false" outlineLevel="0" collapsed="false">
      <c r="A37" s="7" t="s">
        <v>15</v>
      </c>
      <c r="B37" s="12" t="n">
        <v>0.164496747493566</v>
      </c>
      <c r="C37" s="12" t="n">
        <v>0.167161826410431</v>
      </c>
      <c r="D37" s="12" t="n">
        <v>0.166978536599095</v>
      </c>
      <c r="E37" s="12" t="n">
        <v>0.166951816645617</v>
      </c>
      <c r="F37" s="12" t="n">
        <v>0.171478884924043</v>
      </c>
      <c r="G37" s="12" t="n">
        <v>0.169836028421684</v>
      </c>
    </row>
    <row r="38" customFormat="false" ht="15" hidden="false" customHeight="false" outlineLevel="0" collapsed="false">
      <c r="A38" s="7" t="s">
        <v>16</v>
      </c>
      <c r="B38" s="13" t="s">
        <v>17</v>
      </c>
      <c r="C38" s="13" t="s">
        <v>17</v>
      </c>
      <c r="D38" s="13" t="s">
        <v>17</v>
      </c>
      <c r="E38" s="13" t="s">
        <v>17</v>
      </c>
      <c r="F38" s="13" t="s">
        <v>17</v>
      </c>
      <c r="G38" s="13" t="s">
        <v>17</v>
      </c>
    </row>
    <row r="39" customFormat="false" ht="15" hidden="false" customHeight="false" outlineLevel="0" collapsed="false">
      <c r="A39" s="14" t="s">
        <v>18</v>
      </c>
      <c r="B39" s="6" t="s">
        <v>17</v>
      </c>
      <c r="C39" s="6" t="s">
        <v>17</v>
      </c>
      <c r="D39" s="6" t="s">
        <v>17</v>
      </c>
      <c r="E39" s="6" t="s">
        <v>17</v>
      </c>
      <c r="F39" s="6" t="s">
        <v>17</v>
      </c>
      <c r="G39" s="6" t="s">
        <v>17</v>
      </c>
    </row>
    <row r="42" customFormat="false" ht="15" hidden="false" customHeight="false" outlineLevel="0" collapsed="false">
      <c r="A42" s="15" t="s">
        <v>21</v>
      </c>
      <c r="B42" s="15"/>
      <c r="C42" s="15"/>
      <c r="D42" s="15"/>
      <c r="E42" s="15"/>
      <c r="F42" s="15"/>
      <c r="G42" s="15"/>
    </row>
  </sheetData>
  <mergeCells count="2">
    <mergeCell ref="A2:G2"/>
    <mergeCell ref="A42:G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36"/>
  </cols>
  <sheetData>
    <row r="1" customFormat="false" ht="15" hidden="false" customHeight="false" outlineLevel="0" collapsed="false">
      <c r="A1" s="9" t="s">
        <v>22</v>
      </c>
    </row>
    <row r="3" customFormat="false" ht="15" hidden="false" customHeight="false" outlineLevel="0" collapsed="false">
      <c r="A3" s="1" t="s">
        <v>23</v>
      </c>
      <c r="B3" s="1" t="s">
        <v>24</v>
      </c>
      <c r="C3" s="1" t="s">
        <v>25</v>
      </c>
      <c r="D3" s="1" t="s">
        <v>26</v>
      </c>
      <c r="E3" s="1" t="s">
        <v>27</v>
      </c>
      <c r="F3" s="1" t="s">
        <v>28</v>
      </c>
      <c r="G3" s="1" t="s">
        <v>29</v>
      </c>
      <c r="H3" s="1" t="s">
        <v>30</v>
      </c>
    </row>
    <row r="4" customFormat="false" ht="15" hidden="false" customHeight="false" outlineLevel="0" collapsed="false">
      <c r="A4" s="7" t="s">
        <v>31</v>
      </c>
      <c r="B4" s="7" t="s">
        <v>32</v>
      </c>
      <c r="C4" s="7" t="s">
        <v>10</v>
      </c>
      <c r="D4" s="16" t="n">
        <v>-0.313700526442602</v>
      </c>
      <c r="E4" s="16" t="n">
        <v>0.277834139155147</v>
      </c>
      <c r="F4" s="17" t="n">
        <v>19</v>
      </c>
      <c r="G4" s="18" t="n">
        <f aca="false">IF(AND(ISNUMBER(D4),E4&gt;0),D4/E4,"")</f>
        <v>-1.12909280118174</v>
      </c>
      <c r="H4" s="18" t="n">
        <f aca="false">IF(G4="","",TDIST(ABS(G4),F4-1,2))</f>
        <v>0.27368227545357</v>
      </c>
    </row>
    <row r="5" customFormat="false" ht="15" hidden="false" customHeight="false" outlineLevel="0" collapsed="false">
      <c r="A5" s="7" t="s">
        <v>33</v>
      </c>
      <c r="B5" s="7" t="s">
        <v>32</v>
      </c>
      <c r="C5" s="7" t="s">
        <v>10</v>
      </c>
      <c r="D5" s="16" t="n">
        <v>-0.221065482000623</v>
      </c>
      <c r="E5" s="16" t="n">
        <v>0.194442102665105</v>
      </c>
      <c r="F5" s="17" t="n">
        <v>19</v>
      </c>
      <c r="G5" s="18" t="n">
        <f aca="false">IF(AND(ISNUMBER(D5),E5&gt;0),D5/E5,"")</f>
        <v>-1.13692188559271</v>
      </c>
      <c r="H5" s="18" t="n">
        <f aca="false">IF(G5="","",TDIST(ABS(G5),F5-1,2))</f>
        <v>0.27048041938156</v>
      </c>
    </row>
    <row r="6" customFormat="false" ht="15" hidden="false" customHeight="false" outlineLevel="0" collapsed="false">
      <c r="A6" s="7" t="s">
        <v>34</v>
      </c>
      <c r="B6" s="7" t="s">
        <v>32</v>
      </c>
      <c r="C6" s="7" t="s">
        <v>10</v>
      </c>
      <c r="D6" s="16" t="n">
        <v>-0.690180994494147</v>
      </c>
      <c r="E6" s="16" t="n">
        <v>0.241343502970069</v>
      </c>
      <c r="F6" s="17" t="n">
        <v>19</v>
      </c>
      <c r="G6" s="18" t="n">
        <f aca="false">IF(AND(ISNUMBER(D6),E6&gt;0),D6/E6,"")</f>
        <v>-2.85974549138678</v>
      </c>
      <c r="H6" s="18" t="n">
        <f aca="false">IF(G6="","",TDIST(ABS(G6),F6-1,2))</f>
        <v>0.0104110554729896</v>
      </c>
    </row>
    <row r="7" customFormat="false" ht="15" hidden="false" customHeight="false" outlineLevel="0" collapsed="false">
      <c r="A7" s="7" t="s">
        <v>35</v>
      </c>
      <c r="B7" s="7" t="s">
        <v>32</v>
      </c>
      <c r="C7" s="7" t="s">
        <v>10</v>
      </c>
      <c r="D7" s="16" t="n">
        <v>-0.62326381213097</v>
      </c>
      <c r="E7" s="16" t="n">
        <v>0.224102490448281</v>
      </c>
      <c r="F7" s="17" t="n">
        <v>19</v>
      </c>
      <c r="G7" s="18" t="n">
        <f aca="false">IF(AND(ISNUMBER(D7),E7&gt;0),D7/E7,"")</f>
        <v>-2.78115522448783</v>
      </c>
      <c r="H7" s="18" t="n">
        <f aca="false">IF(G7="","",TDIST(ABS(G7),F7-1,2))</f>
        <v>0.0123240915660033</v>
      </c>
    </row>
    <row r="8" customFormat="false" ht="15" hidden="false" customHeight="false" outlineLevel="0" collapsed="false">
      <c r="A8" s="7" t="s">
        <v>36</v>
      </c>
      <c r="B8" s="7" t="s">
        <v>32</v>
      </c>
      <c r="C8" s="7" t="s">
        <v>10</v>
      </c>
      <c r="D8" s="16" t="n">
        <v>-0.338918133012792</v>
      </c>
      <c r="E8" s="16" t="n">
        <v>0.194205108771773</v>
      </c>
      <c r="F8" s="17" t="n">
        <v>19</v>
      </c>
      <c r="G8" s="18" t="n">
        <f aca="false">IF(AND(ISNUMBER(D8),E8&gt;0),D8/E8,"")</f>
        <v>-1.74515559943938</v>
      </c>
      <c r="H8" s="18" t="n">
        <f aca="false">IF(G8="","",TDIST(ABS(G8),F8-1,2))</f>
        <v>0.0980057570757696</v>
      </c>
    </row>
    <row r="9" customFormat="false" ht="15" hidden="false" customHeight="false" outlineLevel="0" collapsed="false">
      <c r="A9" s="7" t="s">
        <v>37</v>
      </c>
      <c r="B9" s="7" t="s">
        <v>32</v>
      </c>
      <c r="C9" s="7" t="s">
        <v>10</v>
      </c>
      <c r="D9" s="16" t="n">
        <v>-0.378898980860871</v>
      </c>
      <c r="E9" s="16" t="n">
        <v>0.18412671902892</v>
      </c>
      <c r="F9" s="17" t="n">
        <v>19</v>
      </c>
      <c r="G9" s="18" t="n">
        <f aca="false">IF(AND(ISNUMBER(D9),E9&gt;0),D9/E9,"")</f>
        <v>-2.05781639329249</v>
      </c>
      <c r="H9" s="18" t="n">
        <f aca="false">IF(G9="","",TDIST(ABS(G9),F9-1,2))</f>
        <v>0.0543886326033021</v>
      </c>
    </row>
    <row r="10" customFormat="false" ht="15" hidden="false" customHeight="false" outlineLevel="0" collapsed="false">
      <c r="A10" s="7" t="s">
        <v>31</v>
      </c>
      <c r="B10" s="7" t="s">
        <v>32</v>
      </c>
      <c r="C10" s="7" t="s">
        <v>11</v>
      </c>
      <c r="D10" s="16" t="n">
        <v>-0.332190182551794</v>
      </c>
      <c r="E10" s="16" t="n">
        <v>0.284605855988356</v>
      </c>
      <c r="F10" s="17" t="n">
        <v>19</v>
      </c>
      <c r="G10" s="18" t="n">
        <f aca="false">IF(AND(ISNUMBER(D10),E10&gt;0),D10/E10,"")</f>
        <v>-1.16719377188566</v>
      </c>
      <c r="H10" s="18" t="n">
        <f aca="false">IF(G10="","",TDIST(ABS(G10),F10-1,2))</f>
        <v>0.258362337409833</v>
      </c>
    </row>
    <row r="11" customFormat="false" ht="15" hidden="false" customHeight="false" outlineLevel="0" collapsed="false">
      <c r="A11" s="7" t="s">
        <v>33</v>
      </c>
      <c r="B11" s="7" t="s">
        <v>32</v>
      </c>
      <c r="C11" s="7" t="s">
        <v>11</v>
      </c>
      <c r="D11" s="16" t="n">
        <v>-0.622906760329124</v>
      </c>
      <c r="E11" s="16" t="n">
        <v>0.447681186042887</v>
      </c>
      <c r="F11" s="17" t="n">
        <v>19</v>
      </c>
      <c r="G11" s="18" t="n">
        <f aca="false">IF(AND(ISNUMBER(D11),E11&gt;0),D11/E11,"")</f>
        <v>-1.39140705428137</v>
      </c>
      <c r="H11" s="18" t="n">
        <f aca="false">IF(G11="","",TDIST(ABS(G11),F11-1,2))</f>
        <v>0.181061031630893</v>
      </c>
    </row>
    <row r="12" customFormat="false" ht="15" hidden="false" customHeight="false" outlineLevel="0" collapsed="false">
      <c r="A12" s="7" t="s">
        <v>34</v>
      </c>
      <c r="B12" s="7" t="s">
        <v>32</v>
      </c>
      <c r="C12" s="7" t="s">
        <v>11</v>
      </c>
      <c r="D12" s="16" t="n">
        <v>0.384737889731003</v>
      </c>
      <c r="E12" s="16" t="n">
        <v>0.268107866392617</v>
      </c>
      <c r="F12" s="17" t="n">
        <v>19</v>
      </c>
      <c r="G12" s="18" t="n">
        <f aca="false">IF(AND(ISNUMBER(D12),E12&gt;0),D12/E12,"")</f>
        <v>1.43501156794703</v>
      </c>
      <c r="H12" s="18" t="n">
        <f aca="false">IF(G12="","",TDIST(ABS(G12),F12-1,2))</f>
        <v>0.16843205301312</v>
      </c>
    </row>
    <row r="13" customFormat="false" ht="15" hidden="false" customHeight="false" outlineLevel="0" collapsed="false">
      <c r="A13" s="7" t="s">
        <v>35</v>
      </c>
      <c r="B13" s="7" t="s">
        <v>32</v>
      </c>
      <c r="C13" s="7" t="s">
        <v>11</v>
      </c>
      <c r="D13" s="16" t="n">
        <v>0.621637151156734</v>
      </c>
      <c r="E13" s="16" t="n">
        <v>0.308657653187377</v>
      </c>
      <c r="F13" s="17" t="n">
        <v>19</v>
      </c>
      <c r="G13" s="18" t="n">
        <f aca="false">IF(AND(ISNUMBER(D13),E13&gt;0),D13/E13,"")</f>
        <v>2.0140020658401</v>
      </c>
      <c r="H13" s="18" t="n">
        <f aca="false">IF(G13="","",TDIST(ABS(G13),F13-1,2))</f>
        <v>0.0592036546415444</v>
      </c>
    </row>
    <row r="14" customFormat="false" ht="15" hidden="false" customHeight="false" outlineLevel="0" collapsed="false">
      <c r="A14" s="7" t="s">
        <v>36</v>
      </c>
      <c r="B14" s="7" t="s">
        <v>32</v>
      </c>
      <c r="C14" s="7" t="s">
        <v>11</v>
      </c>
      <c r="D14" s="16" t="n">
        <v>-0.975229750926969</v>
      </c>
      <c r="E14" s="16" t="n">
        <v>0.40245284736948</v>
      </c>
      <c r="F14" s="17" t="n">
        <v>19</v>
      </c>
      <c r="G14" s="18" t="n">
        <f aca="false">IF(AND(ISNUMBER(D14),E14&gt;0),D14/E14,"")</f>
        <v>-2.42321493636158</v>
      </c>
      <c r="H14" s="18" t="n">
        <f aca="false">IF(G14="","",TDIST(ABS(G14),F14-1,2))</f>
        <v>0.0261487473451402</v>
      </c>
    </row>
    <row r="15" customFormat="false" ht="15" hidden="false" customHeight="false" outlineLevel="0" collapsed="false">
      <c r="A15" s="7" t="s">
        <v>37</v>
      </c>
      <c r="B15" s="7" t="s">
        <v>32</v>
      </c>
      <c r="C15" s="7" t="s">
        <v>11</v>
      </c>
      <c r="D15" s="16" t="n">
        <v>-0.901651876733165</v>
      </c>
      <c r="E15" s="16" t="n">
        <v>0.196103076484893</v>
      </c>
      <c r="F15" s="17" t="n">
        <v>19</v>
      </c>
      <c r="G15" s="18" t="n">
        <f aca="false">IF(AND(ISNUMBER(D15),E15&gt;0),D15/E15,"")</f>
        <v>-4.59784666765606</v>
      </c>
      <c r="H15" s="18" t="n">
        <f aca="false">IF(G15="","",TDIST(ABS(G15),F15-1,2))</f>
        <v>0.000223303644297568</v>
      </c>
    </row>
    <row r="16" customFormat="false" ht="15" hidden="false" customHeight="false" outlineLevel="0" collapsed="false">
      <c r="A16" s="7" t="s">
        <v>31</v>
      </c>
      <c r="B16" s="7" t="s">
        <v>32</v>
      </c>
      <c r="C16" s="7" t="s">
        <v>12</v>
      </c>
      <c r="D16" s="16" t="n">
        <v>0.0958080396388998</v>
      </c>
      <c r="E16" s="16" t="n">
        <v>0.176014036994307</v>
      </c>
      <c r="F16" s="17" t="n">
        <v>19</v>
      </c>
      <c r="G16" s="18" t="n">
        <f aca="false">IF(AND(ISNUMBER(D16),E16&gt;0),D16/E16,"")</f>
        <v>0.544320448953732</v>
      </c>
      <c r="H16" s="18" t="n">
        <f aca="false">IF(G16="","",TDIST(ABS(G16),F16-1,2))</f>
        <v>0.59290065953854</v>
      </c>
    </row>
    <row r="17" customFormat="false" ht="15" hidden="false" customHeight="false" outlineLevel="0" collapsed="false">
      <c r="A17" s="7" t="s">
        <v>33</v>
      </c>
      <c r="B17" s="7" t="s">
        <v>32</v>
      </c>
      <c r="C17" s="7" t="s">
        <v>12</v>
      </c>
      <c r="D17" s="16" t="n">
        <v>0.221578960235529</v>
      </c>
      <c r="E17" s="16" t="n">
        <v>0.307842411195463</v>
      </c>
      <c r="F17" s="17" t="n">
        <v>19</v>
      </c>
      <c r="G17" s="18" t="n">
        <f aca="false">IF(AND(ISNUMBER(D17),E17&gt;0),D17/E17,"")</f>
        <v>0.719780485655171</v>
      </c>
      <c r="H17" s="18" t="n">
        <f aca="false">IF(G17="","",TDIST(ABS(G17),F17-1,2))</f>
        <v>0.480902519396403</v>
      </c>
    </row>
    <row r="18" customFormat="false" ht="15" hidden="false" customHeight="false" outlineLevel="0" collapsed="false">
      <c r="A18" s="7" t="s">
        <v>34</v>
      </c>
      <c r="B18" s="7" t="s">
        <v>32</v>
      </c>
      <c r="C18" s="7" t="s">
        <v>12</v>
      </c>
      <c r="D18" s="16" t="n">
        <v>-0.0670463256211254</v>
      </c>
      <c r="E18" s="16" t="n">
        <v>0.161259866624896</v>
      </c>
      <c r="F18" s="17" t="n">
        <v>19</v>
      </c>
      <c r="G18" s="18" t="n">
        <f aca="false">IF(AND(ISNUMBER(D18),E18&gt;0),D18/E18,"")</f>
        <v>-0.415765726614922</v>
      </c>
      <c r="H18" s="18" t="n">
        <f aca="false">IF(G18="","",TDIST(ABS(G18),F18-1,2))</f>
        <v>0.682496113537036</v>
      </c>
    </row>
    <row r="19" customFormat="false" ht="15" hidden="false" customHeight="false" outlineLevel="0" collapsed="false">
      <c r="A19" s="7" t="s">
        <v>35</v>
      </c>
      <c r="B19" s="7" t="s">
        <v>32</v>
      </c>
      <c r="C19" s="7" t="s">
        <v>12</v>
      </c>
      <c r="D19" s="16" t="n">
        <v>-0.0607987958477018</v>
      </c>
      <c r="E19" s="16" t="n">
        <v>0.169926971937631</v>
      </c>
      <c r="F19" s="17" t="n">
        <v>19</v>
      </c>
      <c r="G19" s="18" t="n">
        <f aca="false">IF(AND(ISNUMBER(D19),E19&gt;0),D19/E19,"")</f>
        <v>-0.357793675450281</v>
      </c>
      <c r="H19" s="18" t="n">
        <f aca="false">IF(G19="","",TDIST(ABS(G19),F19-1,2))</f>
        <v>0.724658908234527</v>
      </c>
    </row>
    <row r="20" customFormat="false" ht="15" hidden="false" customHeight="false" outlineLevel="0" collapsed="false">
      <c r="A20" s="7" t="s">
        <v>36</v>
      </c>
      <c r="B20" s="7" t="s">
        <v>32</v>
      </c>
      <c r="C20" s="7" t="s">
        <v>12</v>
      </c>
      <c r="D20" s="16" t="n">
        <v>0.54311901558679</v>
      </c>
      <c r="E20" s="16" t="n">
        <v>0.288682994955958</v>
      </c>
      <c r="F20" s="17" t="n">
        <v>19</v>
      </c>
      <c r="G20" s="18" t="n">
        <f aca="false">IF(AND(ISNUMBER(D20),E20&gt;0),D20/E20,"")</f>
        <v>1.88136823116183</v>
      </c>
      <c r="H20" s="18" t="n">
        <f aca="false">IF(G20="","",TDIST(ABS(G20),F20-1,2))</f>
        <v>0.0761973742618887</v>
      </c>
    </row>
    <row r="21" customFormat="false" ht="15" hidden="false" customHeight="false" outlineLevel="0" collapsed="false">
      <c r="A21" s="7" t="s">
        <v>37</v>
      </c>
      <c r="B21" s="7" t="s">
        <v>32</v>
      </c>
      <c r="C21" s="7" t="s">
        <v>12</v>
      </c>
      <c r="D21" s="16" t="n">
        <v>0.190798363709216</v>
      </c>
      <c r="E21" s="16" t="n">
        <v>0.206571268863557</v>
      </c>
      <c r="F21" s="17" t="n">
        <v>19</v>
      </c>
      <c r="G21" s="18" t="n">
        <f aca="false">IF(AND(ISNUMBER(D21),E21&gt;0),D21/E21,"")</f>
        <v>0.923644245198689</v>
      </c>
      <c r="H21" s="18" t="n">
        <f aca="false">IF(G21="","",TDIST(ABS(G21),F21-1,2))</f>
        <v>0.367888358664151</v>
      </c>
    </row>
    <row r="22" customFormat="false" ht="15" hidden="false" customHeight="false" outlineLevel="0" collapsed="false">
      <c r="A22" s="7" t="s">
        <v>31</v>
      </c>
      <c r="B22" s="7" t="s">
        <v>32</v>
      </c>
      <c r="C22" s="7" t="s">
        <v>13</v>
      </c>
      <c r="D22" s="16" t="n">
        <v>-0.645890708994397</v>
      </c>
      <c r="E22" s="16" t="n">
        <v>0.196462281205739</v>
      </c>
      <c r="F22" s="17" t="n">
        <v>19</v>
      </c>
      <c r="G22" s="18" t="n">
        <f aca="false">IF(AND(ISNUMBER(D22),E22&gt;0),D22/E22,"")</f>
        <v>-3.28760668475599</v>
      </c>
      <c r="H22" s="18" t="n">
        <f aca="false">IF(G22="","",TDIST(ABS(G22),F22-1,2))</f>
        <v>0.0040916990437613</v>
      </c>
    </row>
    <row r="23" customFormat="false" ht="15" hidden="false" customHeight="false" outlineLevel="0" collapsed="false">
      <c r="A23" s="7" t="s">
        <v>33</v>
      </c>
      <c r="B23" s="7" t="s">
        <v>32</v>
      </c>
      <c r="C23" s="7" t="s">
        <v>13</v>
      </c>
      <c r="D23" s="16" t="n">
        <v>-0.843972242329747</v>
      </c>
      <c r="E23" s="16" t="n">
        <v>0.38006508541522</v>
      </c>
      <c r="F23" s="17" t="n">
        <v>19</v>
      </c>
      <c r="G23" s="18" t="n">
        <f aca="false">IF(AND(ISNUMBER(D23),E23&gt;0),D23/E23,"")</f>
        <v>-2.22059924659407</v>
      </c>
      <c r="H23" s="18" t="n">
        <f aca="false">IF(G23="","",TDIST(ABS(G23),F23-1,2))</f>
        <v>0.03945257570974</v>
      </c>
    </row>
    <row r="24" customFormat="false" ht="15" hidden="false" customHeight="false" outlineLevel="0" collapsed="false">
      <c r="A24" s="7" t="s">
        <v>34</v>
      </c>
      <c r="B24" s="7" t="s">
        <v>32</v>
      </c>
      <c r="C24" s="7" t="s">
        <v>13</v>
      </c>
      <c r="D24" s="16" t="n">
        <v>-0.305443104763144</v>
      </c>
      <c r="E24" s="16" t="n">
        <v>0.206081288029948</v>
      </c>
      <c r="F24" s="17" t="n">
        <v>19</v>
      </c>
      <c r="G24" s="18" t="n">
        <f aca="false">IF(AND(ISNUMBER(D24),E24&gt;0),D24/E24,"")</f>
        <v>-1.48214865931329</v>
      </c>
      <c r="H24" s="18" t="n">
        <f aca="false">IF(G24="","",TDIST(ABS(G24),F24-1,2))</f>
        <v>0.155596495326501</v>
      </c>
    </row>
    <row r="25" customFormat="false" ht="15" hidden="false" customHeight="false" outlineLevel="0" collapsed="false">
      <c r="A25" s="7" t="s">
        <v>35</v>
      </c>
      <c r="B25" s="7" t="s">
        <v>32</v>
      </c>
      <c r="C25" s="7" t="s">
        <v>13</v>
      </c>
      <c r="D25" s="16" t="n">
        <v>-0.00162666097423536</v>
      </c>
      <c r="E25" s="16" t="n">
        <v>0.270149979278147</v>
      </c>
      <c r="F25" s="17" t="n">
        <v>19</v>
      </c>
      <c r="G25" s="18" t="n">
        <f aca="false">IF(AND(ISNUMBER(D25),E25&gt;0),D25/E25,"")</f>
        <v>-0.00602132555620353</v>
      </c>
      <c r="H25" s="18" t="n">
        <f aca="false">IF(G25="","",TDIST(ABS(G25),F25-1,2))</f>
        <v>0.99526193925968</v>
      </c>
    </row>
    <row r="26" customFormat="false" ht="15" hidden="false" customHeight="false" outlineLevel="0" collapsed="false">
      <c r="A26" s="7" t="s">
        <v>36</v>
      </c>
      <c r="B26" s="7" t="s">
        <v>32</v>
      </c>
      <c r="C26" s="7" t="s">
        <v>13</v>
      </c>
      <c r="D26" s="16" t="n">
        <v>-1.31414788393976</v>
      </c>
      <c r="E26" s="16" t="n">
        <v>0.356130946320441</v>
      </c>
      <c r="F26" s="17" t="n">
        <v>19</v>
      </c>
      <c r="G26" s="18" t="n">
        <f aca="false">IF(AND(ISNUMBER(D26),E26&gt;0),D26/E26,"")</f>
        <v>-3.69006933409632</v>
      </c>
      <c r="H26" s="18" t="n">
        <f aca="false">IF(G26="","",TDIST(ABS(G26),F26-1,2))</f>
        <v>0.0016753038254639</v>
      </c>
    </row>
    <row r="27" customFormat="false" ht="15" hidden="false" customHeight="false" outlineLevel="0" collapsed="false">
      <c r="A27" s="7" t="s">
        <v>37</v>
      </c>
      <c r="B27" s="7" t="s">
        <v>32</v>
      </c>
      <c r="C27" s="7" t="s">
        <v>13</v>
      </c>
      <c r="D27" s="16" t="n">
        <v>-1.28055085759404</v>
      </c>
      <c r="E27" s="16" t="n">
        <v>0.263283669760591</v>
      </c>
      <c r="F27" s="17" t="n">
        <v>19</v>
      </c>
      <c r="G27" s="18" t="n">
        <f aca="false">IF(AND(ISNUMBER(D27),E27&gt;0),D27/E27,"")</f>
        <v>-4.8637686445136</v>
      </c>
      <c r="H27" s="18" t="n">
        <f aca="false">IF(G27="","",TDIST(ABS(G27),F27-1,2))</f>
        <v>0.000124787787455452</v>
      </c>
    </row>
    <row r="28" customFormat="false" ht="15" hidden="false" customHeight="false" outlineLevel="0" collapsed="false">
      <c r="A28" s="7" t="s">
        <v>31</v>
      </c>
      <c r="B28" s="7" t="s">
        <v>38</v>
      </c>
      <c r="C28" s="7" t="s">
        <v>10</v>
      </c>
      <c r="D28" s="16" t="n">
        <v>-0.235692981168841</v>
      </c>
      <c r="E28" s="16" t="n">
        <v>0.216796639220542</v>
      </c>
      <c r="F28" s="17" t="n">
        <v>19</v>
      </c>
      <c r="G28" s="18" t="n">
        <f aca="false">IF(AND(ISNUMBER(D28),E28&gt;0),D28/E28,"")</f>
        <v>-1.08716159999637</v>
      </c>
      <c r="H28" s="18" t="n">
        <f aca="false">IF(G28="","",TDIST(ABS(G28),F28-1,2))</f>
        <v>0.291309569162287</v>
      </c>
    </row>
    <row r="29" customFormat="false" ht="15" hidden="false" customHeight="false" outlineLevel="0" collapsed="false">
      <c r="A29" s="7" t="s">
        <v>33</v>
      </c>
      <c r="B29" s="7" t="s">
        <v>38</v>
      </c>
      <c r="C29" s="7" t="s">
        <v>10</v>
      </c>
      <c r="D29" s="16" t="n">
        <v>-0.273772406940375</v>
      </c>
      <c r="E29" s="16" t="n">
        <v>0.146785482410512</v>
      </c>
      <c r="F29" s="17" t="n">
        <v>19</v>
      </c>
      <c r="G29" s="18" t="n">
        <f aca="false">IF(AND(ISNUMBER(D29),E29&gt;0),D29/E29,"")</f>
        <v>-1.86511910063913</v>
      </c>
      <c r="H29" s="18" t="n">
        <f aca="false">IF(G29="","",TDIST(ABS(G29),F29-1,2))</f>
        <v>0.0785521000476929</v>
      </c>
    </row>
    <row r="30" customFormat="false" ht="15" hidden="false" customHeight="false" outlineLevel="0" collapsed="false">
      <c r="A30" s="7" t="s">
        <v>34</v>
      </c>
      <c r="B30" s="7" t="s">
        <v>38</v>
      </c>
      <c r="C30" s="7" t="s">
        <v>10</v>
      </c>
      <c r="D30" s="16" t="n">
        <v>-0.50748861105348</v>
      </c>
      <c r="E30" s="16" t="n">
        <v>0.216012603416525</v>
      </c>
      <c r="F30" s="17" t="n">
        <v>19</v>
      </c>
      <c r="G30" s="18" t="n">
        <f aca="false">IF(AND(ISNUMBER(D30),E30&gt;0),D30/E30,"")</f>
        <v>-2.34934722801761</v>
      </c>
      <c r="H30" s="18" t="n">
        <f aca="false">IF(G30="","",TDIST(ABS(G30),F30-1,2))</f>
        <v>0.030420947732642</v>
      </c>
    </row>
    <row r="31" customFormat="false" ht="15" hidden="false" customHeight="false" outlineLevel="0" collapsed="false">
      <c r="A31" s="7" t="s">
        <v>35</v>
      </c>
      <c r="B31" s="7" t="s">
        <v>38</v>
      </c>
      <c r="C31" s="7" t="s">
        <v>10</v>
      </c>
      <c r="D31" s="16" t="n">
        <v>-0.475386555862567</v>
      </c>
      <c r="E31" s="16" t="n">
        <v>0.138090201925302</v>
      </c>
      <c r="F31" s="17" t="n">
        <v>19</v>
      </c>
      <c r="G31" s="18" t="n">
        <f aca="false">IF(AND(ISNUMBER(D31),E31&gt;0),D31/E31,"")</f>
        <v>-3.4425799168555</v>
      </c>
      <c r="H31" s="18" t="n">
        <f aca="false">IF(G31="","",TDIST(ABS(G31),F31-1,2))</f>
        <v>0.00290413657074231</v>
      </c>
    </row>
    <row r="32" customFormat="false" ht="15" hidden="false" customHeight="false" outlineLevel="0" collapsed="false">
      <c r="A32" s="7" t="s">
        <v>36</v>
      </c>
      <c r="B32" s="7" t="s">
        <v>38</v>
      </c>
      <c r="C32" s="7" t="s">
        <v>10</v>
      </c>
      <c r="D32" s="16" t="n">
        <v>-0.268161960898219</v>
      </c>
      <c r="E32" s="16" t="n">
        <v>0.153340348124824</v>
      </c>
      <c r="F32" s="17" t="n">
        <v>19</v>
      </c>
      <c r="G32" s="18" t="n">
        <f aca="false">IF(AND(ISNUMBER(D32),E32&gt;0),D32/E32,"")</f>
        <v>-1.74880234835469</v>
      </c>
      <c r="H32" s="18" t="n">
        <f aca="false">IF(G32="","",TDIST(ABS(G32),F32-1,2))</f>
        <v>0.0973576718945769</v>
      </c>
    </row>
    <row r="33" customFormat="false" ht="15" hidden="false" customHeight="false" outlineLevel="0" collapsed="false">
      <c r="A33" s="7" t="s">
        <v>37</v>
      </c>
      <c r="B33" s="7" t="s">
        <v>38</v>
      </c>
      <c r="C33" s="7" t="s">
        <v>10</v>
      </c>
      <c r="D33" s="16" t="n">
        <v>-0.360477558963474</v>
      </c>
      <c r="E33" s="16" t="n">
        <v>0.128770416174053</v>
      </c>
      <c r="F33" s="17" t="n">
        <v>19</v>
      </c>
      <c r="G33" s="18" t="n">
        <f aca="false">IF(AND(ISNUMBER(D33),E33&gt;0),D33/E33,"")</f>
        <v>-2.79938179648526</v>
      </c>
      <c r="H33" s="18" t="n">
        <f aca="false">IF(G33="","",TDIST(ABS(G33),F33-1,2))</f>
        <v>0.0118524140175995</v>
      </c>
    </row>
    <row r="34" customFormat="false" ht="15" hidden="false" customHeight="false" outlineLevel="0" collapsed="false">
      <c r="A34" s="7" t="s">
        <v>31</v>
      </c>
      <c r="B34" s="7" t="s">
        <v>38</v>
      </c>
      <c r="C34" s="7" t="s">
        <v>11</v>
      </c>
      <c r="D34" s="16" t="n">
        <v>-0.3584122620936</v>
      </c>
      <c r="E34" s="16" t="n">
        <v>0.258747342877085</v>
      </c>
      <c r="F34" s="17" t="n">
        <v>19</v>
      </c>
      <c r="G34" s="18" t="n">
        <f aca="false">IF(AND(ISNUMBER(D34),E34&gt;0),D34/E34,"")</f>
        <v>-1.38518238722111</v>
      </c>
      <c r="H34" s="18" t="n">
        <f aca="false">IF(G34="","",TDIST(ABS(G34),F34-1,2))</f>
        <v>0.182924592809397</v>
      </c>
    </row>
    <row r="35" customFormat="false" ht="15" hidden="false" customHeight="false" outlineLevel="0" collapsed="false">
      <c r="A35" s="7" t="s">
        <v>33</v>
      </c>
      <c r="B35" s="7" t="s">
        <v>38</v>
      </c>
      <c r="C35" s="7" t="s">
        <v>11</v>
      </c>
      <c r="D35" s="16" t="n">
        <v>-0.425339068203855</v>
      </c>
      <c r="E35" s="16" t="n">
        <v>0.173332861636096</v>
      </c>
      <c r="F35" s="17" t="n">
        <v>19</v>
      </c>
      <c r="G35" s="18" t="n">
        <f aca="false">IF(AND(ISNUMBER(D35),E35&gt;0),D35/E35,"")</f>
        <v>-2.45388591747151</v>
      </c>
      <c r="H35" s="18" t="n">
        <f aca="false">IF(G35="","",TDIST(ABS(G35),F35-1,2))</f>
        <v>0.0245455743803764</v>
      </c>
    </row>
    <row r="36" customFormat="false" ht="15" hidden="false" customHeight="false" outlineLevel="0" collapsed="false">
      <c r="A36" s="7" t="s">
        <v>34</v>
      </c>
      <c r="B36" s="7" t="s">
        <v>38</v>
      </c>
      <c r="C36" s="7" t="s">
        <v>11</v>
      </c>
      <c r="D36" s="16" t="n">
        <v>0.101352296532676</v>
      </c>
      <c r="E36" s="16" t="n">
        <v>0.298169994973052</v>
      </c>
      <c r="F36" s="17" t="n">
        <v>19</v>
      </c>
      <c r="G36" s="18" t="n">
        <f aca="false">IF(AND(ISNUMBER(D36),E36&gt;0),D36/E36,"")</f>
        <v>0.339914472419789</v>
      </c>
      <c r="H36" s="18" t="n">
        <f aca="false">IF(G36="","",TDIST(ABS(G36),F36-1,2))</f>
        <v>0.737855242979906</v>
      </c>
    </row>
    <row r="37" customFormat="false" ht="15" hidden="false" customHeight="false" outlineLevel="0" collapsed="false">
      <c r="A37" s="7" t="s">
        <v>35</v>
      </c>
      <c r="B37" s="7" t="s">
        <v>38</v>
      </c>
      <c r="C37" s="7" t="s">
        <v>11</v>
      </c>
      <c r="D37" s="16" t="n">
        <v>0.10143179118386</v>
      </c>
      <c r="E37" s="16" t="n">
        <v>0.256163495073304</v>
      </c>
      <c r="F37" s="17" t="n">
        <v>19</v>
      </c>
      <c r="G37" s="18" t="n">
        <f aca="false">IF(AND(ISNUMBER(D37),E37&gt;0),D37/E37,"")</f>
        <v>0.395965050191224</v>
      </c>
      <c r="H37" s="18" t="n">
        <f aca="false">IF(G37="","",TDIST(ABS(G37),F37-1,2))</f>
        <v>0.696785048302584</v>
      </c>
    </row>
    <row r="38" customFormat="false" ht="15" hidden="false" customHeight="false" outlineLevel="0" collapsed="false">
      <c r="A38" s="7" t="s">
        <v>36</v>
      </c>
      <c r="B38" s="7" t="s">
        <v>38</v>
      </c>
      <c r="C38" s="7" t="s">
        <v>11</v>
      </c>
      <c r="D38" s="16" t="n">
        <v>-0.925152507633263</v>
      </c>
      <c r="E38" s="16" t="n">
        <v>0.262148622217212</v>
      </c>
      <c r="F38" s="17" t="n">
        <v>19</v>
      </c>
      <c r="G38" s="18" t="n">
        <f aca="false">IF(AND(ISNUMBER(D38),E38&gt;0),D38/E38,"")</f>
        <v>-3.52911451453937</v>
      </c>
      <c r="H38" s="18" t="n">
        <f aca="false">IF(G38="","",TDIST(ABS(G38),F38-1,2))</f>
        <v>0.00239662885645907</v>
      </c>
    </row>
    <row r="39" customFormat="false" ht="15" hidden="false" customHeight="false" outlineLevel="0" collapsed="false">
      <c r="A39" s="7" t="s">
        <v>37</v>
      </c>
      <c r="B39" s="7" t="s">
        <v>38</v>
      </c>
      <c r="C39" s="7" t="s">
        <v>11</v>
      </c>
      <c r="D39" s="16" t="n">
        <v>-0.875951740724517</v>
      </c>
      <c r="E39" s="16" t="n">
        <v>0.423408705518888</v>
      </c>
      <c r="F39" s="17" t="n">
        <v>19</v>
      </c>
      <c r="G39" s="18" t="n">
        <f aca="false">IF(AND(ISNUMBER(D39),E39&gt;0),D39/E39,"")</f>
        <v>-2.06880900016224</v>
      </c>
      <c r="H39" s="18" t="n">
        <f aca="false">IF(G39="","",TDIST(ABS(G39),F39-1,2))</f>
        <v>0.0532374998724696</v>
      </c>
    </row>
    <row r="40" customFormat="false" ht="15" hidden="false" customHeight="false" outlineLevel="0" collapsed="false">
      <c r="A40" s="7" t="s">
        <v>31</v>
      </c>
      <c r="B40" s="7" t="s">
        <v>38</v>
      </c>
      <c r="C40" s="7" t="s">
        <v>12</v>
      </c>
      <c r="D40" s="16" t="n">
        <v>0.226309688101337</v>
      </c>
      <c r="E40" s="16" t="n">
        <v>0.198756851695665</v>
      </c>
      <c r="F40" s="17" t="n">
        <v>19</v>
      </c>
      <c r="G40" s="18" t="n">
        <f aca="false">IF(AND(ISNUMBER(D40),E40&gt;0),D40/E40,"")</f>
        <v>1.13862584444566</v>
      </c>
      <c r="H40" s="18" t="n">
        <f aca="false">IF(G40="","",TDIST(ABS(G40),F40-1,2))</f>
        <v>0.269787257925089</v>
      </c>
    </row>
    <row r="41" customFormat="false" ht="15" hidden="false" customHeight="false" outlineLevel="0" collapsed="false">
      <c r="A41" s="7" t="s">
        <v>33</v>
      </c>
      <c r="B41" s="7" t="s">
        <v>38</v>
      </c>
      <c r="C41" s="7" t="s">
        <v>12</v>
      </c>
      <c r="D41" s="16" t="n">
        <v>0.150807132015265</v>
      </c>
      <c r="E41" s="16" t="n">
        <v>0.207092013345483</v>
      </c>
      <c r="F41" s="17" t="n">
        <v>19</v>
      </c>
      <c r="G41" s="18" t="n">
        <f aca="false">IF(AND(ISNUMBER(D41),E41&gt;0),D41/E41,"")</f>
        <v>0.728213172391538</v>
      </c>
      <c r="H41" s="18" t="n">
        <f aca="false">IF(G41="","",TDIST(ABS(G41),F41-1,2))</f>
        <v>0.47585070948098</v>
      </c>
    </row>
    <row r="42" customFormat="false" ht="15" hidden="false" customHeight="false" outlineLevel="0" collapsed="false">
      <c r="A42" s="7" t="s">
        <v>34</v>
      </c>
      <c r="B42" s="7" t="s">
        <v>38</v>
      </c>
      <c r="C42" s="7" t="s">
        <v>12</v>
      </c>
      <c r="D42" s="16" t="n">
        <v>0.0588309276391322</v>
      </c>
      <c r="E42" s="16" t="n">
        <v>0.0883967543829129</v>
      </c>
      <c r="F42" s="17" t="n">
        <v>19</v>
      </c>
      <c r="G42" s="18" t="n">
        <f aca="false">IF(AND(ISNUMBER(D42),E42&gt;0),D42/E42,"")</f>
        <v>0.665532666327218</v>
      </c>
      <c r="H42" s="18" t="n">
        <f aca="false">IF(G42="","",TDIST(ABS(G42),F42-1,2))</f>
        <v>0.514148521765771</v>
      </c>
    </row>
    <row r="43" customFormat="false" ht="15" hidden="false" customHeight="false" outlineLevel="0" collapsed="false">
      <c r="A43" s="7" t="s">
        <v>35</v>
      </c>
      <c r="B43" s="7" t="s">
        <v>38</v>
      </c>
      <c r="C43" s="7" t="s">
        <v>12</v>
      </c>
      <c r="D43" s="16" t="n">
        <v>-0.216481023546129</v>
      </c>
      <c r="E43" s="16" t="n">
        <v>0.144601400924768</v>
      </c>
      <c r="F43" s="17" t="n">
        <v>19</v>
      </c>
      <c r="G43" s="18" t="n">
        <f aca="false">IF(AND(ISNUMBER(D43),E43&gt;0),D43/E43,"")</f>
        <v>-1.49708800994783</v>
      </c>
      <c r="H43" s="18" t="n">
        <f aca="false">IF(G43="","",TDIST(ABS(G43),F43-1,2))</f>
        <v>0.15170041893742</v>
      </c>
    </row>
    <row r="44" customFormat="false" ht="15" hidden="false" customHeight="false" outlineLevel="0" collapsed="false">
      <c r="A44" s="7" t="s">
        <v>36</v>
      </c>
      <c r="B44" s="7" t="s">
        <v>38</v>
      </c>
      <c r="C44" s="7" t="s">
        <v>12</v>
      </c>
      <c r="D44" s="16" t="n">
        <v>0.46285742763552</v>
      </c>
      <c r="E44" s="16" t="n">
        <v>0.21798036522309</v>
      </c>
      <c r="F44" s="17" t="n">
        <v>19</v>
      </c>
      <c r="G44" s="18" t="n">
        <f aca="false">IF(AND(ISNUMBER(D44),E44&gt;0),D44/E44,"")</f>
        <v>2.12339045841039</v>
      </c>
      <c r="H44" s="18" t="n">
        <f aca="false">IF(G44="","",TDIST(ABS(G44),F44-1,2))</f>
        <v>0.0478423386897677</v>
      </c>
    </row>
    <row r="45" customFormat="false" ht="15" hidden="false" customHeight="false" outlineLevel="0" collapsed="false">
      <c r="A45" s="7" t="s">
        <v>37</v>
      </c>
      <c r="B45" s="7" t="s">
        <v>38</v>
      </c>
      <c r="C45" s="7" t="s">
        <v>12</v>
      </c>
      <c r="D45" s="16" t="n">
        <v>-0.0853908776272687</v>
      </c>
      <c r="E45" s="16" t="n">
        <v>0.15534062431847</v>
      </c>
      <c r="F45" s="17" t="n">
        <v>19</v>
      </c>
      <c r="G45" s="18" t="n">
        <f aca="false">IF(AND(ISNUMBER(D45),E45&gt;0),D45/E45,"")</f>
        <v>-0.549700878324047</v>
      </c>
      <c r="H45" s="18" t="n">
        <f aca="false">IF(G45="","",TDIST(ABS(G45),F45-1,2))</f>
        <v>0.589280672496471</v>
      </c>
    </row>
    <row r="46" customFormat="false" ht="15" hidden="false" customHeight="false" outlineLevel="0" collapsed="false">
      <c r="A46" s="7" t="s">
        <v>31</v>
      </c>
      <c r="B46" s="7" t="s">
        <v>38</v>
      </c>
      <c r="C46" s="7" t="s">
        <v>13</v>
      </c>
      <c r="D46" s="16" t="n">
        <v>-0.594105243262441</v>
      </c>
      <c r="E46" s="16" t="n">
        <v>0.155360149066587</v>
      </c>
      <c r="F46" s="17" t="n">
        <v>19</v>
      </c>
      <c r="G46" s="18" t="n">
        <f aca="false">IF(AND(ISNUMBER(D46),E46&gt;0),D46/E46,"")</f>
        <v>-3.82405170715825</v>
      </c>
      <c r="H46" s="18" t="n">
        <f aca="false">IF(G46="","",TDIST(ABS(G46),F46-1,2))</f>
        <v>0.00124295130468822</v>
      </c>
    </row>
    <row r="47" customFormat="false" ht="15" hidden="false" customHeight="false" outlineLevel="0" collapsed="false">
      <c r="A47" s="7" t="s">
        <v>33</v>
      </c>
      <c r="B47" s="7" t="s">
        <v>38</v>
      </c>
      <c r="C47" s="7" t="s">
        <v>13</v>
      </c>
      <c r="D47" s="16" t="n">
        <v>-0.699111475144229</v>
      </c>
      <c r="E47" s="16" t="n">
        <v>0.168351934403939</v>
      </c>
      <c r="F47" s="17" t="n">
        <v>19</v>
      </c>
      <c r="G47" s="18" t="n">
        <f aca="false">IF(AND(ISNUMBER(D47),E47&gt;0),D47/E47,"")</f>
        <v>-4.15267859926575</v>
      </c>
      <c r="H47" s="18" t="n">
        <f aca="false">IF(G47="","",TDIST(ABS(G47),F47-1,2))</f>
        <v>0.000597902869859436</v>
      </c>
    </row>
    <row r="48" customFormat="false" ht="15" hidden="false" customHeight="false" outlineLevel="0" collapsed="false">
      <c r="A48" s="7" t="s">
        <v>34</v>
      </c>
      <c r="B48" s="7" t="s">
        <v>38</v>
      </c>
      <c r="C48" s="7" t="s">
        <v>13</v>
      </c>
      <c r="D48" s="16" t="n">
        <v>-0.406136314520804</v>
      </c>
      <c r="E48" s="16" t="n">
        <v>0.17372083520757</v>
      </c>
      <c r="F48" s="17" t="n">
        <v>19</v>
      </c>
      <c r="G48" s="18" t="n">
        <f aca="false">IF(AND(ISNUMBER(D48),E48&gt;0),D48/E48,"")</f>
        <v>-2.33786761406905</v>
      </c>
      <c r="H48" s="18" t="n">
        <f aca="false">IF(G48="","",TDIST(ABS(G48),F48-1,2))</f>
        <v>0.0311405755078221</v>
      </c>
    </row>
    <row r="49" customFormat="false" ht="15" hidden="false" customHeight="false" outlineLevel="0" collapsed="false">
      <c r="A49" s="7" t="s">
        <v>35</v>
      </c>
      <c r="B49" s="7" t="s">
        <v>38</v>
      </c>
      <c r="C49" s="7" t="s">
        <v>13</v>
      </c>
      <c r="D49" s="16" t="n">
        <v>-0.373954764678706</v>
      </c>
      <c r="E49" s="16" t="n">
        <v>0.247300098541374</v>
      </c>
      <c r="F49" s="17" t="n">
        <v>19</v>
      </c>
      <c r="G49" s="18" t="n">
        <f aca="false">IF(AND(ISNUMBER(D49),E49&gt;0),D49/E49,"")</f>
        <v>-1.5121496792131</v>
      </c>
      <c r="H49" s="18" t="n">
        <f aca="false">IF(G49="","",TDIST(ABS(G49),F49-1,2))</f>
        <v>0.147854376617665</v>
      </c>
    </row>
    <row r="50" customFormat="false" ht="15" hidden="false" customHeight="false" outlineLevel="0" collapsed="false">
      <c r="A50" s="7" t="s">
        <v>36</v>
      </c>
      <c r="B50" s="7" t="s">
        <v>38</v>
      </c>
      <c r="C50" s="7" t="s">
        <v>13</v>
      </c>
      <c r="D50" s="16" t="n">
        <v>-1.19331446853148</v>
      </c>
      <c r="E50" s="16" t="n">
        <v>0.173967214359679</v>
      </c>
      <c r="F50" s="17" t="n">
        <v>19</v>
      </c>
      <c r="G50" s="18" t="n">
        <f aca="false">IF(AND(ISNUMBER(D50),E50&gt;0),D50/E50,"")</f>
        <v>-6.85942160379883</v>
      </c>
      <c r="H50" s="18" t="n">
        <f aca="false">IF(G50="","",TDIST(ABS(G50),F50-1,2))</f>
        <v>2.03594279054419E-006</v>
      </c>
    </row>
    <row r="51" customFormat="false" ht="15" hidden="false" customHeight="false" outlineLevel="0" collapsed="false">
      <c r="A51" s="7" t="s">
        <v>37</v>
      </c>
      <c r="B51" s="7" t="s">
        <v>38</v>
      </c>
      <c r="C51" s="7" t="s">
        <v>13</v>
      </c>
      <c r="D51" s="16" t="n">
        <v>-1.23642929968799</v>
      </c>
      <c r="E51" s="16" t="n">
        <v>0.38408205258083</v>
      </c>
      <c r="F51" s="17" t="n">
        <v>19</v>
      </c>
      <c r="G51" s="18" t="n">
        <f aca="false">IF(AND(ISNUMBER(D51),E51&gt;0),D51/E51,"")</f>
        <v>-3.21918009805414</v>
      </c>
      <c r="H51" s="18" t="n">
        <f aca="false">IF(G51="","",TDIST(ABS(G51),F51-1,2))</f>
        <v>0.00475751758571257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2026-10-16T16:31:31Z</dcterms:created>
  <dc:creator>openpyxl</dc:creator>
  <dc:description/>
  <dc:language>en-US</dc:language>
  <cp:lastModifiedBy/>
  <dcterms:modified xsi:type="dcterms:W3CDTF">2026-10-16T16:31:31Z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