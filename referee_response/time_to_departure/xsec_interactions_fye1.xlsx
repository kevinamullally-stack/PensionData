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eractions" sheetId="1" state="visible" r:id="rId3"/>
    <sheet name="Continuous X robustness" sheetId="2" state="visible" r:id="rId4"/>
    <sheet name="Estimate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<sst xmlns="http://schemas.openxmlformats.org/spreadsheetml/2006/main" count="553" uniqueCount="72">
  <si>
    <t xml:space="preserve">Table: Conflicted CIOs and Cross-Sectional Characteristics, Interaction Specification</t>
  </si>
  <si>
    <t xml:space="preserve">This table re-estimates the Table III regression with all control variables and fiscal-year-end date fixed effects, adding a cross-sectional characteristic X and its interaction with Conflicted CIO. Each column uses a different X: Underpaid equals 1 if the CIO is underpaid relative to the size of the plan; Young CIO equals 1 for CIOs who are 46 years old or younger; Prior Private Exp. equals 1 for CIOs with prior private firm experience; Financial Center equals 1 for plans headquartered in financial centers; High Discount Rate equals 1 if the plan's discount rate is above 8%; High Funding equals 1 for plans with a funding ratio of at least 92%; Log CIO Total Comp. is the natural log of the CIO's total compensation in the same fiscal year (CIO_TotalComp); CIO Age is the CIO's age in years. The two continuous characteristics are centered at their means in the regression sample, so in those columns Conflicted CIO is the effect of conflict for a CIO with average pay or average age, and Conflicted CIO x X is the change in that effect per log point of pay or per year of age. The Log CIO Total Comp. column uses only plan-years with reported compensation. In the CIO Age column the lagged log CIO age control is dropped, because age enters as X. Young CIO and High Funding are missing when CIO age or the funding ratio is missing. The control variables are those of Table III and have the same coefficients for both groups. Conflicted CIO is the effect of conflict when X = 0, Conflicted CIO x X is the difference between the two groups, and the italic rows report the effect when X = 1 (binary characteristics) or at the 25th and 75th percentiles of X in the regression sample (continuous characteristics). Panel A uses Peer-Adjusted Return. Panel B uses Benchmark-Adjusted Return computed as the plan's return minus the updated policy benchmark (the benchmark return reported in the plan's financial report or, where none is stated, an inferred value graded A or B). Fiscal-year-end date fixed effects compare plans only with plans whose fiscal year covers the same twelve months. The standard errors are double clustered by plan and year. Coefficients marked with ***, **, and * are significant at the 1%, 5%, and 10% level, respectively.</t>
  </si>
  <si>
    <t xml:space="preserve">Panel A. Peer-Adjusted Returns</t>
  </si>
  <si>
    <t xml:space="preserve">X = Underpaid</t>
  </si>
  <si>
    <t xml:space="preserve">X = Young CIO</t>
  </si>
  <si>
    <t xml:space="preserve">X = Prior Private Exp.</t>
  </si>
  <si>
    <t xml:space="preserve">X = Financial Center</t>
  </si>
  <si>
    <t xml:space="preserve">X = High Discount Rate</t>
  </si>
  <si>
    <t xml:space="preserve">X = High Funding</t>
  </si>
  <si>
    <t xml:space="preserve">X = Log CIO Total Comp.</t>
  </si>
  <si>
    <t xml:space="preserve">X = CIO Age</t>
  </si>
  <si>
    <t xml:space="preserve">Peer-adj. Ret. (t)</t>
  </si>
  <si>
    <t xml:space="preserve">Conflicted CIO (0/1)</t>
  </si>
  <si>
    <t xml:space="preserve">Conflicted CIO x X</t>
  </si>
  <si>
    <t xml:space="preserve">X</t>
  </si>
  <si>
    <t xml:space="preserve">Conflicted CIO effect when X = 1</t>
  </si>
  <si>
    <t xml:space="preserve">Conflicted CIO effect, 25th pct. of X</t>
  </si>
  <si>
    <t xml:space="preserve">Conflicted CIO effect, 75th pct. of X</t>
  </si>
  <si>
    <t xml:space="preserve">Observations</t>
  </si>
  <si>
    <t xml:space="preserve">Adjusted R-squared</t>
  </si>
  <si>
    <t xml:space="preserve">Table III Controls</t>
  </si>
  <si>
    <t xml:space="preserve">Yes</t>
  </si>
  <si>
    <t xml:space="preserve">Fiscal-Year-End FE</t>
  </si>
  <si>
    <t xml:space="preserve">Panel B. Benchmark-Adjusted Returns (updated benchmark)</t>
  </si>
  <si>
    <t xml:space="preserve">Bench-adj. Ret. (t)</t>
  </si>
  <si>
    <t xml:space="preserve">Coefficients and observations will match reghdfe exactly; t-statistics can differ somewhat. Use the attached Stata code for the exact figures.</t>
  </si>
  <si>
    <t xml:space="preserve">Table: Continuous Cross-Sectional Characteristics, Robustness</t>
  </si>
  <si>
    <t xml:space="preserve">Each column re-estimates the interaction regression (all Table III controls, fiscal-year-end date fixed effects) with a continuous X centered at its regression-sample mean. Column (1) and column (5) are the Log CIO Total Comp. and CIO Age columns of the Interactions sheet. Column (2) uses the prior year's log compensation. Column (3) subtracts the mean log compensation of all plan-years in the same fiscal year, so X measures pay relative to other CIOs that year rather than the rise in pay over the sample period. Column (4) also interacts Conflicted CIO with Size (centered), because compensation rises with plan size. Column (6) keeps the lagged log CIO age control alongside CIO age. Standard errors are double clustered by plan and year. Coefficients marked with ***, **, and * are significant at the 1%, 5%, and 10% level, respectively.</t>
  </si>
  <si>
    <t xml:space="preserve">(1)
X = Log CIO Total Comp. (same year)</t>
  </si>
  <si>
    <t xml:space="preserve">(2)
X = Lagged Log CIO Total Comp.</t>
  </si>
  <si>
    <t xml:space="preserve">(3)
X = Log CIO Total Comp. minus fiscal-year mean</t>
  </si>
  <si>
    <t xml:space="preserve">(4)
X = Log CIO Total Comp., plus Conflicted CIO x Size</t>
  </si>
  <si>
    <t xml:space="preserve">(5)
X = CIO Age (lagged log age control dropped)</t>
  </si>
  <si>
    <t xml:space="preserve">(6)
X = CIO Age (lagged log age control kept)</t>
  </si>
  <si>
    <t xml:space="preserve">Conflicted CIO (at mean X)</t>
  </si>
  <si>
    <t xml:space="preserve">Conflicted CIO x Size</t>
  </si>
  <si>
    <t xml:space="preserve">Mean of X</t>
  </si>
  <si>
    <t xml:space="preserve">25th / 75th pct. of X</t>
  </si>
  <si>
    <t xml:space="preserve">11.92 / 12.73</t>
  </si>
  <si>
    <t xml:space="preserve">11.89 / 12.69</t>
  </si>
  <si>
    <t xml:space="preserve">-0.33 / 0.38</t>
  </si>
  <si>
    <t xml:space="preserve">46.00 / 58.00</t>
  </si>
  <si>
    <t xml:space="preserve">Conflicted plan-years</t>
  </si>
  <si>
    <t xml:space="preserve">Conflicted CIOs</t>
  </si>
  <si>
    <t xml:space="preserve">11.94 / 12.69</t>
  </si>
  <si>
    <t xml:space="preserve">11.92 / 12.66</t>
  </si>
  <si>
    <t xml:space="preserve">-0.34 / 0.38</t>
  </si>
  <si>
    <t xml:space="preserve">Estimates behind the table. Blue = regression output (coefficient, SE, minimum cluster count). t and p are formulas; p uses the t distribution with (min clusters - 1) df. SE double clustered by plan and fiscal year, with the eigenvalue fix.</t>
  </si>
  <si>
    <t xml:space="preserve">Variable</t>
  </si>
  <si>
    <t xml:space="preserve">Dependent variable</t>
  </si>
  <si>
    <t xml:space="preserve">Term</t>
  </si>
  <si>
    <t xml:space="preserve">Coefficient</t>
  </si>
  <si>
    <t xml:space="preserve">SE</t>
  </si>
  <si>
    <t xml:space="preserve">Clusters (min)</t>
  </si>
  <si>
    <t xml:space="preserve">t</t>
  </si>
  <si>
    <t xml:space="preserve">p</t>
  </si>
  <si>
    <t xml:space="preserve">Underpaid</t>
  </si>
  <si>
    <t xml:space="preserve">peer_adj_ret100</t>
  </si>
  <si>
    <t xml:space="preserve">Young CIO</t>
  </si>
  <si>
    <t xml:space="preserve">Prior Private Exp.</t>
  </si>
  <si>
    <t xml:space="preserve">Financial Center</t>
  </si>
  <si>
    <t xml:space="preserve">High Discount Rate</t>
  </si>
  <si>
    <t xml:space="preserve">High Funding</t>
  </si>
  <si>
    <t xml:space="preserve">Log CIO Total Comp.</t>
  </si>
  <si>
    <t xml:space="preserve">CIO Age</t>
  </si>
  <si>
    <t xml:space="preserve">b_AB</t>
  </si>
  <si>
    <t xml:space="preserve">Robustness: Log CIO Total Comp. (same year)</t>
  </si>
  <si>
    <t xml:space="preserve">Robustness: Lagged Log CIO Total Comp.</t>
  </si>
  <si>
    <t xml:space="preserve">Robustness: Log CIO Total Comp. minus fiscal-year mean</t>
  </si>
  <si>
    <t xml:space="preserve">Robustness: Log CIO Total Comp., plus Conflicted CIO x Size</t>
  </si>
  <si>
    <t xml:space="preserve">Robustness: CIO Age (lagged log age control dropped)</t>
  </si>
  <si>
    <t xml:space="preserve">Robustness: CIO Age (lagged log age control kept)</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</si>
</sst>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3">
    <border diagonalUp="false" diagonalDown="false">
      <left/>
      <right/>
      <top/>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right" vertical="bottom" textRotation="0" wrapText="false" indent="0" shrinkToFit="false"/>
      <protection locked="true" hidden="false"/>
    </xf>
    <xf numFmtId="168" fontId="5" fillId="0" borderId="0" xfId="0" applyFont="true" applyBorder="false" applyAlignment="true" applyProtection="false">
      <alignment horizontal="right"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9" min="2" style="0" width="14"/>
  </cols>
  <sheetData>
    <row r="1" customFormat="false" ht="15" hidden="false" customHeight="false" outlineLevel="0" collapsed="false">
      <c r="A1" s="1" t="s">
        <v>0</v>
      </c>
    </row>
    <row r="2" customFormat="false" ht="237.75" hidden="false" customHeight="true" outlineLevel="0" collapsed="false">
      <c r="A2" s="2" t="s">
        <v>1</v>
      </c>
      <c r="B2" s="2"/>
      <c r="C2" s="2"/>
      <c r="D2" s="2"/>
      <c r="E2" s="2"/>
      <c r="F2" s="2"/>
      <c r="G2" s="2"/>
      <c r="H2" s="2"/>
      <c r="I2" s="2"/>
    </row>
    <row r="4" customFormat="false" ht="15" hidden="false" customHeight="false" outlineLevel="0" collapsed="false">
      <c r="A4" s="1" t="s">
        <v>2</v>
      </c>
    </row>
    <row r="5" customFormat="false" ht="30" hidden="false" customHeight="true" outlineLevel="0" collapsed="false">
      <c r="A5" s="3"/>
      <c r="B5" s="4" t="s">
        <v>3</v>
      </c>
      <c r="C5" s="4" t="s">
        <v>4</v>
      </c>
      <c r="D5" s="4" t="s">
        <v>5</v>
      </c>
      <c r="E5" s="4" t="s">
        <v>6</v>
      </c>
      <c r="F5" s="4" t="s">
        <v>7</v>
      </c>
      <c r="G5" s="4" t="s">
        <v>8</v>
      </c>
      <c r="H5" s="4" t="s">
        <v>9</v>
      </c>
      <c r="I5" s="4" t="s">
        <v>10</v>
      </c>
    </row>
    <row r="6" customFormat="false" ht="15" hidden="false" customHeight="false" outlineLevel="0" collapsed="false">
      <c r="A6" s="5"/>
      <c r="B6" s="6" t="s">
        <v>11</v>
      </c>
      <c r="C6" s="6" t="s">
        <v>11</v>
      </c>
      <c r="D6" s="6" t="s">
        <v>11</v>
      </c>
      <c r="E6" s="6" t="s">
        <v>11</v>
      </c>
      <c r="F6" s="6" t="s">
        <v>11</v>
      </c>
      <c r="G6" s="6" t="s">
        <v>11</v>
      </c>
      <c r="H6" s="6" t="s">
        <v>11</v>
      </c>
      <c r="I6" s="6" t="s">
        <v>11</v>
      </c>
    </row>
    <row r="7" customFormat="false" ht="15" hidden="false" customHeight="false" outlineLevel="0" collapsed="false">
      <c r="A7" s="7" t="s">
        <v>12</v>
      </c>
      <c r="B7" s="8" t="str">
        <f aca="false">IF(Estimates!H4="","",TEXT(Estimates!D4,"0.000")&amp;IF(Estimates!H4&lt;0.01,"***",IF(Estimates!H4&lt;0.05,"**",IF(Estimates!H4&lt;0.1,"*",""))))</f>
        <v>-0.314</v>
      </c>
      <c r="C7" s="8" t="str">
        <f aca="false">IF(Estimates!H5="","",TEXT(Estimates!D5,"0.000")&amp;IF(Estimates!H5&lt;0.01,"***",IF(Estimates!H5&lt;0.05,"**",IF(Estimates!H5&lt;0.1,"*",""))))</f>
        <v>-0.221</v>
      </c>
      <c r="D7" s="8" t="str">
        <f aca="false">IF(Estimates!H6="","",TEXT(Estimates!D6,"0.000")&amp;IF(Estimates!H6&lt;0.01,"***",IF(Estimates!H6&lt;0.05,"**",IF(Estimates!H6&lt;0.1,"*",""))))</f>
        <v>-0.690**</v>
      </c>
      <c r="E7" s="8" t="str">
        <f aca="false">IF(Estimates!H7="","",TEXT(Estimates!D7,"0.000")&amp;IF(Estimates!H7&lt;0.01,"***",IF(Estimates!H7&lt;0.05,"**",IF(Estimates!H7&lt;0.1,"*",""))))</f>
        <v>-0.623**</v>
      </c>
      <c r="F7" s="8" t="str">
        <f aca="false">IF(Estimates!H8="","",TEXT(Estimates!D8,"0.000")&amp;IF(Estimates!H8&lt;0.01,"***",IF(Estimates!H8&lt;0.05,"**",IF(Estimates!H8&lt;0.1,"*",""))))</f>
        <v>-0.339*</v>
      </c>
      <c r="G7" s="8" t="str">
        <f aca="false">IF(Estimates!H9="","",TEXT(Estimates!D9,"0.000")&amp;IF(Estimates!H9&lt;0.01,"***",IF(Estimates!H9&lt;0.05,"**",IF(Estimates!H9&lt;0.1,"*",""))))</f>
        <v>-0.379*</v>
      </c>
      <c r="H7" s="8" t="str">
        <f aca="false">IF(Estimates!H10="","",TEXT(Estimates!D10,"0.000")&amp;IF(Estimates!H10&lt;0.01,"***",IF(Estimates!H10&lt;0.05,"**",IF(Estimates!H10&lt;0.1,"*",""))))</f>
        <v>-0.295**</v>
      </c>
      <c r="I7" s="8" t="str">
        <f aca="false">IF(Estimates!H11="","",TEXT(Estimates!D11,"0.000")&amp;IF(Estimates!H11&lt;0.01,"***",IF(Estimates!H11&lt;0.05,"**",IF(Estimates!H11&lt;0.1,"*",""))))</f>
        <v>-0.270*</v>
      </c>
    </row>
    <row r="8" customFormat="false" ht="15" hidden="false" customHeight="false" outlineLevel="0" collapsed="false">
      <c r="B8" s="8" t="str">
        <f aca="false">IF(Estimates!G4="","","("&amp;TEXT(Estimates!G4,"0.00")&amp;")")</f>
        <v>(-1.13)</v>
      </c>
      <c r="C8" s="8" t="str">
        <f aca="false">IF(Estimates!G5="","","("&amp;TEXT(Estimates!G5,"0.00")&amp;")")</f>
        <v>(-1.14)</v>
      </c>
      <c r="D8" s="8" t="str">
        <f aca="false">IF(Estimates!G6="","","("&amp;TEXT(Estimates!G6,"0.00")&amp;")")</f>
        <v>(-2.86)</v>
      </c>
      <c r="E8" s="8" t="str">
        <f aca="false">IF(Estimates!G7="","","("&amp;TEXT(Estimates!G7,"0.00")&amp;")")</f>
        <v>(-2.78)</v>
      </c>
      <c r="F8" s="8" t="str">
        <f aca="false">IF(Estimates!G8="","","("&amp;TEXT(Estimates!G8,"0.00")&amp;")")</f>
        <v>(-1.75)</v>
      </c>
      <c r="G8" s="8" t="str">
        <f aca="false">IF(Estimates!G9="","","("&amp;TEXT(Estimates!G9,"0.00")&amp;")")</f>
        <v>(-2.06)</v>
      </c>
      <c r="H8" s="8" t="str">
        <f aca="false">IF(Estimates!G10="","","("&amp;TEXT(Estimates!G10,"0.00")&amp;")")</f>
        <v>(-2.13)</v>
      </c>
      <c r="I8" s="8" t="str">
        <f aca="false">IF(Estimates!G11="","","("&amp;TEXT(Estimates!G11,"0.00")&amp;")")</f>
        <v>(-1.94)</v>
      </c>
    </row>
    <row r="9" customFormat="false" ht="15" hidden="false" customHeight="false" outlineLevel="0" collapsed="false">
      <c r="A9" s="7" t="s">
        <v>13</v>
      </c>
      <c r="B9" s="8" t="str">
        <f aca="false">IF(Estimates!H12="","",TEXT(Estimates!D12,"0.000")&amp;IF(Estimates!H12&lt;0.01,"***",IF(Estimates!H12&lt;0.05,"**",IF(Estimates!H12&lt;0.1,"*",""))))</f>
        <v>-0.332</v>
      </c>
      <c r="C9" s="8" t="str">
        <f aca="false">IF(Estimates!H13="","",TEXT(Estimates!D13,"0.000")&amp;IF(Estimates!H13&lt;0.01,"***",IF(Estimates!H13&lt;0.05,"**",IF(Estimates!H13&lt;0.1,"*",""))))</f>
        <v>-0.623</v>
      </c>
      <c r="D9" s="8" t="str">
        <f aca="false">IF(Estimates!H14="","",TEXT(Estimates!D14,"0.000")&amp;IF(Estimates!H14&lt;0.01,"***",IF(Estimates!H14&lt;0.05,"**",IF(Estimates!H14&lt;0.1,"*",""))))</f>
        <v>0.385</v>
      </c>
      <c r="E9" s="8" t="str">
        <f aca="false">IF(Estimates!H15="","",TEXT(Estimates!D15,"0.000")&amp;IF(Estimates!H15&lt;0.01,"***",IF(Estimates!H15&lt;0.05,"**",IF(Estimates!H15&lt;0.1,"*",""))))</f>
        <v>0.622*</v>
      </c>
      <c r="F9" s="8" t="str">
        <f aca="false">IF(Estimates!H16="","",TEXT(Estimates!D16,"0.000")&amp;IF(Estimates!H16&lt;0.01,"***",IF(Estimates!H16&lt;0.05,"**",IF(Estimates!H16&lt;0.1,"*",""))))</f>
        <v>-0.975**</v>
      </c>
      <c r="G9" s="8" t="str">
        <f aca="false">IF(Estimates!H17="","",TEXT(Estimates!D17,"0.000")&amp;IF(Estimates!H17&lt;0.01,"***",IF(Estimates!H17&lt;0.05,"**",IF(Estimates!H17&lt;0.1,"*",""))))</f>
        <v>-0.902***</v>
      </c>
      <c r="H9" s="8" t="str">
        <f aca="false">IF(Estimates!H18="","",TEXT(Estimates!D18,"0.000")&amp;IF(Estimates!H18&lt;0.01,"***",IF(Estimates!H18&lt;0.05,"**",IF(Estimates!H18&lt;0.1,"*",""))))</f>
        <v>0.554</v>
      </c>
      <c r="I9" s="8" t="str">
        <f aca="false">IF(Estimates!H19="","",TEXT(Estimates!D19,"0.000")&amp;IF(Estimates!H19&lt;0.01,"***",IF(Estimates!H19&lt;0.05,"**",IF(Estimates!H19&lt;0.1,"*",""))))</f>
        <v>0.044**</v>
      </c>
    </row>
    <row r="10" customFormat="false" ht="15" hidden="false" customHeight="false" outlineLevel="0" collapsed="false">
      <c r="B10" s="8" t="str">
        <f aca="false">IF(Estimates!G12="","","("&amp;TEXT(Estimates!G12,"0.00")&amp;")")</f>
        <v>(-1.17)</v>
      </c>
      <c r="C10" s="8" t="str">
        <f aca="false">IF(Estimates!G13="","","("&amp;TEXT(Estimates!G13,"0.00")&amp;")")</f>
        <v>(-1.39)</v>
      </c>
      <c r="D10" s="8" t="str">
        <f aca="false">IF(Estimates!G14="","","("&amp;TEXT(Estimates!G14,"0.00")&amp;")")</f>
        <v>(1.44)</v>
      </c>
      <c r="E10" s="8" t="str">
        <f aca="false">IF(Estimates!G15="","","("&amp;TEXT(Estimates!G15,"0.00")&amp;")")</f>
        <v>(2.01)</v>
      </c>
      <c r="F10" s="8" t="str">
        <f aca="false">IF(Estimates!G16="","","("&amp;TEXT(Estimates!G16,"0.00")&amp;")")</f>
        <v>(-2.42)</v>
      </c>
      <c r="G10" s="8" t="str">
        <f aca="false">IF(Estimates!G17="","","("&amp;TEXT(Estimates!G17,"0.00")&amp;")")</f>
        <v>(-4.60)</v>
      </c>
      <c r="H10" s="8" t="str">
        <f aca="false">IF(Estimates!G18="","","("&amp;TEXT(Estimates!G18,"0.00")&amp;")")</f>
        <v>(1.36)</v>
      </c>
      <c r="I10" s="8" t="str">
        <f aca="false">IF(Estimates!G19="","","("&amp;TEXT(Estimates!G19,"0.00")&amp;")")</f>
        <v>(2.11)</v>
      </c>
    </row>
    <row r="11" customFormat="false" ht="15" hidden="false" customHeight="false" outlineLevel="0" collapsed="false">
      <c r="A11" s="7" t="s">
        <v>14</v>
      </c>
      <c r="B11" s="8" t="str">
        <f aca="false">IF(Estimates!H20="","",TEXT(Estimates!D20,"0.000")&amp;IF(Estimates!H20&lt;0.01,"***",IF(Estimates!H20&lt;0.05,"**",IF(Estimates!H20&lt;0.1,"*",""))))</f>
        <v>0.096</v>
      </c>
      <c r="C11" s="8" t="str">
        <f aca="false">IF(Estimates!H21="","",TEXT(Estimates!D21,"0.000")&amp;IF(Estimates!H21&lt;0.01,"***",IF(Estimates!H21&lt;0.05,"**",IF(Estimates!H21&lt;0.1,"*",""))))</f>
        <v>0.222</v>
      </c>
      <c r="D11" s="8" t="str">
        <f aca="false">IF(Estimates!H22="","",TEXT(Estimates!D22,"0.000")&amp;IF(Estimates!H22&lt;0.01,"***",IF(Estimates!H22&lt;0.05,"**",IF(Estimates!H22&lt;0.1,"*",""))))</f>
        <v>-0.067</v>
      </c>
      <c r="E11" s="8" t="str">
        <f aca="false">IF(Estimates!H23="","",TEXT(Estimates!D23,"0.000")&amp;IF(Estimates!H23&lt;0.01,"***",IF(Estimates!H23&lt;0.05,"**",IF(Estimates!H23&lt;0.1,"*",""))))</f>
        <v>-0.061</v>
      </c>
      <c r="F11" s="8" t="str">
        <f aca="false">IF(Estimates!H24="","",TEXT(Estimates!D24,"0.000")&amp;IF(Estimates!H24&lt;0.01,"***",IF(Estimates!H24&lt;0.05,"**",IF(Estimates!H24&lt;0.1,"*",""))))</f>
        <v>0.543*</v>
      </c>
      <c r="G11" s="8" t="str">
        <f aca="false">IF(Estimates!H25="","",TEXT(Estimates!D25,"0.000")&amp;IF(Estimates!H25&lt;0.01,"***",IF(Estimates!H25&lt;0.05,"**",IF(Estimates!H25&lt;0.1,"*",""))))</f>
        <v>0.191</v>
      </c>
      <c r="H11" s="8" t="str">
        <f aca="false">IF(Estimates!H26="","",TEXT(Estimates!D26,"0.000")&amp;IF(Estimates!H26&lt;0.01,"***",IF(Estimates!H26&lt;0.05,"**",IF(Estimates!H26&lt;0.1,"*",""))))</f>
        <v>0.243**</v>
      </c>
      <c r="I11" s="8" t="str">
        <f aca="false">IF(Estimates!H27="","",TEXT(Estimates!D27,"0.000")&amp;IF(Estimates!H27&lt;0.01,"***",IF(Estimates!H27&lt;0.05,"**",IF(Estimates!H27&lt;0.1,"*",""))))</f>
        <v>-0.012</v>
      </c>
    </row>
    <row r="12" customFormat="false" ht="15" hidden="false" customHeight="false" outlineLevel="0" collapsed="false">
      <c r="B12" s="8" t="str">
        <f aca="false">IF(Estimates!G20="","","("&amp;TEXT(Estimates!G20,"0.00")&amp;")")</f>
        <v>(0.54)</v>
      </c>
      <c r="C12" s="8" t="str">
        <f aca="false">IF(Estimates!G21="","","("&amp;TEXT(Estimates!G21,"0.00")&amp;")")</f>
        <v>(0.72)</v>
      </c>
      <c r="D12" s="8" t="str">
        <f aca="false">IF(Estimates!G22="","","("&amp;TEXT(Estimates!G22,"0.00")&amp;")")</f>
        <v>(-0.42)</v>
      </c>
      <c r="E12" s="8" t="str">
        <f aca="false">IF(Estimates!G23="","","("&amp;TEXT(Estimates!G23,"0.00")&amp;")")</f>
        <v>(-0.36)</v>
      </c>
      <c r="F12" s="8" t="str">
        <f aca="false">IF(Estimates!G24="","","("&amp;TEXT(Estimates!G24,"0.00")&amp;")")</f>
        <v>(1.88)</v>
      </c>
      <c r="G12" s="8" t="str">
        <f aca="false">IF(Estimates!G25="","","("&amp;TEXT(Estimates!G25,"0.00")&amp;")")</f>
        <v>(0.92)</v>
      </c>
      <c r="H12" s="8" t="str">
        <f aca="false">IF(Estimates!G26="","","("&amp;TEXT(Estimates!G26,"0.00")&amp;")")</f>
        <v>(2.83)</v>
      </c>
      <c r="I12" s="8" t="str">
        <f aca="false">IF(Estimates!G27="","","("&amp;TEXT(Estimates!G27,"0.00")&amp;")")</f>
        <v>(-0.87)</v>
      </c>
    </row>
    <row r="14" customFormat="false" ht="15" hidden="false" customHeight="false" outlineLevel="0" collapsed="false">
      <c r="A14" s="9" t="s">
        <v>15</v>
      </c>
      <c r="B14" s="10" t="str">
        <f aca="false">IF(Estimates!H28="","",TEXT(Estimates!D28,"0.000")&amp;IF(Estimates!H28&lt;0.01,"***",IF(Estimates!H28&lt;0.05,"**",IF(Estimates!H28&lt;0.1,"*",""))))</f>
        <v>-0.646***</v>
      </c>
      <c r="C14" s="10" t="str">
        <f aca="false">IF(Estimates!H29="","",TEXT(Estimates!D29,"0.000")&amp;IF(Estimates!H29&lt;0.01,"***",IF(Estimates!H29&lt;0.05,"**",IF(Estimates!H29&lt;0.1,"*",""))))</f>
        <v>-0.844**</v>
      </c>
      <c r="D14" s="10" t="str">
        <f aca="false">IF(Estimates!H30="","",TEXT(Estimates!D30,"0.000")&amp;IF(Estimates!H30&lt;0.01,"***",IF(Estimates!H30&lt;0.05,"**",IF(Estimates!H30&lt;0.1,"*",""))))</f>
        <v>-0.305</v>
      </c>
      <c r="E14" s="10" t="str">
        <f aca="false">IF(Estimates!H31="","",TEXT(Estimates!D31,"0.000")&amp;IF(Estimates!H31&lt;0.01,"***",IF(Estimates!H31&lt;0.05,"**",IF(Estimates!H31&lt;0.1,"*",""))))</f>
        <v>-0.002</v>
      </c>
      <c r="F14" s="10" t="str">
        <f aca="false">IF(Estimates!H32="","",TEXT(Estimates!D32,"0.000")&amp;IF(Estimates!H32&lt;0.01,"***",IF(Estimates!H32&lt;0.05,"**",IF(Estimates!H32&lt;0.1,"*",""))))</f>
        <v>-1.314***</v>
      </c>
      <c r="G14" s="10" t="str">
        <f aca="false">IF(Estimates!H33="","",TEXT(Estimates!D33,"0.000")&amp;IF(Estimates!H33&lt;0.01,"***",IF(Estimates!H33&lt;0.05,"**",IF(Estimates!H33&lt;0.1,"*",""))))</f>
        <v>-1.281***</v>
      </c>
    </row>
    <row r="15" customFormat="false" ht="15" hidden="false" customHeight="false" outlineLevel="0" collapsed="false">
      <c r="B15" s="10" t="str">
        <f aca="false">IF(Estimates!G28="","","("&amp;TEXT(Estimates!G28,"0.00")&amp;")")</f>
        <v>(-3.29)</v>
      </c>
      <c r="C15" s="10" t="str">
        <f aca="false">IF(Estimates!G29="","","("&amp;TEXT(Estimates!G29,"0.00")&amp;")")</f>
        <v>(-2.22)</v>
      </c>
      <c r="D15" s="10" t="str">
        <f aca="false">IF(Estimates!G30="","","("&amp;TEXT(Estimates!G30,"0.00")&amp;")")</f>
        <v>(-1.48)</v>
      </c>
      <c r="E15" s="10" t="str">
        <f aca="false">IF(Estimates!G31="","","("&amp;TEXT(Estimates!G31,"0.00")&amp;")")</f>
        <v>(-0.01)</v>
      </c>
      <c r="F15" s="10" t="str">
        <f aca="false">IF(Estimates!G32="","","("&amp;TEXT(Estimates!G32,"0.00")&amp;")")</f>
        <v>(-3.69)</v>
      </c>
      <c r="G15" s="10" t="str">
        <f aca="false">IF(Estimates!G33="","","("&amp;TEXT(Estimates!G33,"0.00")&amp;")")</f>
        <v>(-4.86)</v>
      </c>
    </row>
    <row r="16" customFormat="false" ht="15" hidden="false" customHeight="false" outlineLevel="0" collapsed="false">
      <c r="A16" s="9" t="s">
        <v>16</v>
      </c>
      <c r="H16" s="10" t="str">
        <f aca="false">IF(Estimates!H34="","",TEXT(Estimates!D34,"0.000")&amp;IF(Estimates!H34&lt;0.01,"***",IF(Estimates!H34&lt;0.05,"**",IF(Estimates!H34&lt;0.1,"*",""))))</f>
        <v>-0.545**</v>
      </c>
      <c r="I16" s="10" t="str">
        <f aca="false">IF(Estimates!H35="","",TEXT(Estimates!D35,"0.000")&amp;IF(Estimates!H35&lt;0.01,"***",IF(Estimates!H35&lt;0.05,"**",IF(Estimates!H35&lt;0.1,"*",""))))</f>
        <v>-0.550**</v>
      </c>
    </row>
    <row r="17" customFormat="false" ht="15" hidden="false" customHeight="false" outlineLevel="0" collapsed="false">
      <c r="H17" s="10" t="str">
        <f aca="false">IF(Estimates!G34="","","("&amp;TEXT(Estimates!G34,"0.00")&amp;")")</f>
        <v>(-2.30)</v>
      </c>
      <c r="I17" s="10" t="str">
        <f aca="false">IF(Estimates!G35="","","("&amp;TEXT(Estimates!G35,"0.00")&amp;")")</f>
        <v>(-2.63)</v>
      </c>
    </row>
    <row r="18" customFormat="false" ht="15" hidden="false" customHeight="false" outlineLevel="0" collapsed="false">
      <c r="A18" s="9" t="s">
        <v>17</v>
      </c>
      <c r="H18" s="10" t="str">
        <f aca="false">IF(Estimates!H36="","",TEXT(Estimates!D36,"0.000")&amp;IF(Estimates!H36&lt;0.01,"***",IF(Estimates!H36&lt;0.05,"**",IF(Estimates!H36&lt;0.1,"*",""))))</f>
        <v>-0.093</v>
      </c>
      <c r="I18" s="10" t="str">
        <f aca="false">IF(Estimates!H37="","",TEXT(Estimates!D37,"0.000")&amp;IF(Estimates!H37&lt;0.01,"***",IF(Estimates!H37&lt;0.05,"**",IF(Estimates!H37&lt;0.1,"*",""))))</f>
        <v>-0.019</v>
      </c>
    </row>
    <row r="19" customFormat="false" ht="15" hidden="false" customHeight="false" outlineLevel="0" collapsed="false">
      <c r="H19" s="10" t="str">
        <f aca="false">IF(Estimates!G36="","","("&amp;TEXT(Estimates!G36,"0.00")&amp;")")</f>
        <v>(-0.47)</v>
      </c>
      <c r="I19" s="10" t="str">
        <f aca="false">IF(Estimates!G37="","","("&amp;TEXT(Estimates!G37,"0.00")&amp;")")</f>
        <v>(-0.12)</v>
      </c>
    </row>
    <row r="21" customFormat="false" ht="15" hidden="false" customHeight="false" outlineLevel="0" collapsed="false">
      <c r="A21" s="7" t="s">
        <v>18</v>
      </c>
      <c r="B21" s="11" t="n">
        <v>1407</v>
      </c>
      <c r="C21" s="11" t="n">
        <v>1475</v>
      </c>
      <c r="D21" s="11" t="n">
        <v>1478</v>
      </c>
      <c r="E21" s="11" t="n">
        <v>1478</v>
      </c>
      <c r="F21" s="11" t="n">
        <v>1463</v>
      </c>
      <c r="G21" s="11" t="n">
        <v>1478</v>
      </c>
      <c r="H21" s="11" t="n">
        <v>1033</v>
      </c>
      <c r="I21" s="11" t="n">
        <v>1475</v>
      </c>
    </row>
    <row r="22" customFormat="false" ht="15" hidden="false" customHeight="false" outlineLevel="0" collapsed="false">
      <c r="A22" s="7" t="s">
        <v>19</v>
      </c>
      <c r="B22" s="12" t="n">
        <v>0.0777998951545735</v>
      </c>
      <c r="C22" s="12" t="n">
        <v>0.0724462914961391</v>
      </c>
      <c r="D22" s="12" t="n">
        <v>0.071173366973235</v>
      </c>
      <c r="E22" s="12" t="n">
        <v>0.0719116769241062</v>
      </c>
      <c r="F22" s="12" t="n">
        <v>0.0764911717642705</v>
      </c>
      <c r="G22" s="12" t="n">
        <v>0.0730372514186866</v>
      </c>
      <c r="H22" s="12" t="n">
        <v>0.0629469509023997</v>
      </c>
      <c r="I22" s="12" t="n">
        <v>0.0738303885992353</v>
      </c>
    </row>
    <row r="23" customFormat="false" ht="15" hidden="false" customHeight="false" outlineLevel="0" collapsed="false">
      <c r="A23" s="7" t="s">
        <v>20</v>
      </c>
      <c r="B23" s="13" t="s">
        <v>21</v>
      </c>
      <c r="C23" s="13" t="s">
        <v>21</v>
      </c>
      <c r="D23" s="13" t="s">
        <v>21</v>
      </c>
      <c r="E23" s="13" t="s">
        <v>21</v>
      </c>
      <c r="F23" s="13" t="s">
        <v>21</v>
      </c>
      <c r="G23" s="13" t="s">
        <v>21</v>
      </c>
      <c r="H23" s="13" t="s">
        <v>21</v>
      </c>
      <c r="I23" s="13" t="s">
        <v>21</v>
      </c>
    </row>
    <row r="24" customFormat="false" ht="15" hidden="false" customHeight="false" outlineLevel="0" collapsed="false">
      <c r="A24" s="14" t="s">
        <v>22</v>
      </c>
      <c r="B24" s="6" t="s">
        <v>21</v>
      </c>
      <c r="C24" s="6" t="s">
        <v>21</v>
      </c>
      <c r="D24" s="6" t="s">
        <v>21</v>
      </c>
      <c r="E24" s="6" t="s">
        <v>21</v>
      </c>
      <c r="F24" s="6" t="s">
        <v>21</v>
      </c>
      <c r="G24" s="6" t="s">
        <v>21</v>
      </c>
      <c r="H24" s="6" t="s">
        <v>21</v>
      </c>
      <c r="I24" s="6" t="s">
        <v>21</v>
      </c>
    </row>
    <row r="27" customFormat="false" ht="15" hidden="false" customHeight="false" outlineLevel="0" collapsed="false">
      <c r="A27" s="1" t="s">
        <v>23</v>
      </c>
    </row>
    <row r="28" customFormat="false" ht="30" hidden="false" customHeight="true" outlineLevel="0" collapsed="false">
      <c r="A28" s="3"/>
      <c r="B28" s="4" t="s">
        <v>3</v>
      </c>
      <c r="C28" s="4" t="s">
        <v>4</v>
      </c>
      <c r="D28" s="4" t="s">
        <v>5</v>
      </c>
      <c r="E28" s="4" t="s">
        <v>6</v>
      </c>
      <c r="F28" s="4" t="s">
        <v>7</v>
      </c>
      <c r="G28" s="4" t="s">
        <v>8</v>
      </c>
      <c r="H28" s="4" t="s">
        <v>9</v>
      </c>
      <c r="I28" s="4" t="s">
        <v>10</v>
      </c>
    </row>
    <row r="29" customFormat="false" ht="23.85" hidden="false" customHeight="false" outlineLevel="0" collapsed="false">
      <c r="A29" s="5"/>
      <c r="B29" s="6" t="s">
        <v>24</v>
      </c>
      <c r="C29" s="6" t="s">
        <v>24</v>
      </c>
      <c r="D29" s="6" t="s">
        <v>24</v>
      </c>
      <c r="E29" s="6" t="s">
        <v>24</v>
      </c>
      <c r="F29" s="6" t="s">
        <v>24</v>
      </c>
      <c r="G29" s="6" t="s">
        <v>24</v>
      </c>
      <c r="H29" s="6" t="s">
        <v>24</v>
      </c>
      <c r="I29" s="6" t="s">
        <v>24</v>
      </c>
    </row>
    <row r="30" customFormat="false" ht="15" hidden="false" customHeight="false" outlineLevel="0" collapsed="false">
      <c r="A30" s="7" t="s">
        <v>12</v>
      </c>
      <c r="B30" s="8" t="str">
        <f aca="false">IF(Estimates!H38="","",TEXT(Estimates!D38,"0.000")&amp;IF(Estimates!H38&lt;0.01,"***",IF(Estimates!H38&lt;0.05,"**",IF(Estimates!H38&lt;0.1,"*",""))))</f>
        <v>-0.236</v>
      </c>
      <c r="C30" s="8" t="str">
        <f aca="false">IF(Estimates!H39="","",TEXT(Estimates!D39,"0.000")&amp;IF(Estimates!H39&lt;0.01,"***",IF(Estimates!H39&lt;0.05,"**",IF(Estimates!H39&lt;0.1,"*",""))))</f>
        <v>-0.274*</v>
      </c>
      <c r="D30" s="8" t="str">
        <f aca="false">IF(Estimates!H40="","",TEXT(Estimates!D40,"0.000")&amp;IF(Estimates!H40&lt;0.01,"***",IF(Estimates!H40&lt;0.05,"**",IF(Estimates!H40&lt;0.1,"*",""))))</f>
        <v>-0.507**</v>
      </c>
      <c r="E30" s="8" t="str">
        <f aca="false">IF(Estimates!H41="","",TEXT(Estimates!D41,"0.000")&amp;IF(Estimates!H41&lt;0.01,"***",IF(Estimates!H41&lt;0.05,"**",IF(Estimates!H41&lt;0.1,"*",""))))</f>
        <v>-0.475***</v>
      </c>
      <c r="F30" s="8" t="str">
        <f aca="false">IF(Estimates!H42="","",TEXT(Estimates!D42,"0.000")&amp;IF(Estimates!H42&lt;0.01,"***",IF(Estimates!H42&lt;0.05,"**",IF(Estimates!H42&lt;0.1,"*",""))))</f>
        <v>-0.268*</v>
      </c>
      <c r="G30" s="8" t="str">
        <f aca="false">IF(Estimates!H43="","",TEXT(Estimates!D43,"0.000")&amp;IF(Estimates!H43&lt;0.01,"***",IF(Estimates!H43&lt;0.05,"**",IF(Estimates!H43&lt;0.1,"*",""))))</f>
        <v>-0.360**</v>
      </c>
      <c r="H30" s="8" t="str">
        <f aca="false">IF(Estimates!H44="","",TEXT(Estimates!D44,"0.000")&amp;IF(Estimates!H44&lt;0.01,"***",IF(Estimates!H44&lt;0.05,"**",IF(Estimates!H44&lt;0.1,"*",""))))</f>
        <v>-0.460***</v>
      </c>
      <c r="I30" s="8" t="str">
        <f aca="false">IF(Estimates!H45="","",TEXT(Estimates!D45,"0.000")&amp;IF(Estimates!H45&lt;0.01,"***",IF(Estimates!H45&lt;0.05,"**",IF(Estimates!H45&lt;0.1,"*",""))))</f>
        <v>-0.343**</v>
      </c>
    </row>
    <row r="31" customFormat="false" ht="15" hidden="false" customHeight="false" outlineLevel="0" collapsed="false">
      <c r="B31" s="8" t="str">
        <f aca="false">IF(Estimates!G38="","","("&amp;TEXT(Estimates!G38,"0.00")&amp;")")</f>
        <v>(-1.09)</v>
      </c>
      <c r="C31" s="8" t="str">
        <f aca="false">IF(Estimates!G39="","","("&amp;TEXT(Estimates!G39,"0.00")&amp;")")</f>
        <v>(-1.87)</v>
      </c>
      <c r="D31" s="8" t="str">
        <f aca="false">IF(Estimates!G40="","","("&amp;TEXT(Estimates!G40,"0.00")&amp;")")</f>
        <v>(-2.35)</v>
      </c>
      <c r="E31" s="8" t="str">
        <f aca="false">IF(Estimates!G41="","","("&amp;TEXT(Estimates!G41,"0.00")&amp;")")</f>
        <v>(-3.44)</v>
      </c>
      <c r="F31" s="8" t="str">
        <f aca="false">IF(Estimates!G42="","","("&amp;TEXT(Estimates!G42,"0.00")&amp;")")</f>
        <v>(-1.75)</v>
      </c>
      <c r="G31" s="8" t="str">
        <f aca="false">IF(Estimates!G43="","","("&amp;TEXT(Estimates!G43,"0.00")&amp;")")</f>
        <v>(-2.80)</v>
      </c>
      <c r="H31" s="8" t="str">
        <f aca="false">IF(Estimates!G44="","","("&amp;TEXT(Estimates!G44,"0.00")&amp;")")</f>
        <v>(-2.99)</v>
      </c>
      <c r="I31" s="8" t="str">
        <f aca="false">IF(Estimates!G45="","","("&amp;TEXT(Estimates!G45,"0.00")&amp;")")</f>
        <v>(-2.36)</v>
      </c>
    </row>
    <row r="32" customFormat="false" ht="15" hidden="false" customHeight="false" outlineLevel="0" collapsed="false">
      <c r="A32" s="7" t="s">
        <v>13</v>
      </c>
      <c r="B32" s="8" t="str">
        <f aca="false">IF(Estimates!H46="","",TEXT(Estimates!D46,"0.000")&amp;IF(Estimates!H46&lt;0.01,"***",IF(Estimates!H46&lt;0.05,"**",IF(Estimates!H46&lt;0.1,"*",""))))</f>
        <v>-0.358</v>
      </c>
      <c r="C32" s="8" t="str">
        <f aca="false">IF(Estimates!H47="","",TEXT(Estimates!D47,"0.000")&amp;IF(Estimates!H47&lt;0.01,"***",IF(Estimates!H47&lt;0.05,"**",IF(Estimates!H47&lt;0.1,"*",""))))</f>
        <v>-0.425**</v>
      </c>
      <c r="D32" s="8" t="str">
        <f aca="false">IF(Estimates!H48="","",TEXT(Estimates!D48,"0.000")&amp;IF(Estimates!H48&lt;0.01,"***",IF(Estimates!H48&lt;0.05,"**",IF(Estimates!H48&lt;0.1,"*",""))))</f>
        <v>0.101</v>
      </c>
      <c r="E32" s="8" t="str">
        <f aca="false">IF(Estimates!H49="","",TEXT(Estimates!D49,"0.000")&amp;IF(Estimates!H49&lt;0.01,"***",IF(Estimates!H49&lt;0.05,"**",IF(Estimates!H49&lt;0.1,"*",""))))</f>
        <v>0.101</v>
      </c>
      <c r="F32" s="8" t="str">
        <f aca="false">IF(Estimates!H50="","",TEXT(Estimates!D50,"0.000")&amp;IF(Estimates!H50&lt;0.01,"***",IF(Estimates!H50&lt;0.05,"**",IF(Estimates!H50&lt;0.1,"*",""))))</f>
        <v>-0.925***</v>
      </c>
      <c r="G32" s="8" t="str">
        <f aca="false">IF(Estimates!H51="","",TEXT(Estimates!D51,"0.000")&amp;IF(Estimates!H51&lt;0.01,"***",IF(Estimates!H51&lt;0.05,"**",IF(Estimates!H51&lt;0.1,"*",""))))</f>
        <v>-0.876*</v>
      </c>
      <c r="H32" s="8" t="str">
        <f aca="false">IF(Estimates!H52="","",TEXT(Estimates!D52,"0.000")&amp;IF(Estimates!H52&lt;0.01,"***",IF(Estimates!H52&lt;0.05,"**",IF(Estimates!H52&lt;0.1,"*",""))))</f>
        <v>0.704**</v>
      </c>
      <c r="I32" s="8" t="str">
        <f aca="false">IF(Estimates!H53="","",TEXT(Estimates!D53,"0.000")&amp;IF(Estimates!H53&lt;0.01,"***",IF(Estimates!H53&lt;0.05,"**",IF(Estimates!H53&lt;0.1,"*",""))))</f>
        <v>0.021</v>
      </c>
    </row>
    <row r="33" customFormat="false" ht="15" hidden="false" customHeight="false" outlineLevel="0" collapsed="false">
      <c r="B33" s="8" t="str">
        <f aca="false">IF(Estimates!G46="","","("&amp;TEXT(Estimates!G46,"0.00")&amp;")")</f>
        <v>(-1.39)</v>
      </c>
      <c r="C33" s="8" t="str">
        <f aca="false">IF(Estimates!G47="","","("&amp;TEXT(Estimates!G47,"0.00")&amp;")")</f>
        <v>(-2.45)</v>
      </c>
      <c r="D33" s="8" t="str">
        <f aca="false">IF(Estimates!G48="","","("&amp;TEXT(Estimates!G48,"0.00")&amp;")")</f>
        <v>(0.34)</v>
      </c>
      <c r="E33" s="8" t="str">
        <f aca="false">IF(Estimates!G49="","","("&amp;TEXT(Estimates!G49,"0.00")&amp;")")</f>
        <v>(0.40)</v>
      </c>
      <c r="F33" s="8" t="str">
        <f aca="false">IF(Estimates!G50="","","("&amp;TEXT(Estimates!G50,"0.00")&amp;")")</f>
        <v>(-3.53)</v>
      </c>
      <c r="G33" s="8" t="str">
        <f aca="false">IF(Estimates!G51="","","("&amp;TEXT(Estimates!G51,"0.00")&amp;")")</f>
        <v>(-2.07)</v>
      </c>
      <c r="H33" s="8" t="str">
        <f aca="false">IF(Estimates!G52="","","("&amp;TEXT(Estimates!G52,"0.00")&amp;")")</f>
        <v>(2.66)</v>
      </c>
      <c r="I33" s="8" t="str">
        <f aca="false">IF(Estimates!G53="","","("&amp;TEXT(Estimates!G53,"0.00")&amp;")")</f>
        <v>(1.31)</v>
      </c>
    </row>
    <row r="34" customFormat="false" ht="15" hidden="false" customHeight="false" outlineLevel="0" collapsed="false">
      <c r="A34" s="7" t="s">
        <v>14</v>
      </c>
      <c r="B34" s="8" t="str">
        <f aca="false">IF(Estimates!H54="","",TEXT(Estimates!D54,"0.000")&amp;IF(Estimates!H54&lt;0.01,"***",IF(Estimates!H54&lt;0.05,"**",IF(Estimates!H54&lt;0.1,"*",""))))</f>
        <v>0.226</v>
      </c>
      <c r="C34" s="8" t="str">
        <f aca="false">IF(Estimates!H55="","",TEXT(Estimates!D55,"0.000")&amp;IF(Estimates!H55&lt;0.01,"***",IF(Estimates!H55&lt;0.05,"**",IF(Estimates!H55&lt;0.1,"*",""))))</f>
        <v>0.151</v>
      </c>
      <c r="D34" s="8" t="str">
        <f aca="false">IF(Estimates!H56="","",TEXT(Estimates!D56,"0.000")&amp;IF(Estimates!H56&lt;0.01,"***",IF(Estimates!H56&lt;0.05,"**",IF(Estimates!H56&lt;0.1,"*",""))))</f>
        <v>0.059</v>
      </c>
      <c r="E34" s="8" t="str">
        <f aca="false">IF(Estimates!H57="","",TEXT(Estimates!D57,"0.000")&amp;IF(Estimates!H57&lt;0.01,"***",IF(Estimates!H57&lt;0.05,"**",IF(Estimates!H57&lt;0.1,"*",""))))</f>
        <v>-0.216</v>
      </c>
      <c r="F34" s="8" t="str">
        <f aca="false">IF(Estimates!H58="","",TEXT(Estimates!D58,"0.000")&amp;IF(Estimates!H58&lt;0.01,"***",IF(Estimates!H58&lt;0.05,"**",IF(Estimates!H58&lt;0.1,"*",""))))</f>
        <v>0.463**</v>
      </c>
      <c r="G34" s="8" t="str">
        <f aca="false">IF(Estimates!H59="","",TEXT(Estimates!D59,"0.000")&amp;IF(Estimates!H59&lt;0.01,"***",IF(Estimates!H59&lt;0.05,"**",IF(Estimates!H59&lt;0.1,"*",""))))</f>
        <v>-0.085</v>
      </c>
      <c r="H34" s="8" t="str">
        <f aca="false">IF(Estimates!H60="","",TEXT(Estimates!D60,"0.000")&amp;IF(Estimates!H60&lt;0.01,"***",IF(Estimates!H60&lt;0.05,"**",IF(Estimates!H60&lt;0.1,"*",""))))</f>
        <v>0.024</v>
      </c>
      <c r="I34" s="8" t="str">
        <f aca="false">IF(Estimates!H61="","",TEXT(Estimates!D61,"0.000")&amp;IF(Estimates!H61&lt;0.01,"***",IF(Estimates!H61&lt;0.05,"**",IF(Estimates!H61&lt;0.1,"*",""))))</f>
        <v>-0.020</v>
      </c>
    </row>
    <row r="35" customFormat="false" ht="15" hidden="false" customHeight="false" outlineLevel="0" collapsed="false">
      <c r="B35" s="8" t="str">
        <f aca="false">IF(Estimates!G54="","","("&amp;TEXT(Estimates!G54,"0.00")&amp;")")</f>
        <v>(1.14)</v>
      </c>
      <c r="C35" s="8" t="str">
        <f aca="false">IF(Estimates!G55="","","("&amp;TEXT(Estimates!G55,"0.00")&amp;")")</f>
        <v>(0.73)</v>
      </c>
      <c r="D35" s="8" t="str">
        <f aca="false">IF(Estimates!G56="","","("&amp;TEXT(Estimates!G56,"0.00")&amp;")")</f>
        <v>(0.67)</v>
      </c>
      <c r="E35" s="8" t="str">
        <f aca="false">IF(Estimates!G57="","","("&amp;TEXT(Estimates!G57,"0.00")&amp;")")</f>
        <v>(-1.50)</v>
      </c>
      <c r="F35" s="8" t="str">
        <f aca="false">IF(Estimates!G58="","","("&amp;TEXT(Estimates!G58,"0.00")&amp;")")</f>
        <v>(2.12)</v>
      </c>
      <c r="G35" s="8" t="str">
        <f aca="false">IF(Estimates!G59="","","("&amp;TEXT(Estimates!G59,"0.00")&amp;")")</f>
        <v>(-0.55)</v>
      </c>
      <c r="H35" s="8" t="str">
        <f aca="false">IF(Estimates!G60="","","("&amp;TEXT(Estimates!G60,"0.00")&amp;")")</f>
        <v>(0.16)</v>
      </c>
      <c r="I35" s="8" t="str">
        <f aca="false">IF(Estimates!G61="","","("&amp;TEXT(Estimates!G61,"0.00")&amp;")")</f>
        <v>(-1.61)</v>
      </c>
    </row>
    <row r="37" customFormat="false" ht="15" hidden="false" customHeight="false" outlineLevel="0" collapsed="false">
      <c r="A37" s="9" t="s">
        <v>15</v>
      </c>
      <c r="B37" s="10" t="str">
        <f aca="false">IF(Estimates!H62="","",TEXT(Estimates!D62,"0.000")&amp;IF(Estimates!H62&lt;0.01,"***",IF(Estimates!H62&lt;0.05,"**",IF(Estimates!H62&lt;0.1,"*",""))))</f>
        <v>-0.594***</v>
      </c>
      <c r="C37" s="10" t="str">
        <f aca="false">IF(Estimates!H63="","",TEXT(Estimates!D63,"0.000")&amp;IF(Estimates!H63&lt;0.01,"***",IF(Estimates!H63&lt;0.05,"**",IF(Estimates!H63&lt;0.1,"*",""))))</f>
        <v>-0.699***</v>
      </c>
      <c r="D37" s="10" t="str">
        <f aca="false">IF(Estimates!H64="","",TEXT(Estimates!D64,"0.000")&amp;IF(Estimates!H64&lt;0.01,"***",IF(Estimates!H64&lt;0.05,"**",IF(Estimates!H64&lt;0.1,"*",""))))</f>
        <v>-0.406**</v>
      </c>
      <c r="E37" s="10" t="str">
        <f aca="false">IF(Estimates!H65="","",TEXT(Estimates!D65,"0.000")&amp;IF(Estimates!H65&lt;0.01,"***",IF(Estimates!H65&lt;0.05,"**",IF(Estimates!H65&lt;0.1,"*",""))))</f>
        <v>-0.374</v>
      </c>
      <c r="F37" s="10" t="str">
        <f aca="false">IF(Estimates!H66="","",TEXT(Estimates!D66,"0.000")&amp;IF(Estimates!H66&lt;0.01,"***",IF(Estimates!H66&lt;0.05,"**",IF(Estimates!H66&lt;0.1,"*",""))))</f>
        <v>-1.193***</v>
      </c>
      <c r="G37" s="10" t="str">
        <f aca="false">IF(Estimates!H67="","",TEXT(Estimates!D67,"0.000")&amp;IF(Estimates!H67&lt;0.01,"***",IF(Estimates!H67&lt;0.05,"**",IF(Estimates!H67&lt;0.1,"*",""))))</f>
        <v>-1.236***</v>
      </c>
    </row>
    <row r="38" customFormat="false" ht="15" hidden="false" customHeight="false" outlineLevel="0" collapsed="false">
      <c r="B38" s="10" t="str">
        <f aca="false">IF(Estimates!G62="","","("&amp;TEXT(Estimates!G62,"0.00")&amp;")")</f>
        <v>(-3.82)</v>
      </c>
      <c r="C38" s="10" t="str">
        <f aca="false">IF(Estimates!G63="","","("&amp;TEXT(Estimates!G63,"0.00")&amp;")")</f>
        <v>(-4.15)</v>
      </c>
      <c r="D38" s="10" t="str">
        <f aca="false">IF(Estimates!G64="","","("&amp;TEXT(Estimates!G64,"0.00")&amp;")")</f>
        <v>(-2.34)</v>
      </c>
      <c r="E38" s="10" t="str">
        <f aca="false">IF(Estimates!G65="","","("&amp;TEXT(Estimates!G65,"0.00")&amp;")")</f>
        <v>(-1.51)</v>
      </c>
      <c r="F38" s="10" t="str">
        <f aca="false">IF(Estimates!G66="","","("&amp;TEXT(Estimates!G66,"0.00")&amp;")")</f>
        <v>(-6.86)</v>
      </c>
      <c r="G38" s="10" t="str">
        <f aca="false">IF(Estimates!G67="","","("&amp;TEXT(Estimates!G67,"0.00")&amp;")")</f>
        <v>(-3.22)</v>
      </c>
    </row>
    <row r="39" customFormat="false" ht="15" hidden="false" customHeight="false" outlineLevel="0" collapsed="false">
      <c r="A39" s="9" t="s">
        <v>16</v>
      </c>
      <c r="H39" s="10" t="str">
        <f aca="false">IF(Estimates!H68="","",TEXT(Estimates!D68,"0.000")&amp;IF(Estimates!H68&lt;0.01,"***",IF(Estimates!H68&lt;0.05,"**",IF(Estimates!H68&lt;0.1,"*",""))))</f>
        <v>-0.758***</v>
      </c>
      <c r="I39" s="10" t="str">
        <f aca="false">IF(Estimates!H69="","",TEXT(Estimates!D69,"0.000")&amp;IF(Estimates!H69&lt;0.01,"***",IF(Estimates!H69&lt;0.05,"**",IF(Estimates!H69&lt;0.1,"*",""))))</f>
        <v>-0.470***</v>
      </c>
    </row>
    <row r="40" customFormat="false" ht="15" hidden="false" customHeight="false" outlineLevel="0" collapsed="false">
      <c r="H40" s="10" t="str">
        <f aca="false">IF(Estimates!G68="","","("&amp;TEXT(Estimates!G68,"0.00")&amp;")")</f>
        <v>(-3.94)</v>
      </c>
      <c r="I40" s="10" t="str">
        <f aca="false">IF(Estimates!G69="","","("&amp;TEXT(Estimates!G69,"0.00")&amp;")")</f>
        <v>(-3.16)</v>
      </c>
    </row>
    <row r="41" customFormat="false" ht="15" hidden="false" customHeight="false" outlineLevel="0" collapsed="false">
      <c r="A41" s="9" t="s">
        <v>17</v>
      </c>
      <c r="H41" s="10" t="str">
        <f aca="false">IF(Estimates!H70="","",TEXT(Estimates!D70,"0.000")&amp;IF(Estimates!H70&lt;0.01,"***",IF(Estimates!H70&lt;0.05,"**",IF(Estimates!H70&lt;0.1,"*",""))))</f>
        <v>-0.227</v>
      </c>
      <c r="I41" s="10" t="str">
        <f aca="false">IF(Estimates!H71="","",TEXT(Estimates!D71,"0.000")&amp;IF(Estimates!H71&lt;0.01,"***",IF(Estimates!H71&lt;0.05,"**",IF(Estimates!H71&lt;0.1,"*",""))))</f>
        <v>-0.222</v>
      </c>
    </row>
    <row r="42" customFormat="false" ht="15" hidden="false" customHeight="false" outlineLevel="0" collapsed="false">
      <c r="H42" s="10" t="str">
        <f aca="false">IF(Estimates!G70="","","("&amp;TEXT(Estimates!G70,"0.00")&amp;")")</f>
        <v>(-1.30)</v>
      </c>
      <c r="I42" s="10" t="str">
        <f aca="false">IF(Estimates!G71="","","("&amp;TEXT(Estimates!G71,"0.00")&amp;")")</f>
        <v>(-1.14)</v>
      </c>
    </row>
    <row r="44" customFormat="false" ht="15" hidden="false" customHeight="false" outlineLevel="0" collapsed="false">
      <c r="A44" s="7" t="s">
        <v>18</v>
      </c>
      <c r="B44" s="11" t="n">
        <v>1244</v>
      </c>
      <c r="C44" s="11" t="n">
        <v>1310</v>
      </c>
      <c r="D44" s="11" t="n">
        <v>1313</v>
      </c>
      <c r="E44" s="11" t="n">
        <v>1313</v>
      </c>
      <c r="F44" s="11" t="n">
        <v>1300</v>
      </c>
      <c r="G44" s="11" t="n">
        <v>1313</v>
      </c>
      <c r="H44" s="11" t="n">
        <v>930</v>
      </c>
      <c r="I44" s="11" t="n">
        <v>1310</v>
      </c>
    </row>
    <row r="45" customFormat="false" ht="15" hidden="false" customHeight="false" outlineLevel="0" collapsed="false">
      <c r="A45" s="7" t="s">
        <v>19</v>
      </c>
      <c r="B45" s="12" t="n">
        <v>0.164496747493566</v>
      </c>
      <c r="C45" s="12" t="n">
        <v>0.167161826410431</v>
      </c>
      <c r="D45" s="12" t="n">
        <v>0.166978536599095</v>
      </c>
      <c r="E45" s="12" t="n">
        <v>0.166951816645617</v>
      </c>
      <c r="F45" s="12" t="n">
        <v>0.171478884924043</v>
      </c>
      <c r="G45" s="12" t="n">
        <v>0.169836028421684</v>
      </c>
      <c r="H45" s="12" t="n">
        <v>0.156920600746335</v>
      </c>
      <c r="I45" s="12" t="n">
        <v>0.164260085784753</v>
      </c>
    </row>
    <row r="46" customFormat="false" ht="15" hidden="false" customHeight="false" outlineLevel="0" collapsed="false">
      <c r="A46" s="7" t="s">
        <v>20</v>
      </c>
      <c r="B46" s="13" t="s">
        <v>21</v>
      </c>
      <c r="C46" s="13" t="s">
        <v>21</v>
      </c>
      <c r="D46" s="13" t="s">
        <v>21</v>
      </c>
      <c r="E46" s="13" t="s">
        <v>21</v>
      </c>
      <c r="F46" s="13" t="s">
        <v>21</v>
      </c>
      <c r="G46" s="13" t="s">
        <v>21</v>
      </c>
      <c r="H46" s="13" t="s">
        <v>21</v>
      </c>
      <c r="I46" s="13" t="s">
        <v>21</v>
      </c>
    </row>
    <row r="47" customFormat="false" ht="15" hidden="false" customHeight="false" outlineLevel="0" collapsed="false">
      <c r="A47" s="14" t="s">
        <v>22</v>
      </c>
      <c r="B47" s="6" t="s">
        <v>21</v>
      </c>
      <c r="C47" s="6" t="s">
        <v>21</v>
      </c>
      <c r="D47" s="6" t="s">
        <v>21</v>
      </c>
      <c r="E47" s="6" t="s">
        <v>21</v>
      </c>
      <c r="F47" s="6" t="s">
        <v>21</v>
      </c>
      <c r="G47" s="6" t="s">
        <v>21</v>
      </c>
      <c r="H47" s="6" t="s">
        <v>21</v>
      </c>
      <c r="I47" s="6" t="s">
        <v>21</v>
      </c>
    </row>
    <row r="50" customFormat="false" ht="15" hidden="false" customHeight="false" outlineLevel="0" collapsed="false">
      <c r="A50" s="15" t="s">
        <v>25</v>
      </c>
      <c r="B50" s="15"/>
      <c r="C50" s="15"/>
      <c r="D50" s="15"/>
      <c r="E50" s="15"/>
      <c r="F50" s="15"/>
      <c r="G50" s="15"/>
      <c r="H50" s="15"/>
      <c r="I50" s="15"/>
    </row>
  </sheetData>
  <mergeCells count="2">
    <mergeCell ref="A2:I2"/>
    <mergeCell ref="A50:I5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5"/>
  </cols>
  <sheetData>
    <row r="1" customFormat="false" ht="15" hidden="false" customHeight="false" outlineLevel="0" collapsed="false">
      <c r="A1" s="1" t="s">
        <v>26</v>
      </c>
    </row>
    <row r="2" customFormat="false" ht="111.75" hidden="false" customHeight="true" outlineLevel="0" collapsed="false">
      <c r="A2" s="2" t="s">
        <v>27</v>
      </c>
      <c r="B2" s="2"/>
      <c r="C2" s="2"/>
      <c r="D2" s="2"/>
      <c r="E2" s="2"/>
      <c r="F2" s="2"/>
      <c r="G2" s="2"/>
    </row>
    <row r="4" customFormat="false" ht="15" hidden="false" customHeight="false" outlineLevel="0" collapsed="false">
      <c r="A4" s="1" t="s">
        <v>2</v>
      </c>
    </row>
    <row r="5" customFormat="false" ht="57.75" hidden="false" customHeight="true" outlineLevel="0" collapsed="false">
      <c r="A5" s="3"/>
      <c r="B5" s="4" t="s">
        <v>28</v>
      </c>
      <c r="C5" s="4" t="s">
        <v>29</v>
      </c>
      <c r="D5" s="4" t="s">
        <v>30</v>
      </c>
      <c r="E5" s="4" t="s">
        <v>31</v>
      </c>
      <c r="F5" s="4" t="s">
        <v>32</v>
      </c>
      <c r="G5" s="4" t="s">
        <v>33</v>
      </c>
    </row>
    <row r="6" customFormat="false" ht="15" hidden="false" customHeight="false" outlineLevel="0" collapsed="false">
      <c r="A6" s="5"/>
      <c r="B6" s="6" t="s">
        <v>11</v>
      </c>
      <c r="C6" s="6" t="s">
        <v>11</v>
      </c>
      <c r="D6" s="6" t="s">
        <v>11</v>
      </c>
      <c r="E6" s="6" t="s">
        <v>11</v>
      </c>
      <c r="F6" s="6" t="s">
        <v>11</v>
      </c>
      <c r="G6" s="6" t="s">
        <v>11</v>
      </c>
    </row>
    <row r="7" customFormat="false" ht="15" hidden="false" customHeight="false" outlineLevel="0" collapsed="false">
      <c r="A7" s="7" t="s">
        <v>34</v>
      </c>
      <c r="B7" s="8" t="str">
        <f aca="false">IF(Estimates!H72="","",TEXT(Estimates!D72,"0.000")&amp;IF(Estimates!H72&lt;0.01,"***",IF(Estimates!H72&lt;0.05,"**",IF(Estimates!H72&lt;0.1,"*",""))))</f>
        <v>-0.295**</v>
      </c>
      <c r="C7" s="8" t="str">
        <f aca="false">IF(Estimates!H73="","",TEXT(Estimates!D73,"0.000")&amp;IF(Estimates!H73&lt;0.01,"***",IF(Estimates!H73&lt;0.05,"**",IF(Estimates!H73&lt;0.1,"*",""))))</f>
        <v>-0.301**</v>
      </c>
      <c r="D7" s="8" t="str">
        <f aca="false">IF(Estimates!H74="","",TEXT(Estimates!D74,"0.000")&amp;IF(Estimates!H74&lt;0.01,"***",IF(Estimates!H74&lt;0.05,"**",IF(Estimates!H74&lt;0.1,"*",""))))</f>
        <v>-0.377**</v>
      </c>
      <c r="E7" s="8" t="str">
        <f aca="false">IF(Estimates!H75="","",TEXT(Estimates!D75,"0.000")&amp;IF(Estimates!H75&lt;0.01,"***",IF(Estimates!H75&lt;0.05,"**",IF(Estimates!H75&lt;0.1,"*",""))))</f>
        <v>-0.327*</v>
      </c>
      <c r="F7" s="8" t="str">
        <f aca="false">IF(Estimates!H76="","",TEXT(Estimates!D76,"0.000")&amp;IF(Estimates!H76&lt;0.01,"***",IF(Estimates!H76&lt;0.05,"**",IF(Estimates!H76&lt;0.1,"*",""))))</f>
        <v>-0.270*</v>
      </c>
      <c r="G7" s="8" t="str">
        <f aca="false">IF(Estimates!H77="","",TEXT(Estimates!D77,"0.000")&amp;IF(Estimates!H77&lt;0.01,"***",IF(Estimates!H77&lt;0.05,"**",IF(Estimates!H77&lt;0.1,"*",""))))</f>
        <v>-0.271*</v>
      </c>
    </row>
    <row r="8" customFormat="false" ht="15" hidden="false" customHeight="false" outlineLevel="0" collapsed="false">
      <c r="B8" s="8" t="str">
        <f aca="false">IF(Estimates!G72="","","("&amp;TEXT(Estimates!G72,"0.00")&amp;")")</f>
        <v>(-2.13)</v>
      </c>
      <c r="C8" s="8" t="str">
        <f aca="false">IF(Estimates!G73="","","("&amp;TEXT(Estimates!G73,"0.00")&amp;")")</f>
        <v>(-2.34)</v>
      </c>
      <c r="D8" s="8" t="str">
        <f aca="false">IF(Estimates!G74="","","("&amp;TEXT(Estimates!G74,"0.00")&amp;")")</f>
        <v>(-2.41)</v>
      </c>
      <c r="E8" s="8" t="str">
        <f aca="false">IF(Estimates!G75="","","("&amp;TEXT(Estimates!G75,"0.00")&amp;")")</f>
        <v>(-2.02)</v>
      </c>
      <c r="F8" s="8" t="str">
        <f aca="false">IF(Estimates!G76="","","("&amp;TEXT(Estimates!G76,"0.00")&amp;")")</f>
        <v>(-1.94)</v>
      </c>
      <c r="G8" s="8" t="str">
        <f aca="false">IF(Estimates!G77="","","("&amp;TEXT(Estimates!G77,"0.00")&amp;")")</f>
        <v>(-1.95)</v>
      </c>
    </row>
    <row r="9" customFormat="false" ht="15" hidden="false" customHeight="false" outlineLevel="0" collapsed="false">
      <c r="A9" s="7" t="s">
        <v>13</v>
      </c>
      <c r="B9" s="8" t="str">
        <f aca="false">IF(Estimates!H78="","",TEXT(Estimates!D78,"0.000")&amp;IF(Estimates!H78&lt;0.01,"***",IF(Estimates!H78&lt;0.05,"**",IF(Estimates!H78&lt;0.1,"*",""))))</f>
        <v>0.554</v>
      </c>
      <c r="C9" s="8" t="str">
        <f aca="false">IF(Estimates!H79="","",TEXT(Estimates!D79,"0.000")&amp;IF(Estimates!H79&lt;0.01,"***",IF(Estimates!H79&lt;0.05,"**",IF(Estimates!H79&lt;0.1,"*",""))))</f>
        <v>0.152</v>
      </c>
      <c r="D9" s="8" t="str">
        <f aca="false">IF(Estimates!H80="","",TEXT(Estimates!D80,"0.000")&amp;IF(Estimates!H80&lt;0.01,"***",IF(Estimates!H80&lt;0.05,"**",IF(Estimates!H80&lt;0.1,"*",""))))</f>
        <v>0.138</v>
      </c>
      <c r="E9" s="8" t="str">
        <f aca="false">IF(Estimates!H81="","",TEXT(Estimates!D81,"0.000")&amp;IF(Estimates!H81&lt;0.01,"***",IF(Estimates!H81&lt;0.05,"**",IF(Estimates!H81&lt;0.1,"*",""))))</f>
        <v>0.345</v>
      </c>
      <c r="F9" s="8" t="str">
        <f aca="false">IF(Estimates!H82="","",TEXT(Estimates!D82,"0.000")&amp;IF(Estimates!H82&lt;0.01,"***",IF(Estimates!H82&lt;0.05,"**",IF(Estimates!H82&lt;0.1,"*",""))))</f>
        <v>0.044**</v>
      </c>
      <c r="G9" s="8" t="str">
        <f aca="false">IF(Estimates!H83="","",TEXT(Estimates!D83,"0.000")&amp;IF(Estimates!H83&lt;0.01,"***",IF(Estimates!H83&lt;0.05,"**",IF(Estimates!H83&lt;0.1,"*",""))))</f>
        <v>0.044*</v>
      </c>
    </row>
    <row r="10" customFormat="false" ht="15" hidden="false" customHeight="false" outlineLevel="0" collapsed="false">
      <c r="B10" s="8" t="str">
        <f aca="false">IF(Estimates!G78="","","("&amp;TEXT(Estimates!G78,"0.00")&amp;")")</f>
        <v>(1.36)</v>
      </c>
      <c r="C10" s="8" t="str">
        <f aca="false">IF(Estimates!G79="","","("&amp;TEXT(Estimates!G79,"0.00")&amp;")")</f>
        <v>(0.47)</v>
      </c>
      <c r="D10" s="8" t="str">
        <f aca="false">IF(Estimates!G80="","","("&amp;TEXT(Estimates!G80,"0.00")&amp;")")</f>
        <v>(0.42)</v>
      </c>
      <c r="E10" s="8" t="str">
        <f aca="false">IF(Estimates!G81="","","("&amp;TEXT(Estimates!G81,"0.00")&amp;")")</f>
        <v>(0.73)</v>
      </c>
      <c r="F10" s="8" t="str">
        <f aca="false">IF(Estimates!G82="","","("&amp;TEXT(Estimates!G82,"0.00")&amp;")")</f>
        <v>(2.11)</v>
      </c>
      <c r="G10" s="8" t="str">
        <f aca="false">IF(Estimates!G83="","","("&amp;TEXT(Estimates!G83,"0.00")&amp;")")</f>
        <v>(2.03)</v>
      </c>
    </row>
    <row r="11" customFormat="false" ht="15" hidden="false" customHeight="false" outlineLevel="0" collapsed="false">
      <c r="A11" s="7" t="s">
        <v>14</v>
      </c>
      <c r="B11" s="8" t="str">
        <f aca="false">IF(Estimates!H84="","",TEXT(Estimates!D84,"0.000")&amp;IF(Estimates!H84&lt;0.01,"***",IF(Estimates!H84&lt;0.05,"**",IF(Estimates!H84&lt;0.1,"*",""))))</f>
        <v>0.243**</v>
      </c>
      <c r="C11" s="8" t="str">
        <f aca="false">IF(Estimates!H85="","",TEXT(Estimates!D85,"0.000")&amp;IF(Estimates!H85&lt;0.01,"***",IF(Estimates!H85&lt;0.05,"**",IF(Estimates!H85&lt;0.1,"*",""))))</f>
        <v>0.227*</v>
      </c>
      <c r="D11" s="8" t="str">
        <f aca="false">IF(Estimates!H86="","",TEXT(Estimates!D86,"0.000")&amp;IF(Estimates!H86&lt;0.01,"***",IF(Estimates!H86&lt;0.05,"**",IF(Estimates!H86&lt;0.1,"*",""))))</f>
        <v>0.265***</v>
      </c>
      <c r="E11" s="8" t="str">
        <f aca="false">IF(Estimates!H87="","",TEXT(Estimates!D87,"0.000")&amp;IF(Estimates!H87&lt;0.01,"***",IF(Estimates!H87&lt;0.05,"**",IF(Estimates!H87&lt;0.1,"*",""))))</f>
        <v>0.262**</v>
      </c>
      <c r="F11" s="8" t="str">
        <f aca="false">IF(Estimates!H88="","",TEXT(Estimates!D88,"0.000")&amp;IF(Estimates!H88&lt;0.01,"***",IF(Estimates!H88&lt;0.05,"**",IF(Estimates!H88&lt;0.1,"*",""))))</f>
        <v>-0.012</v>
      </c>
      <c r="G11" s="8" t="str">
        <f aca="false">IF(Estimates!H89="","",TEXT(Estimates!D89,"0.000")&amp;IF(Estimates!H89&lt;0.01,"***",IF(Estimates!H89&lt;0.05,"**",IF(Estimates!H89&lt;0.1,"*",""))))</f>
        <v>-0.009</v>
      </c>
    </row>
    <row r="12" customFormat="false" ht="15" hidden="false" customHeight="false" outlineLevel="0" collapsed="false">
      <c r="B12" s="8" t="str">
        <f aca="false">IF(Estimates!G84="","","("&amp;TEXT(Estimates!G84,"0.00")&amp;")")</f>
        <v>(2.83)</v>
      </c>
      <c r="C12" s="8" t="str">
        <f aca="false">IF(Estimates!G85="","","("&amp;TEXT(Estimates!G85,"0.00")&amp;")")</f>
        <v>(2.03)</v>
      </c>
      <c r="D12" s="8" t="str">
        <f aca="false">IF(Estimates!G86="","","("&amp;TEXT(Estimates!G86,"0.00")&amp;")")</f>
        <v>(2.90)</v>
      </c>
      <c r="E12" s="8" t="str">
        <f aca="false">IF(Estimates!G87="","","("&amp;TEXT(Estimates!G87,"0.00")&amp;")")</f>
        <v>(2.86)</v>
      </c>
      <c r="F12" s="8" t="str">
        <f aca="false">IF(Estimates!G88="","","("&amp;TEXT(Estimates!G88,"0.00")&amp;")")</f>
        <v>(-0.87)</v>
      </c>
      <c r="G12" s="8" t="str">
        <f aca="false">IF(Estimates!G89="","","("&amp;TEXT(Estimates!G89,"0.00")&amp;")")</f>
        <v>(-0.56)</v>
      </c>
    </row>
    <row r="13" customFormat="false" ht="15" hidden="false" customHeight="false" outlineLevel="0" collapsed="false">
      <c r="A13" s="7" t="s">
        <v>35</v>
      </c>
      <c r="E13" s="8" t="str">
        <f aca="false">IF(Estimates!H90="","",TEXT(Estimates!D90,"0.000")&amp;IF(Estimates!H90&lt;0.01,"***",IF(Estimates!H90&lt;0.05,"**",IF(Estimates!H90&lt;0.1,"*",""))))</f>
        <v>0.136</v>
      </c>
    </row>
    <row r="14" customFormat="false" ht="15" hidden="false" customHeight="false" outlineLevel="0" collapsed="false">
      <c r="E14" s="8" t="str">
        <f aca="false">IF(Estimates!G90="","","("&amp;TEXT(Estimates!G90,"0.00")&amp;")")</f>
        <v>(1.08)</v>
      </c>
    </row>
    <row r="16" customFormat="false" ht="15" hidden="false" customHeight="false" outlineLevel="0" collapsed="false">
      <c r="A16" s="9" t="s">
        <v>16</v>
      </c>
      <c r="B16" s="10" t="str">
        <f aca="false">IF(Estimates!H91="","",TEXT(Estimates!D91,"0.000")&amp;IF(Estimates!H91&lt;0.01,"***",IF(Estimates!H91&lt;0.05,"**",IF(Estimates!H91&lt;0.1,"*",""))))</f>
        <v>-0.545**</v>
      </c>
      <c r="C16" s="10" t="str">
        <f aca="false">IF(Estimates!H92="","",TEXT(Estimates!D92,"0.000")&amp;IF(Estimates!H92&lt;0.01,"***",IF(Estimates!H92&lt;0.05,"**",IF(Estimates!H92&lt;0.1,"*",""))))</f>
        <v>-0.368</v>
      </c>
      <c r="D16" s="10" t="str">
        <f aca="false">IF(Estimates!H93="","",TEXT(Estimates!D93,"0.000")&amp;IF(Estimates!H93&lt;0.01,"***",IF(Estimates!H93&lt;0.05,"**",IF(Estimates!H93&lt;0.1,"*",""))))</f>
        <v>-0.426*</v>
      </c>
      <c r="E16" s="10" t="str">
        <f aca="false">IF(Estimates!H94="","",TEXT(Estimates!D94,"0.000")&amp;IF(Estimates!H94&lt;0.01,"***",IF(Estimates!H94&lt;0.05,"**",IF(Estimates!H94&lt;0.1,"*",""))))</f>
        <v>-0.482**</v>
      </c>
      <c r="F16" s="10" t="str">
        <f aca="false">IF(Estimates!H95="","",TEXT(Estimates!D95,"0.000")&amp;IF(Estimates!H95&lt;0.01,"***",IF(Estimates!H95&lt;0.05,"**",IF(Estimates!H95&lt;0.1,"*",""))))</f>
        <v>-0.550**</v>
      </c>
      <c r="G16" s="10" t="str">
        <f aca="false">IF(Estimates!H96="","",TEXT(Estimates!D96,"0.000")&amp;IF(Estimates!H96&lt;0.01,"***",IF(Estimates!H96&lt;0.05,"**",IF(Estimates!H96&lt;0.1,"*",""))))</f>
        <v>-0.550**</v>
      </c>
    </row>
    <row r="17" customFormat="false" ht="15" hidden="false" customHeight="false" outlineLevel="0" collapsed="false">
      <c r="B17" s="10" t="str">
        <f aca="false">IF(Estimates!G91="","","("&amp;TEXT(Estimates!G91,"0.00")&amp;")")</f>
        <v>(-2.30)</v>
      </c>
      <c r="C17" s="10" t="str">
        <f aca="false">IF(Estimates!G92="","","("&amp;TEXT(Estimates!G92,"0.00")&amp;")")</f>
        <v>(-1.61)</v>
      </c>
      <c r="D17" s="10" t="str">
        <f aca="false">IF(Estimates!G93="","","("&amp;TEXT(Estimates!G93,"0.00")&amp;")")</f>
        <v>(-2.05)</v>
      </c>
      <c r="E17" s="10" t="str">
        <f aca="false">IF(Estimates!G94="","","("&amp;TEXT(Estimates!G94,"0.00")&amp;")")</f>
        <v>(-2.13)</v>
      </c>
      <c r="F17" s="10" t="str">
        <f aca="false">IF(Estimates!G95="","","("&amp;TEXT(Estimates!G95,"0.00")&amp;")")</f>
        <v>(-2.63)</v>
      </c>
      <c r="G17" s="10" t="str">
        <f aca="false">IF(Estimates!G96="","","("&amp;TEXT(Estimates!G96,"0.00")&amp;")")</f>
        <v>(-2.61)</v>
      </c>
    </row>
    <row r="18" customFormat="false" ht="15" hidden="false" customHeight="false" outlineLevel="0" collapsed="false">
      <c r="A18" s="9" t="s">
        <v>17</v>
      </c>
      <c r="B18" s="10" t="str">
        <f aca="false">IF(Estimates!H97="","",TEXT(Estimates!D97,"0.000")&amp;IF(Estimates!H97&lt;0.01,"***",IF(Estimates!H97&lt;0.05,"**",IF(Estimates!H97&lt;0.1,"*",""))))</f>
        <v>-0.093</v>
      </c>
      <c r="C18" s="10" t="str">
        <f aca="false">IF(Estimates!H98="","",TEXT(Estimates!D98,"0.000")&amp;IF(Estimates!H98&lt;0.01,"***",IF(Estimates!H98&lt;0.05,"**",IF(Estimates!H98&lt;0.1,"*",""))))</f>
        <v>-0.247*</v>
      </c>
      <c r="D18" s="10" t="str">
        <f aca="false">IF(Estimates!H99="","",TEXT(Estimates!D99,"0.000")&amp;IF(Estimates!H99&lt;0.01,"***",IF(Estimates!H99&lt;0.05,"**",IF(Estimates!H99&lt;0.1,"*",""))))</f>
        <v>-0.327*</v>
      </c>
      <c r="E18" s="10" t="str">
        <f aca="false">IF(Estimates!H100="","",TEXT(Estimates!D100,"0.000")&amp;IF(Estimates!H100&lt;0.01,"***",IF(Estimates!H100&lt;0.05,"**",IF(Estimates!H100&lt;0.1,"*",""))))</f>
        <v>-0.201</v>
      </c>
      <c r="F18" s="10" t="str">
        <f aca="false">IF(Estimates!H101="","",TEXT(Estimates!D101,"0.000")&amp;IF(Estimates!H101&lt;0.01,"***",IF(Estimates!H101&lt;0.05,"**",IF(Estimates!H101&lt;0.1,"*",""))))</f>
        <v>-0.019</v>
      </c>
      <c r="G18" s="10" t="str">
        <f aca="false">IF(Estimates!H102="","",TEXT(Estimates!D102,"0.000")&amp;IF(Estimates!H102&lt;0.01,"***",IF(Estimates!H102&lt;0.05,"**",IF(Estimates!H102&lt;0.1,"*",""))))</f>
        <v>-0.022</v>
      </c>
    </row>
    <row r="19" customFormat="false" ht="15" hidden="false" customHeight="false" outlineLevel="0" collapsed="false">
      <c r="B19" s="10" t="str">
        <f aca="false">IF(Estimates!G97="","","("&amp;TEXT(Estimates!G97,"0.00")&amp;")")</f>
        <v>(-0.47)</v>
      </c>
      <c r="C19" s="10" t="str">
        <f aca="false">IF(Estimates!G98="","","("&amp;TEXT(Estimates!G98,"0.00")&amp;")")</f>
        <v>(-1.85)</v>
      </c>
      <c r="D19" s="10" t="str">
        <f aca="false">IF(Estimates!G99="","","("&amp;TEXT(Estimates!G99,"0.00")&amp;")")</f>
        <v>(-1.82)</v>
      </c>
      <c r="E19" s="10" t="str">
        <f aca="false">IF(Estimates!G100="","","("&amp;TEXT(Estimates!G100,"0.00")&amp;")")</f>
        <v>(-0.74)</v>
      </c>
      <c r="F19" s="10" t="str">
        <f aca="false">IF(Estimates!G101="","","("&amp;TEXT(Estimates!G101,"0.00")&amp;")")</f>
        <v>(-0.12)</v>
      </c>
      <c r="G19" s="10" t="str">
        <f aca="false">IF(Estimates!G102="","","("&amp;TEXT(Estimates!G102,"0.00")&amp;")")</f>
        <v>(-0.13)</v>
      </c>
    </row>
    <row r="21" customFormat="false" ht="15" hidden="false" customHeight="false" outlineLevel="0" collapsed="false">
      <c r="A21" s="7" t="s">
        <v>36</v>
      </c>
      <c r="B21" s="16" t="n">
        <v>12.3683727970779</v>
      </c>
      <c r="C21" s="16" t="n">
        <v>12.3301717063673</v>
      </c>
      <c r="D21" s="16" t="n">
        <v>0.0209645298371196</v>
      </c>
      <c r="E21" s="16" t="n">
        <v>12.3683727970779</v>
      </c>
      <c r="F21" s="16" t="n">
        <v>52.3322033898305</v>
      </c>
      <c r="G21" s="16" t="n">
        <v>52.3322033898305</v>
      </c>
    </row>
    <row r="22" customFormat="false" ht="15" hidden="false" customHeight="false" outlineLevel="0" collapsed="false">
      <c r="A22" s="7" t="s">
        <v>37</v>
      </c>
      <c r="B22" s="17" t="s">
        <v>38</v>
      </c>
      <c r="C22" s="17" t="s">
        <v>39</v>
      </c>
      <c r="D22" s="17" t="s">
        <v>40</v>
      </c>
      <c r="E22" s="17" t="s">
        <v>38</v>
      </c>
      <c r="F22" s="17" t="s">
        <v>41</v>
      </c>
      <c r="G22" s="17" t="s">
        <v>41</v>
      </c>
    </row>
    <row r="23" customFormat="false" ht="15" hidden="false" customHeight="false" outlineLevel="0" collapsed="false">
      <c r="A23" s="7" t="s">
        <v>18</v>
      </c>
      <c r="B23" s="11" t="n">
        <v>1033</v>
      </c>
      <c r="C23" s="11" t="n">
        <v>986</v>
      </c>
      <c r="D23" s="11" t="n">
        <v>1033</v>
      </c>
      <c r="E23" s="11" t="n">
        <v>1033</v>
      </c>
      <c r="F23" s="11" t="n">
        <v>1475</v>
      </c>
      <c r="G23" s="11" t="n">
        <v>1475</v>
      </c>
    </row>
    <row r="24" customFormat="false" ht="15" hidden="false" customHeight="false" outlineLevel="0" collapsed="false">
      <c r="A24" s="7" t="s">
        <v>42</v>
      </c>
      <c r="B24" s="11" t="n">
        <v>196</v>
      </c>
      <c r="C24" s="11" t="n">
        <v>181</v>
      </c>
      <c r="D24" s="11" t="n">
        <v>196</v>
      </c>
      <c r="E24" s="11" t="n">
        <v>196</v>
      </c>
      <c r="F24" s="11" t="n">
        <v>283</v>
      </c>
      <c r="G24" s="11" t="n">
        <v>283</v>
      </c>
    </row>
    <row r="25" customFormat="false" ht="15" hidden="false" customHeight="false" outlineLevel="0" collapsed="false">
      <c r="A25" s="7" t="s">
        <v>43</v>
      </c>
      <c r="B25" s="11" t="n">
        <v>29</v>
      </c>
      <c r="C25" s="11" t="n">
        <v>25</v>
      </c>
      <c r="D25" s="11" t="n">
        <v>29</v>
      </c>
      <c r="E25" s="11" t="n">
        <v>29</v>
      </c>
      <c r="F25" s="11" t="n">
        <v>42</v>
      </c>
      <c r="G25" s="11" t="n">
        <v>42</v>
      </c>
    </row>
    <row r="26" customFormat="false" ht="15" hidden="false" customHeight="false" outlineLevel="0" collapsed="false">
      <c r="A26" s="14" t="s">
        <v>19</v>
      </c>
      <c r="B26" s="18" t="n">
        <v>0.0629469509023997</v>
      </c>
      <c r="C26" s="18" t="n">
        <v>0.0673940750470222</v>
      </c>
      <c r="D26" s="18" t="n">
        <v>0.0611587774300835</v>
      </c>
      <c r="E26" s="18" t="n">
        <v>0.0626415129087005</v>
      </c>
      <c r="F26" s="18" t="n">
        <v>0.0738303885992353</v>
      </c>
      <c r="G26" s="18" t="n">
        <v>0.0732131551712757</v>
      </c>
    </row>
    <row r="29" customFormat="false" ht="15" hidden="false" customHeight="false" outlineLevel="0" collapsed="false">
      <c r="A29" s="1" t="s">
        <v>23</v>
      </c>
    </row>
    <row r="30" customFormat="false" ht="57.75" hidden="false" customHeight="true" outlineLevel="0" collapsed="false">
      <c r="A30" s="3"/>
      <c r="B30" s="4" t="s">
        <v>28</v>
      </c>
      <c r="C30" s="4" t="s">
        <v>29</v>
      </c>
      <c r="D30" s="4" t="s">
        <v>30</v>
      </c>
      <c r="E30" s="4" t="s">
        <v>31</v>
      </c>
      <c r="F30" s="4" t="s">
        <v>32</v>
      </c>
      <c r="G30" s="4" t="s">
        <v>33</v>
      </c>
    </row>
    <row r="31" customFormat="false" ht="23.85" hidden="false" customHeight="false" outlineLevel="0" collapsed="false">
      <c r="A31" s="5"/>
      <c r="B31" s="6" t="s">
        <v>24</v>
      </c>
      <c r="C31" s="6" t="s">
        <v>24</v>
      </c>
      <c r="D31" s="6" t="s">
        <v>24</v>
      </c>
      <c r="E31" s="6" t="s">
        <v>24</v>
      </c>
      <c r="F31" s="6" t="s">
        <v>24</v>
      </c>
      <c r="G31" s="6" t="s">
        <v>24</v>
      </c>
    </row>
    <row r="32" customFormat="false" ht="15" hidden="false" customHeight="false" outlineLevel="0" collapsed="false">
      <c r="A32" s="7" t="s">
        <v>34</v>
      </c>
      <c r="B32" s="8" t="str">
        <f aca="false">IF(Estimates!H103="","",TEXT(Estimates!D103,"0.000")&amp;IF(Estimates!H103&lt;0.01,"***",IF(Estimates!H103&lt;0.05,"**",IF(Estimates!H103&lt;0.1,"*",""))))</f>
        <v>-0.460***</v>
      </c>
      <c r="C32" s="8" t="str">
        <f aca="false">IF(Estimates!H104="","",TEXT(Estimates!D104,"0.000")&amp;IF(Estimates!H104&lt;0.01,"***",IF(Estimates!H104&lt;0.05,"**",IF(Estimates!H104&lt;0.1,"*",""))))</f>
        <v>-0.515***</v>
      </c>
      <c r="D32" s="8" t="str">
        <f aca="false">IF(Estimates!H105="","",TEXT(Estimates!D105,"0.000")&amp;IF(Estimates!H105&lt;0.01,"***",IF(Estimates!H105&lt;0.05,"**",IF(Estimates!H105&lt;0.1,"*",""))))</f>
        <v>-0.533***</v>
      </c>
      <c r="E32" s="8" t="str">
        <f aca="false">IF(Estimates!H106="","",TEXT(Estimates!D106,"0.000")&amp;IF(Estimates!H106&lt;0.01,"***",IF(Estimates!H106&lt;0.05,"**",IF(Estimates!H106&lt;0.1,"*",""))))</f>
        <v>-0.528***</v>
      </c>
      <c r="F32" s="8" t="str">
        <f aca="false">IF(Estimates!H107="","",TEXT(Estimates!D107,"0.000")&amp;IF(Estimates!H107&lt;0.01,"***",IF(Estimates!H107&lt;0.05,"**",IF(Estimates!H107&lt;0.1,"*",""))))</f>
        <v>-0.343**</v>
      </c>
      <c r="G32" s="8" t="str">
        <f aca="false">IF(Estimates!H108="","",TEXT(Estimates!D108,"0.000")&amp;IF(Estimates!H108&lt;0.01,"***",IF(Estimates!H108&lt;0.05,"**",IF(Estimates!H108&lt;0.1,"*",""))))</f>
        <v>-0.348**</v>
      </c>
    </row>
    <row r="33" customFormat="false" ht="15" hidden="false" customHeight="false" outlineLevel="0" collapsed="false">
      <c r="B33" s="8" t="str">
        <f aca="false">IF(Estimates!G103="","","("&amp;TEXT(Estimates!G103,"0.00")&amp;")")</f>
        <v>(-2.99)</v>
      </c>
      <c r="C33" s="8" t="str">
        <f aca="false">IF(Estimates!G104="","","("&amp;TEXT(Estimates!G104,"0.00")&amp;")")</f>
        <v>(-3.30)</v>
      </c>
      <c r="D33" s="8" t="str">
        <f aca="false">IF(Estimates!G105="","","("&amp;TEXT(Estimates!G105,"0.00")&amp;")")</f>
        <v>(-3.11)</v>
      </c>
      <c r="E33" s="8" t="str">
        <f aca="false">IF(Estimates!G106="","","("&amp;TEXT(Estimates!G106,"0.00")&amp;")")</f>
        <v>(-3.32)</v>
      </c>
      <c r="F33" s="8" t="str">
        <f aca="false">IF(Estimates!G107="","","("&amp;TEXT(Estimates!G107,"0.00")&amp;")")</f>
        <v>(-2.36)</v>
      </c>
      <c r="G33" s="8" t="str">
        <f aca="false">IF(Estimates!G108="","","("&amp;TEXT(Estimates!G108,"0.00")&amp;")")</f>
        <v>(-2.26)</v>
      </c>
    </row>
    <row r="34" customFormat="false" ht="15" hidden="false" customHeight="false" outlineLevel="0" collapsed="false">
      <c r="A34" s="7" t="s">
        <v>13</v>
      </c>
      <c r="B34" s="8" t="str">
        <f aca="false">IF(Estimates!H109="","",TEXT(Estimates!D109,"0.000")&amp;IF(Estimates!H109&lt;0.01,"***",IF(Estimates!H109&lt;0.05,"**",IF(Estimates!H109&lt;0.1,"*",""))))</f>
        <v>0.704**</v>
      </c>
      <c r="C34" s="8" t="str">
        <f aca="false">IF(Estimates!H110="","",TEXT(Estimates!D110,"0.000")&amp;IF(Estimates!H110&lt;0.01,"***",IF(Estimates!H110&lt;0.05,"**",IF(Estimates!H110&lt;0.1,"*",""))))</f>
        <v>0.637**</v>
      </c>
      <c r="D34" s="8" t="str">
        <f aca="false">IF(Estimates!H111="","",TEXT(Estimates!D111,"0.000")&amp;IF(Estimates!H111&lt;0.01,"***",IF(Estimates!H111&lt;0.05,"**",IF(Estimates!H111&lt;0.1,"*",""))))</f>
        <v>0.423*</v>
      </c>
      <c r="E34" s="8" t="str">
        <f aca="false">IF(Estimates!H112="","",TEXT(Estimates!D112,"0.000")&amp;IF(Estimates!H112&lt;0.01,"***",IF(Estimates!H112&lt;0.05,"**",IF(Estimates!H112&lt;0.1,"*",""))))</f>
        <v>0.355</v>
      </c>
      <c r="F34" s="8" t="str">
        <f aca="false">IF(Estimates!H113="","",TEXT(Estimates!D113,"0.000")&amp;IF(Estimates!H113&lt;0.01,"***",IF(Estimates!H113&lt;0.05,"**",IF(Estimates!H113&lt;0.1,"*",""))))</f>
        <v>0.021</v>
      </c>
      <c r="G34" s="8" t="str">
        <f aca="false">IF(Estimates!H114="","",TEXT(Estimates!D114,"0.000")&amp;IF(Estimates!H114&lt;0.01,"***",IF(Estimates!H114&lt;0.05,"**",IF(Estimates!H114&lt;0.1,"*",""))))</f>
        <v>0.019</v>
      </c>
    </row>
    <row r="35" customFormat="false" ht="15" hidden="false" customHeight="false" outlineLevel="0" collapsed="false">
      <c r="B35" s="8" t="str">
        <f aca="false">IF(Estimates!G109="","","("&amp;TEXT(Estimates!G109,"0.00")&amp;")")</f>
        <v>(2.66)</v>
      </c>
      <c r="C35" s="8" t="str">
        <f aca="false">IF(Estimates!G110="","","("&amp;TEXT(Estimates!G110,"0.00")&amp;")")</f>
        <v>(2.11)</v>
      </c>
      <c r="D35" s="8" t="str">
        <f aca="false">IF(Estimates!G111="","","("&amp;TEXT(Estimates!G111,"0.00")&amp;")")</f>
        <v>(1.88)</v>
      </c>
      <c r="E35" s="8" t="str">
        <f aca="false">IF(Estimates!G112="","","("&amp;TEXT(Estimates!G112,"0.00")&amp;")")</f>
        <v>(1.23)</v>
      </c>
      <c r="F35" s="8" t="str">
        <f aca="false">IF(Estimates!G113="","","("&amp;TEXT(Estimates!G113,"0.00")&amp;")")</f>
        <v>(1.31)</v>
      </c>
      <c r="G35" s="8" t="str">
        <f aca="false">IF(Estimates!G114="","","("&amp;TEXT(Estimates!G114,"0.00")&amp;")")</f>
        <v>(1.28)</v>
      </c>
    </row>
    <row r="36" customFormat="false" ht="15" hidden="false" customHeight="false" outlineLevel="0" collapsed="false">
      <c r="A36" s="7" t="s">
        <v>14</v>
      </c>
      <c r="B36" s="8" t="str">
        <f aca="false">IF(Estimates!H115="","",TEXT(Estimates!D115,"0.000")&amp;IF(Estimates!H115&lt;0.01,"***",IF(Estimates!H115&lt;0.05,"**",IF(Estimates!H115&lt;0.1,"*",""))))</f>
        <v>0.024</v>
      </c>
      <c r="C36" s="8" t="str">
        <f aca="false">IF(Estimates!H116="","",TEXT(Estimates!D116,"0.000")&amp;IF(Estimates!H116&lt;0.01,"***",IF(Estimates!H116&lt;0.05,"**",IF(Estimates!H116&lt;0.1,"*",""))))</f>
        <v>-0.118</v>
      </c>
      <c r="D36" s="8" t="str">
        <f aca="false">IF(Estimates!H117="","",TEXT(Estimates!D117,"0.000")&amp;IF(Estimates!H117&lt;0.01,"***",IF(Estimates!H117&lt;0.05,"**",IF(Estimates!H117&lt;0.1,"*",""))))</f>
        <v>0.043</v>
      </c>
      <c r="E36" s="8" t="str">
        <f aca="false">IF(Estimates!H118="","",TEXT(Estimates!D118,"0.000")&amp;IF(Estimates!H118&lt;0.01,"***",IF(Estimates!H118&lt;0.05,"**",IF(Estimates!H118&lt;0.1,"*",""))))</f>
        <v>0.061</v>
      </c>
      <c r="F36" s="8" t="str">
        <f aca="false">IF(Estimates!H119="","",TEXT(Estimates!D119,"0.000")&amp;IF(Estimates!H119&lt;0.01,"***",IF(Estimates!H119&lt;0.05,"**",IF(Estimates!H119&lt;0.1,"*",""))))</f>
        <v>-0.020</v>
      </c>
      <c r="G36" s="8" t="str">
        <f aca="false">IF(Estimates!H120="","",TEXT(Estimates!D120,"0.000")&amp;IF(Estimates!H120&lt;0.01,"***",IF(Estimates!H120&lt;0.05,"**",IF(Estimates!H120&lt;0.1,"*",""))))</f>
        <v>0.006</v>
      </c>
    </row>
    <row r="37" customFormat="false" ht="15" hidden="false" customHeight="false" outlineLevel="0" collapsed="false">
      <c r="B37" s="8" t="str">
        <f aca="false">IF(Estimates!G115="","","("&amp;TEXT(Estimates!G115,"0.00")&amp;")")</f>
        <v>(0.16)</v>
      </c>
      <c r="C37" s="8" t="str">
        <f aca="false">IF(Estimates!G116="","","("&amp;TEXT(Estimates!G116,"0.00")&amp;")")</f>
        <v>(-0.63)</v>
      </c>
      <c r="D37" s="8" t="str">
        <f aca="false">IF(Estimates!G117="","","("&amp;TEXT(Estimates!G117,"0.00")&amp;")")</f>
        <v>(0.28)</v>
      </c>
      <c r="E37" s="8" t="str">
        <f aca="false">IF(Estimates!G118="","","("&amp;TEXT(Estimates!G118,"0.00")&amp;")")</f>
        <v>(0.37)</v>
      </c>
      <c r="F37" s="8" t="str">
        <f aca="false">IF(Estimates!G119="","","("&amp;TEXT(Estimates!G119,"0.00")&amp;")")</f>
        <v>(-1.61)</v>
      </c>
      <c r="G37" s="8" t="str">
        <f aca="false">IF(Estimates!G120="","","("&amp;TEXT(Estimates!G120,"0.00")&amp;")")</f>
        <v>(0.41)</v>
      </c>
    </row>
    <row r="38" customFormat="false" ht="15" hidden="false" customHeight="false" outlineLevel="0" collapsed="false">
      <c r="A38" s="7" t="s">
        <v>35</v>
      </c>
      <c r="E38" s="8" t="str">
        <f aca="false">IF(Estimates!H121="","",TEXT(Estimates!D121,"0.000")&amp;IF(Estimates!H121&lt;0.01,"***",IF(Estimates!H121&lt;0.05,"**",IF(Estimates!H121&lt;0.1,"*",""))))</f>
        <v>0.225*</v>
      </c>
    </row>
    <row r="39" customFormat="false" ht="15" hidden="false" customHeight="false" outlineLevel="0" collapsed="false">
      <c r="E39" s="8" t="str">
        <f aca="false">IF(Estimates!G121="","","("&amp;TEXT(Estimates!G121,"0.00")&amp;")")</f>
        <v>(1.75)</v>
      </c>
    </row>
    <row r="41" customFormat="false" ht="15" hidden="false" customHeight="false" outlineLevel="0" collapsed="false">
      <c r="A41" s="9" t="s">
        <v>16</v>
      </c>
      <c r="B41" s="10" t="str">
        <f aca="false">IF(Estimates!H122="","",TEXT(Estimates!D122,"0.000")&amp;IF(Estimates!H122&lt;0.01,"***",IF(Estimates!H122&lt;0.05,"**",IF(Estimates!H122&lt;0.1,"*",""))))</f>
        <v>-0.758***</v>
      </c>
      <c r="C41" s="10" t="str">
        <f aca="false">IF(Estimates!H123="","",TEXT(Estimates!D123,"0.000")&amp;IF(Estimates!H123&lt;0.01,"***",IF(Estimates!H123&lt;0.05,"**",IF(Estimates!H123&lt;0.1,"*",""))))</f>
        <v>-0.774***</v>
      </c>
      <c r="D41" s="10" t="str">
        <f aca="false">IF(Estimates!H124="","",TEXT(Estimates!D124,"0.000")&amp;IF(Estimates!H124&lt;0.01,"***",IF(Estimates!H124&lt;0.05,"**",IF(Estimates!H124&lt;0.1,"*",""))))</f>
        <v>-0.679***</v>
      </c>
      <c r="E41" s="10" t="str">
        <f aca="false">IF(Estimates!H125="","",TEXT(Estimates!D125,"0.000")&amp;IF(Estimates!H125&lt;0.01,"***",IF(Estimates!H125&lt;0.05,"**",IF(Estimates!H125&lt;0.1,"*",""))))</f>
        <v>-0.678***</v>
      </c>
      <c r="F41" s="10" t="str">
        <f aca="false">IF(Estimates!H126="","",TEXT(Estimates!D126,"0.000")&amp;IF(Estimates!H126&lt;0.01,"***",IF(Estimates!H126&lt;0.05,"**",IF(Estimates!H126&lt;0.1,"*",""))))</f>
        <v>-0.470***</v>
      </c>
      <c r="G41" s="10" t="str">
        <f aca="false">IF(Estimates!H127="","",TEXT(Estimates!D127,"0.000")&amp;IF(Estimates!H127&lt;0.01,"***",IF(Estimates!H127&lt;0.05,"**",IF(Estimates!H127&lt;0.1,"*",""))))</f>
        <v>-0.468***</v>
      </c>
    </row>
    <row r="42" customFormat="false" ht="15" hidden="false" customHeight="false" outlineLevel="0" collapsed="false">
      <c r="B42" s="10" t="str">
        <f aca="false">IF(Estimates!G122="","","("&amp;TEXT(Estimates!G122,"0.00")&amp;")")</f>
        <v>(-3.94)</v>
      </c>
      <c r="C42" s="10" t="str">
        <f aca="false">IF(Estimates!G123="","","("&amp;TEXT(Estimates!G123,"0.00")&amp;")")</f>
        <v>(-3.83)</v>
      </c>
      <c r="D42" s="10" t="str">
        <f aca="false">IF(Estimates!G124="","","("&amp;TEXT(Estimates!G124,"0.00")&amp;")")</f>
        <v>(-3.79)</v>
      </c>
      <c r="E42" s="10" t="str">
        <f aca="false">IF(Estimates!G125="","","("&amp;TEXT(Estimates!G125,"0.00")&amp;")")</f>
        <v>(-3.83)</v>
      </c>
      <c r="F42" s="10" t="str">
        <f aca="false">IF(Estimates!G126="","","("&amp;TEXT(Estimates!G126,"0.00")&amp;")")</f>
        <v>(-3.16)</v>
      </c>
      <c r="G42" s="10" t="str">
        <f aca="false">IF(Estimates!G127="","","("&amp;TEXT(Estimates!G127,"0.00")&amp;")")</f>
        <v>(-2.97)</v>
      </c>
    </row>
    <row r="43" customFormat="false" ht="15" hidden="false" customHeight="false" outlineLevel="0" collapsed="false">
      <c r="A43" s="9" t="s">
        <v>17</v>
      </c>
      <c r="B43" s="10" t="str">
        <f aca="false">IF(Estimates!H128="","",TEXT(Estimates!D128,"0.000")&amp;IF(Estimates!H128&lt;0.01,"***",IF(Estimates!H128&lt;0.05,"**",IF(Estimates!H128&lt;0.1,"*",""))))</f>
        <v>-0.227</v>
      </c>
      <c r="C43" s="10" t="str">
        <f aca="false">IF(Estimates!H129="","",TEXT(Estimates!D129,"0.000")&amp;IF(Estimates!H129&lt;0.01,"***",IF(Estimates!H129&lt;0.05,"**",IF(Estimates!H129&lt;0.1,"*",""))))</f>
        <v>-0.300</v>
      </c>
      <c r="D43" s="10" t="str">
        <f aca="false">IF(Estimates!H130="","",TEXT(Estimates!D130,"0.000")&amp;IF(Estimates!H130&lt;0.01,"***",IF(Estimates!H130&lt;0.05,"**",IF(Estimates!H130&lt;0.1,"*",""))))</f>
        <v>-0.375*</v>
      </c>
      <c r="E43" s="10" t="str">
        <f aca="false">IF(Estimates!H131="","",TEXT(Estimates!D131,"0.000")&amp;IF(Estimates!H131&lt;0.01,"***",IF(Estimates!H131&lt;0.05,"**",IF(Estimates!H131&lt;0.1,"*",""))))</f>
        <v>-0.411*</v>
      </c>
      <c r="F43" s="10" t="str">
        <f aca="false">IF(Estimates!H132="","",TEXT(Estimates!D132,"0.000")&amp;IF(Estimates!H132&lt;0.01,"***",IF(Estimates!H132&lt;0.05,"**",IF(Estimates!H132&lt;0.1,"*",""))))</f>
        <v>-0.222</v>
      </c>
      <c r="G43" s="10" t="str">
        <f aca="false">IF(Estimates!H133="","",TEXT(Estimates!D133,"0.000")&amp;IF(Estimates!H133&lt;0.01,"***",IF(Estimates!H133&lt;0.05,"**",IF(Estimates!H133&lt;0.1,"*",""))))</f>
        <v>-0.234</v>
      </c>
    </row>
    <row r="44" customFormat="false" ht="15" hidden="false" customHeight="false" outlineLevel="0" collapsed="false">
      <c r="B44" s="10" t="str">
        <f aca="false">IF(Estimates!G128="","","("&amp;TEXT(Estimates!G128,"0.00")&amp;")")</f>
        <v>(-1.30)</v>
      </c>
      <c r="C44" s="10" t="str">
        <f aca="false">IF(Estimates!G129="","","("&amp;TEXT(Estimates!G129,"0.00")&amp;")")</f>
        <v>(-1.64)</v>
      </c>
      <c r="D44" s="10" t="str">
        <f aca="false">IF(Estimates!G130="","","("&amp;TEXT(Estimates!G130,"0.00")&amp;")")</f>
        <v>(-1.88)</v>
      </c>
      <c r="E44" s="10" t="str">
        <f aca="false">IF(Estimates!G131="","","("&amp;TEXT(Estimates!G131,"0.00")&amp;")")</f>
        <v>(-2.02)</v>
      </c>
      <c r="F44" s="10" t="str">
        <f aca="false">IF(Estimates!G132="","","("&amp;TEXT(Estimates!G132,"0.00")&amp;")")</f>
        <v>(-1.14)</v>
      </c>
      <c r="G44" s="10" t="str">
        <f aca="false">IF(Estimates!G133="","","("&amp;TEXT(Estimates!G133,"0.00")&amp;")")</f>
        <v>(-1.19)</v>
      </c>
    </row>
    <row r="46" customFormat="false" ht="15" hidden="false" customHeight="false" outlineLevel="0" collapsed="false">
      <c r="A46" s="7" t="s">
        <v>36</v>
      </c>
      <c r="B46" s="16" t="n">
        <v>12.3609155909562</v>
      </c>
      <c r="C46" s="16" t="n">
        <v>12.3247352918766</v>
      </c>
      <c r="D46" s="16" t="n">
        <v>0.00611739722101835</v>
      </c>
      <c r="E46" s="16" t="n">
        <v>12.3609155909562</v>
      </c>
      <c r="F46" s="16" t="n">
        <v>52.1458015267176</v>
      </c>
      <c r="G46" s="16" t="n">
        <v>52.1458015267176</v>
      </c>
    </row>
    <row r="47" customFormat="false" ht="15" hidden="false" customHeight="false" outlineLevel="0" collapsed="false">
      <c r="A47" s="7" t="s">
        <v>37</v>
      </c>
      <c r="B47" s="17" t="s">
        <v>44</v>
      </c>
      <c r="C47" s="17" t="s">
        <v>45</v>
      </c>
      <c r="D47" s="17" t="s">
        <v>46</v>
      </c>
      <c r="E47" s="17" t="s">
        <v>44</v>
      </c>
      <c r="F47" s="17" t="s">
        <v>41</v>
      </c>
      <c r="G47" s="17" t="s">
        <v>41</v>
      </c>
    </row>
    <row r="48" customFormat="false" ht="15" hidden="false" customHeight="false" outlineLevel="0" collapsed="false">
      <c r="A48" s="7" t="s">
        <v>18</v>
      </c>
      <c r="B48" s="11" t="n">
        <v>930</v>
      </c>
      <c r="C48" s="11" t="n">
        <v>890</v>
      </c>
      <c r="D48" s="11" t="n">
        <v>930</v>
      </c>
      <c r="E48" s="11" t="n">
        <v>930</v>
      </c>
      <c r="F48" s="11" t="n">
        <v>1310</v>
      </c>
      <c r="G48" s="11" t="n">
        <v>1310</v>
      </c>
    </row>
    <row r="49" customFormat="false" ht="15" hidden="false" customHeight="false" outlineLevel="0" collapsed="false">
      <c r="A49" s="7" t="s">
        <v>42</v>
      </c>
      <c r="B49" s="11" t="n">
        <v>191</v>
      </c>
      <c r="C49" s="11" t="n">
        <v>177</v>
      </c>
      <c r="D49" s="11" t="n">
        <v>191</v>
      </c>
      <c r="E49" s="11" t="n">
        <v>191</v>
      </c>
      <c r="F49" s="11" t="n">
        <v>258</v>
      </c>
      <c r="G49" s="11" t="n">
        <v>258</v>
      </c>
    </row>
    <row r="50" customFormat="false" ht="15" hidden="false" customHeight="false" outlineLevel="0" collapsed="false">
      <c r="A50" s="7" t="s">
        <v>43</v>
      </c>
      <c r="B50" s="11" t="n">
        <v>29</v>
      </c>
      <c r="C50" s="11" t="n">
        <v>25</v>
      </c>
      <c r="D50" s="11" t="n">
        <v>29</v>
      </c>
      <c r="E50" s="11" t="n">
        <v>29</v>
      </c>
      <c r="F50" s="11" t="n">
        <v>41</v>
      </c>
      <c r="G50" s="11" t="n">
        <v>41</v>
      </c>
    </row>
    <row r="51" customFormat="false" ht="15" hidden="false" customHeight="false" outlineLevel="0" collapsed="false">
      <c r="A51" s="14" t="s">
        <v>19</v>
      </c>
      <c r="B51" s="18" t="n">
        <v>0.156920600746335</v>
      </c>
      <c r="C51" s="18" t="n">
        <v>0.172215783664559</v>
      </c>
      <c r="D51" s="18" t="n">
        <v>0.154712447388442</v>
      </c>
      <c r="E51" s="18" t="n">
        <v>0.1579048604726</v>
      </c>
      <c r="F51" s="18" t="n">
        <v>0.164260085784753</v>
      </c>
      <c r="G51" s="18" t="n">
        <v>0.166949443270048</v>
      </c>
    </row>
    <row r="54" customFormat="false" ht="15" hidden="false" customHeight="false" outlineLevel="0" collapsed="false">
      <c r="A54" s="9" t="s">
        <v>25</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36"/>
  </cols>
  <sheetData>
    <row r="1" customFormat="false" ht="15" hidden="false" customHeight="false" outlineLevel="0" collapsed="false">
      <c r="A1" s="9" t="s">
        <v>47</v>
      </c>
    </row>
    <row r="3" customFormat="false" ht="15" hidden="false" customHeight="false" outlineLevel="0" collapsed="false">
      <c r="A3" s="1" t="s">
        <v>48</v>
      </c>
      <c r="B3" s="1" t="s">
        <v>49</v>
      </c>
      <c r="C3" s="1" t="s">
        <v>50</v>
      </c>
      <c r="D3" s="1" t="s">
        <v>51</v>
      </c>
      <c r="E3" s="1" t="s">
        <v>52</v>
      </c>
      <c r="F3" s="1" t="s">
        <v>53</v>
      </c>
      <c r="G3" s="1" t="s">
        <v>54</v>
      </c>
      <c r="H3" s="1" t="s">
        <v>55</v>
      </c>
    </row>
    <row r="4" customFormat="false" ht="15" hidden="false" customHeight="false" outlineLevel="0" collapsed="false">
      <c r="A4" s="7" t="s">
        <v>56</v>
      </c>
      <c r="B4" s="7" t="s">
        <v>57</v>
      </c>
      <c r="C4" s="7" t="s">
        <v>12</v>
      </c>
      <c r="D4" s="19" t="n">
        <v>-0.313700526442602</v>
      </c>
      <c r="E4" s="19" t="n">
        <v>0.277834139155147</v>
      </c>
      <c r="F4" s="20" t="n">
        <v>19</v>
      </c>
      <c r="G4" s="21" t="n">
        <f aca="false">IF(AND(ISNUMBER(D4),E4&gt;0),D4/E4,"")</f>
        <v>-1.12909280118174</v>
      </c>
      <c r="H4" s="21" t="n">
        <f aca="false">IF(G4="","",TDIST(ABS(G4),F4-1,2))</f>
        <v>0.27368227545357</v>
      </c>
    </row>
    <row r="5" customFormat="false" ht="15" hidden="false" customHeight="false" outlineLevel="0" collapsed="false">
      <c r="A5" s="7" t="s">
        <v>58</v>
      </c>
      <c r="B5" s="7" t="s">
        <v>57</v>
      </c>
      <c r="C5" s="7" t="s">
        <v>12</v>
      </c>
      <c r="D5" s="19" t="n">
        <v>-0.221065482000623</v>
      </c>
      <c r="E5" s="19" t="n">
        <v>0.194442102665105</v>
      </c>
      <c r="F5" s="20" t="n">
        <v>19</v>
      </c>
      <c r="G5" s="21" t="n">
        <f aca="false">IF(AND(ISNUMBER(D5),E5&gt;0),D5/E5,"")</f>
        <v>-1.13692188559271</v>
      </c>
      <c r="H5" s="21" t="n">
        <f aca="false">IF(G5="","",TDIST(ABS(G5),F5-1,2))</f>
        <v>0.27048041938156</v>
      </c>
    </row>
    <row r="6" customFormat="false" ht="15" hidden="false" customHeight="false" outlineLevel="0" collapsed="false">
      <c r="A6" s="7" t="s">
        <v>59</v>
      </c>
      <c r="B6" s="7" t="s">
        <v>57</v>
      </c>
      <c r="C6" s="7" t="s">
        <v>12</v>
      </c>
      <c r="D6" s="19" t="n">
        <v>-0.690180994494147</v>
      </c>
      <c r="E6" s="19" t="n">
        <v>0.241343502970069</v>
      </c>
      <c r="F6" s="20" t="n">
        <v>19</v>
      </c>
      <c r="G6" s="21" t="n">
        <f aca="false">IF(AND(ISNUMBER(D6),E6&gt;0),D6/E6,"")</f>
        <v>-2.85974549138678</v>
      </c>
      <c r="H6" s="21" t="n">
        <f aca="false">IF(G6="","",TDIST(ABS(G6),F6-1,2))</f>
        <v>0.0104110554729896</v>
      </c>
    </row>
    <row r="7" customFormat="false" ht="15" hidden="false" customHeight="false" outlineLevel="0" collapsed="false">
      <c r="A7" s="7" t="s">
        <v>60</v>
      </c>
      <c r="B7" s="7" t="s">
        <v>57</v>
      </c>
      <c r="C7" s="7" t="s">
        <v>12</v>
      </c>
      <c r="D7" s="19" t="n">
        <v>-0.62326381213097</v>
      </c>
      <c r="E7" s="19" t="n">
        <v>0.224102490448281</v>
      </c>
      <c r="F7" s="20" t="n">
        <v>19</v>
      </c>
      <c r="G7" s="21" t="n">
        <f aca="false">IF(AND(ISNUMBER(D7),E7&gt;0),D7/E7,"")</f>
        <v>-2.78115522448783</v>
      </c>
      <c r="H7" s="21" t="n">
        <f aca="false">IF(G7="","",TDIST(ABS(G7),F7-1,2))</f>
        <v>0.0123240915660033</v>
      </c>
    </row>
    <row r="8" customFormat="false" ht="15" hidden="false" customHeight="false" outlineLevel="0" collapsed="false">
      <c r="A8" s="7" t="s">
        <v>61</v>
      </c>
      <c r="B8" s="7" t="s">
        <v>57</v>
      </c>
      <c r="C8" s="7" t="s">
        <v>12</v>
      </c>
      <c r="D8" s="19" t="n">
        <v>-0.338918133012792</v>
      </c>
      <c r="E8" s="19" t="n">
        <v>0.194205108771773</v>
      </c>
      <c r="F8" s="20" t="n">
        <v>19</v>
      </c>
      <c r="G8" s="21" t="n">
        <f aca="false">IF(AND(ISNUMBER(D8),E8&gt;0),D8/E8,"")</f>
        <v>-1.74515559943938</v>
      </c>
      <c r="H8" s="21" t="n">
        <f aca="false">IF(G8="","",TDIST(ABS(G8),F8-1,2))</f>
        <v>0.0980057570757696</v>
      </c>
    </row>
    <row r="9" customFormat="false" ht="15" hidden="false" customHeight="false" outlineLevel="0" collapsed="false">
      <c r="A9" s="7" t="s">
        <v>62</v>
      </c>
      <c r="B9" s="7" t="s">
        <v>57</v>
      </c>
      <c r="C9" s="7" t="s">
        <v>12</v>
      </c>
      <c r="D9" s="19" t="n">
        <v>-0.378898980860871</v>
      </c>
      <c r="E9" s="19" t="n">
        <v>0.18412671902892</v>
      </c>
      <c r="F9" s="20" t="n">
        <v>19</v>
      </c>
      <c r="G9" s="21" t="n">
        <f aca="false">IF(AND(ISNUMBER(D9),E9&gt;0),D9/E9,"")</f>
        <v>-2.05781639329249</v>
      </c>
      <c r="H9" s="21" t="n">
        <f aca="false">IF(G9="","",TDIST(ABS(G9),F9-1,2))</f>
        <v>0.0543886326033021</v>
      </c>
    </row>
    <row r="10" customFormat="false" ht="15" hidden="false" customHeight="false" outlineLevel="0" collapsed="false">
      <c r="A10" s="7" t="s">
        <v>63</v>
      </c>
      <c r="B10" s="7" t="s">
        <v>57</v>
      </c>
      <c r="C10" s="7" t="s">
        <v>12</v>
      </c>
      <c r="D10" s="19" t="n">
        <v>-0.29541454880032</v>
      </c>
      <c r="E10" s="19" t="n">
        <v>0.138966549270016</v>
      </c>
      <c r="F10" s="20" t="n">
        <v>19</v>
      </c>
      <c r="G10" s="21" t="n">
        <f aca="false">IF(AND(ISNUMBER(D10),E10&gt;0),D10/E10,"")</f>
        <v>-2.12579610238663</v>
      </c>
      <c r="H10" s="21" t="n">
        <f aca="false">IF(G10="","",TDIST(ABS(G10),F10-1,2))</f>
        <v>0.0476164209251456</v>
      </c>
    </row>
    <row r="11" customFormat="false" ht="15" hidden="false" customHeight="false" outlineLevel="0" collapsed="false">
      <c r="A11" s="7" t="s">
        <v>64</v>
      </c>
      <c r="B11" s="7" t="s">
        <v>57</v>
      </c>
      <c r="C11" s="7" t="s">
        <v>12</v>
      </c>
      <c r="D11" s="19" t="n">
        <v>-0.270217835915951</v>
      </c>
      <c r="E11" s="19" t="n">
        <v>0.138967312075659</v>
      </c>
      <c r="F11" s="20" t="n">
        <v>19</v>
      </c>
      <c r="G11" s="21" t="n">
        <f aca="false">IF(AND(ISNUMBER(D11),E11&gt;0),D11/E11,"")</f>
        <v>-1.94447047927958</v>
      </c>
      <c r="H11" s="21" t="n">
        <f aca="false">IF(G11="","",TDIST(ABS(G11),F11-1,2))</f>
        <v>0.0676350534910319</v>
      </c>
    </row>
    <row r="12" customFormat="false" ht="15" hidden="false" customHeight="false" outlineLevel="0" collapsed="false">
      <c r="A12" s="7" t="s">
        <v>56</v>
      </c>
      <c r="B12" s="7" t="s">
        <v>57</v>
      </c>
      <c r="C12" s="7" t="s">
        <v>13</v>
      </c>
      <c r="D12" s="19" t="n">
        <v>-0.332190182551794</v>
      </c>
      <c r="E12" s="19" t="n">
        <v>0.284605855988356</v>
      </c>
      <c r="F12" s="20" t="n">
        <v>19</v>
      </c>
      <c r="G12" s="21" t="n">
        <f aca="false">IF(AND(ISNUMBER(D12),E12&gt;0),D12/E12,"")</f>
        <v>-1.16719377188566</v>
      </c>
      <c r="H12" s="21" t="n">
        <f aca="false">IF(G12="","",TDIST(ABS(G12),F12-1,2))</f>
        <v>0.258362337409833</v>
      </c>
    </row>
    <row r="13" customFormat="false" ht="15" hidden="false" customHeight="false" outlineLevel="0" collapsed="false">
      <c r="A13" s="7" t="s">
        <v>58</v>
      </c>
      <c r="B13" s="7" t="s">
        <v>57</v>
      </c>
      <c r="C13" s="7" t="s">
        <v>13</v>
      </c>
      <c r="D13" s="19" t="n">
        <v>-0.622906760329124</v>
      </c>
      <c r="E13" s="19" t="n">
        <v>0.447681186042887</v>
      </c>
      <c r="F13" s="20" t="n">
        <v>19</v>
      </c>
      <c r="G13" s="21" t="n">
        <f aca="false">IF(AND(ISNUMBER(D13),E13&gt;0),D13/E13,"")</f>
        <v>-1.39140705428137</v>
      </c>
      <c r="H13" s="21" t="n">
        <f aca="false">IF(G13="","",TDIST(ABS(G13),F13-1,2))</f>
        <v>0.181061031630893</v>
      </c>
    </row>
    <row r="14" customFormat="false" ht="15" hidden="false" customHeight="false" outlineLevel="0" collapsed="false">
      <c r="A14" s="7" t="s">
        <v>59</v>
      </c>
      <c r="B14" s="7" t="s">
        <v>57</v>
      </c>
      <c r="C14" s="7" t="s">
        <v>13</v>
      </c>
      <c r="D14" s="19" t="n">
        <v>0.384737889731003</v>
      </c>
      <c r="E14" s="19" t="n">
        <v>0.268107866392617</v>
      </c>
      <c r="F14" s="20" t="n">
        <v>19</v>
      </c>
      <c r="G14" s="21" t="n">
        <f aca="false">IF(AND(ISNUMBER(D14),E14&gt;0),D14/E14,"")</f>
        <v>1.43501156794703</v>
      </c>
      <c r="H14" s="21" t="n">
        <f aca="false">IF(G14="","",TDIST(ABS(G14),F14-1,2))</f>
        <v>0.16843205301312</v>
      </c>
    </row>
    <row r="15" customFormat="false" ht="15" hidden="false" customHeight="false" outlineLevel="0" collapsed="false">
      <c r="A15" s="7" t="s">
        <v>60</v>
      </c>
      <c r="B15" s="7" t="s">
        <v>57</v>
      </c>
      <c r="C15" s="7" t="s">
        <v>13</v>
      </c>
      <c r="D15" s="19" t="n">
        <v>0.621637151156734</v>
      </c>
      <c r="E15" s="19" t="n">
        <v>0.308657653187377</v>
      </c>
      <c r="F15" s="20" t="n">
        <v>19</v>
      </c>
      <c r="G15" s="21" t="n">
        <f aca="false">IF(AND(ISNUMBER(D15),E15&gt;0),D15/E15,"")</f>
        <v>2.0140020658401</v>
      </c>
      <c r="H15" s="21" t="n">
        <f aca="false">IF(G15="","",TDIST(ABS(G15),F15-1,2))</f>
        <v>0.0592036546415444</v>
      </c>
    </row>
    <row r="16" customFormat="false" ht="15" hidden="false" customHeight="false" outlineLevel="0" collapsed="false">
      <c r="A16" s="7" t="s">
        <v>61</v>
      </c>
      <c r="B16" s="7" t="s">
        <v>57</v>
      </c>
      <c r="C16" s="7" t="s">
        <v>13</v>
      </c>
      <c r="D16" s="19" t="n">
        <v>-0.975229750926969</v>
      </c>
      <c r="E16" s="19" t="n">
        <v>0.40245284736948</v>
      </c>
      <c r="F16" s="20" t="n">
        <v>19</v>
      </c>
      <c r="G16" s="21" t="n">
        <f aca="false">IF(AND(ISNUMBER(D16),E16&gt;0),D16/E16,"")</f>
        <v>-2.42321493636158</v>
      </c>
      <c r="H16" s="21" t="n">
        <f aca="false">IF(G16="","",TDIST(ABS(G16),F16-1,2))</f>
        <v>0.0261487473451402</v>
      </c>
    </row>
    <row r="17" customFormat="false" ht="15" hidden="false" customHeight="false" outlineLevel="0" collapsed="false">
      <c r="A17" s="7" t="s">
        <v>62</v>
      </c>
      <c r="B17" s="7" t="s">
        <v>57</v>
      </c>
      <c r="C17" s="7" t="s">
        <v>13</v>
      </c>
      <c r="D17" s="19" t="n">
        <v>-0.901651876733165</v>
      </c>
      <c r="E17" s="19" t="n">
        <v>0.196103076484893</v>
      </c>
      <c r="F17" s="20" t="n">
        <v>19</v>
      </c>
      <c r="G17" s="21" t="n">
        <f aca="false">IF(AND(ISNUMBER(D17),E17&gt;0),D17/E17,"")</f>
        <v>-4.59784666765606</v>
      </c>
      <c r="H17" s="21" t="n">
        <f aca="false">IF(G17="","",TDIST(ABS(G17),F17-1,2))</f>
        <v>0.000223303644297568</v>
      </c>
    </row>
    <row r="18" customFormat="false" ht="15" hidden="false" customHeight="false" outlineLevel="0" collapsed="false">
      <c r="A18" s="7" t="s">
        <v>63</v>
      </c>
      <c r="B18" s="7" t="s">
        <v>57</v>
      </c>
      <c r="C18" s="7" t="s">
        <v>13</v>
      </c>
      <c r="D18" s="19" t="n">
        <v>0.554310736522877</v>
      </c>
      <c r="E18" s="19" t="n">
        <v>0.408567341787208</v>
      </c>
      <c r="F18" s="20" t="n">
        <v>19</v>
      </c>
      <c r="G18" s="21" t="n">
        <f aca="false">IF(AND(ISNUMBER(D18),E18&gt;0),D18/E18,"")</f>
        <v>1.35671817061574</v>
      </c>
      <c r="H18" s="21" t="n">
        <f aca="false">IF(G18="","",TDIST(ABS(G18),F18-1,2))</f>
        <v>0.191643465102187</v>
      </c>
    </row>
    <row r="19" customFormat="false" ht="15" hidden="false" customHeight="false" outlineLevel="0" collapsed="false">
      <c r="A19" s="7" t="s">
        <v>64</v>
      </c>
      <c r="B19" s="7" t="s">
        <v>57</v>
      </c>
      <c r="C19" s="7" t="s">
        <v>13</v>
      </c>
      <c r="D19" s="19" t="n">
        <v>0.0442392561390787</v>
      </c>
      <c r="E19" s="19" t="n">
        <v>0.0209581507543564</v>
      </c>
      <c r="F19" s="20" t="n">
        <v>19</v>
      </c>
      <c r="G19" s="21" t="n">
        <f aca="false">IF(AND(ISNUMBER(D19),E19&gt;0),D19/E19,"")</f>
        <v>2.11083776701449</v>
      </c>
      <c r="H19" s="21" t="n">
        <f aca="false">IF(G19="","",TDIST(ABS(G19),F19-1,2))</f>
        <v>0.0490370997409041</v>
      </c>
    </row>
    <row r="20" customFormat="false" ht="15" hidden="false" customHeight="false" outlineLevel="0" collapsed="false">
      <c r="A20" s="7" t="s">
        <v>56</v>
      </c>
      <c r="B20" s="7" t="s">
        <v>57</v>
      </c>
      <c r="C20" s="7" t="s">
        <v>14</v>
      </c>
      <c r="D20" s="19" t="n">
        <v>0.0958080396388998</v>
      </c>
      <c r="E20" s="19" t="n">
        <v>0.176014036994307</v>
      </c>
      <c r="F20" s="20" t="n">
        <v>19</v>
      </c>
      <c r="G20" s="21" t="n">
        <f aca="false">IF(AND(ISNUMBER(D20),E20&gt;0),D20/E20,"")</f>
        <v>0.544320448953732</v>
      </c>
      <c r="H20" s="21" t="n">
        <f aca="false">IF(G20="","",TDIST(ABS(G20),F20-1,2))</f>
        <v>0.59290065953854</v>
      </c>
    </row>
    <row r="21" customFormat="false" ht="15" hidden="false" customHeight="false" outlineLevel="0" collapsed="false">
      <c r="A21" s="7" t="s">
        <v>58</v>
      </c>
      <c r="B21" s="7" t="s">
        <v>57</v>
      </c>
      <c r="C21" s="7" t="s">
        <v>14</v>
      </c>
      <c r="D21" s="19" t="n">
        <v>0.221578960235529</v>
      </c>
      <c r="E21" s="19" t="n">
        <v>0.307842411195463</v>
      </c>
      <c r="F21" s="20" t="n">
        <v>19</v>
      </c>
      <c r="G21" s="21" t="n">
        <f aca="false">IF(AND(ISNUMBER(D21),E21&gt;0),D21/E21,"")</f>
        <v>0.719780485655171</v>
      </c>
      <c r="H21" s="21" t="n">
        <f aca="false">IF(G21="","",TDIST(ABS(G21),F21-1,2))</f>
        <v>0.480902519396403</v>
      </c>
    </row>
    <row r="22" customFormat="false" ht="15" hidden="false" customHeight="false" outlineLevel="0" collapsed="false">
      <c r="A22" s="7" t="s">
        <v>59</v>
      </c>
      <c r="B22" s="7" t="s">
        <v>57</v>
      </c>
      <c r="C22" s="7" t="s">
        <v>14</v>
      </c>
      <c r="D22" s="19" t="n">
        <v>-0.0670463256211254</v>
      </c>
      <c r="E22" s="19" t="n">
        <v>0.161259866624896</v>
      </c>
      <c r="F22" s="20" t="n">
        <v>19</v>
      </c>
      <c r="G22" s="21" t="n">
        <f aca="false">IF(AND(ISNUMBER(D22),E22&gt;0),D22/E22,"")</f>
        <v>-0.415765726614922</v>
      </c>
      <c r="H22" s="21" t="n">
        <f aca="false">IF(G22="","",TDIST(ABS(G22),F22-1,2))</f>
        <v>0.682496113537036</v>
      </c>
    </row>
    <row r="23" customFormat="false" ht="15" hidden="false" customHeight="false" outlineLevel="0" collapsed="false">
      <c r="A23" s="7" t="s">
        <v>60</v>
      </c>
      <c r="B23" s="7" t="s">
        <v>57</v>
      </c>
      <c r="C23" s="7" t="s">
        <v>14</v>
      </c>
      <c r="D23" s="19" t="n">
        <v>-0.0607987958477018</v>
      </c>
      <c r="E23" s="19" t="n">
        <v>0.169926971937631</v>
      </c>
      <c r="F23" s="20" t="n">
        <v>19</v>
      </c>
      <c r="G23" s="21" t="n">
        <f aca="false">IF(AND(ISNUMBER(D23),E23&gt;0),D23/E23,"")</f>
        <v>-0.357793675450281</v>
      </c>
      <c r="H23" s="21" t="n">
        <f aca="false">IF(G23="","",TDIST(ABS(G23),F23-1,2))</f>
        <v>0.724658908234527</v>
      </c>
    </row>
    <row r="24" customFormat="false" ht="15" hidden="false" customHeight="false" outlineLevel="0" collapsed="false">
      <c r="A24" s="7" t="s">
        <v>61</v>
      </c>
      <c r="B24" s="7" t="s">
        <v>57</v>
      </c>
      <c r="C24" s="7" t="s">
        <v>14</v>
      </c>
      <c r="D24" s="19" t="n">
        <v>0.54311901558679</v>
      </c>
      <c r="E24" s="19" t="n">
        <v>0.288682994955958</v>
      </c>
      <c r="F24" s="20" t="n">
        <v>19</v>
      </c>
      <c r="G24" s="21" t="n">
        <f aca="false">IF(AND(ISNUMBER(D24),E24&gt;0),D24/E24,"")</f>
        <v>1.88136823116183</v>
      </c>
      <c r="H24" s="21" t="n">
        <f aca="false">IF(G24="","",TDIST(ABS(G24),F24-1,2))</f>
        <v>0.0761973742618887</v>
      </c>
    </row>
    <row r="25" customFormat="false" ht="15" hidden="false" customHeight="false" outlineLevel="0" collapsed="false">
      <c r="A25" s="7" t="s">
        <v>62</v>
      </c>
      <c r="B25" s="7" t="s">
        <v>57</v>
      </c>
      <c r="C25" s="7" t="s">
        <v>14</v>
      </c>
      <c r="D25" s="19" t="n">
        <v>0.190798363709216</v>
      </c>
      <c r="E25" s="19" t="n">
        <v>0.206571268863557</v>
      </c>
      <c r="F25" s="20" t="n">
        <v>19</v>
      </c>
      <c r="G25" s="21" t="n">
        <f aca="false">IF(AND(ISNUMBER(D25),E25&gt;0),D25/E25,"")</f>
        <v>0.923644245198689</v>
      </c>
      <c r="H25" s="21" t="n">
        <f aca="false">IF(G25="","",TDIST(ABS(G25),F25-1,2))</f>
        <v>0.367888358664151</v>
      </c>
    </row>
    <row r="26" customFormat="false" ht="15" hidden="false" customHeight="false" outlineLevel="0" collapsed="false">
      <c r="A26" s="7" t="s">
        <v>63</v>
      </c>
      <c r="B26" s="7" t="s">
        <v>57</v>
      </c>
      <c r="C26" s="7" t="s">
        <v>14</v>
      </c>
      <c r="D26" s="19" t="n">
        <v>0.242790021023058</v>
      </c>
      <c r="E26" s="19" t="n">
        <v>0.0856603752597144</v>
      </c>
      <c r="F26" s="20" t="n">
        <v>19</v>
      </c>
      <c r="G26" s="21" t="n">
        <f aca="false">IF(AND(ISNUMBER(D26),E26&gt;0),D26/E26,"")</f>
        <v>2.83433291398667</v>
      </c>
      <c r="H26" s="21" t="n">
        <f aca="false">IF(G26="","",TDIST(ABS(G26),F26-1,2))</f>
        <v>0.0109960081097435</v>
      </c>
    </row>
    <row r="27" customFormat="false" ht="15" hidden="false" customHeight="false" outlineLevel="0" collapsed="false">
      <c r="A27" s="7" t="s">
        <v>64</v>
      </c>
      <c r="B27" s="7" t="s">
        <v>57</v>
      </c>
      <c r="C27" s="7" t="s">
        <v>14</v>
      </c>
      <c r="D27" s="19" t="n">
        <v>-0.0122738024812789</v>
      </c>
      <c r="E27" s="19" t="n">
        <v>0.0140605626312257</v>
      </c>
      <c r="F27" s="20" t="n">
        <v>19</v>
      </c>
      <c r="G27" s="21" t="n">
        <f aca="false">IF(AND(ISNUMBER(D27),E27&gt;0),D27/E27,"")</f>
        <v>-0.872923993384248</v>
      </c>
      <c r="H27" s="21" t="n">
        <f aca="false">IF(G27="","",TDIST(ABS(G27),F27-1,2))</f>
        <v>0.394200738525359</v>
      </c>
    </row>
    <row r="28" customFormat="false" ht="15" hidden="false" customHeight="false" outlineLevel="0" collapsed="false">
      <c r="A28" s="7" t="s">
        <v>56</v>
      </c>
      <c r="B28" s="7" t="s">
        <v>57</v>
      </c>
      <c r="C28" s="7" t="s">
        <v>15</v>
      </c>
      <c r="D28" s="19" t="n">
        <v>-0.645890708994397</v>
      </c>
      <c r="E28" s="19" t="n">
        <v>0.196462281205739</v>
      </c>
      <c r="F28" s="20" t="n">
        <v>19</v>
      </c>
      <c r="G28" s="21" t="n">
        <f aca="false">IF(AND(ISNUMBER(D28),E28&gt;0),D28/E28,"")</f>
        <v>-3.28760668475599</v>
      </c>
      <c r="H28" s="21" t="n">
        <f aca="false">IF(G28="","",TDIST(ABS(G28),F28-1,2))</f>
        <v>0.0040916990437613</v>
      </c>
    </row>
    <row r="29" customFormat="false" ht="15" hidden="false" customHeight="false" outlineLevel="0" collapsed="false">
      <c r="A29" s="7" t="s">
        <v>58</v>
      </c>
      <c r="B29" s="7" t="s">
        <v>57</v>
      </c>
      <c r="C29" s="7" t="s">
        <v>15</v>
      </c>
      <c r="D29" s="19" t="n">
        <v>-0.843972242329747</v>
      </c>
      <c r="E29" s="19" t="n">
        <v>0.38006508541522</v>
      </c>
      <c r="F29" s="20" t="n">
        <v>19</v>
      </c>
      <c r="G29" s="21" t="n">
        <f aca="false">IF(AND(ISNUMBER(D29),E29&gt;0),D29/E29,"")</f>
        <v>-2.22059924659407</v>
      </c>
      <c r="H29" s="21" t="n">
        <f aca="false">IF(G29="","",TDIST(ABS(G29),F29-1,2))</f>
        <v>0.03945257570974</v>
      </c>
    </row>
    <row r="30" customFormat="false" ht="15" hidden="false" customHeight="false" outlineLevel="0" collapsed="false">
      <c r="A30" s="7" t="s">
        <v>59</v>
      </c>
      <c r="B30" s="7" t="s">
        <v>57</v>
      </c>
      <c r="C30" s="7" t="s">
        <v>15</v>
      </c>
      <c r="D30" s="19" t="n">
        <v>-0.305443104763144</v>
      </c>
      <c r="E30" s="19" t="n">
        <v>0.206081288029948</v>
      </c>
      <c r="F30" s="20" t="n">
        <v>19</v>
      </c>
      <c r="G30" s="21" t="n">
        <f aca="false">IF(AND(ISNUMBER(D30),E30&gt;0),D30/E30,"")</f>
        <v>-1.48214865931329</v>
      </c>
      <c r="H30" s="21" t="n">
        <f aca="false">IF(G30="","",TDIST(ABS(G30),F30-1,2))</f>
        <v>0.155596495326501</v>
      </c>
    </row>
    <row r="31" customFormat="false" ht="15" hidden="false" customHeight="false" outlineLevel="0" collapsed="false">
      <c r="A31" s="7" t="s">
        <v>60</v>
      </c>
      <c r="B31" s="7" t="s">
        <v>57</v>
      </c>
      <c r="C31" s="7" t="s">
        <v>15</v>
      </c>
      <c r="D31" s="19" t="n">
        <v>-0.00162666097423536</v>
      </c>
      <c r="E31" s="19" t="n">
        <v>0.270149979278147</v>
      </c>
      <c r="F31" s="20" t="n">
        <v>19</v>
      </c>
      <c r="G31" s="21" t="n">
        <f aca="false">IF(AND(ISNUMBER(D31),E31&gt;0),D31/E31,"")</f>
        <v>-0.00602132555620353</v>
      </c>
      <c r="H31" s="21" t="n">
        <f aca="false">IF(G31="","",TDIST(ABS(G31),F31-1,2))</f>
        <v>0.99526193925968</v>
      </c>
    </row>
    <row r="32" customFormat="false" ht="15" hidden="false" customHeight="false" outlineLevel="0" collapsed="false">
      <c r="A32" s="7" t="s">
        <v>61</v>
      </c>
      <c r="B32" s="7" t="s">
        <v>57</v>
      </c>
      <c r="C32" s="7" t="s">
        <v>15</v>
      </c>
      <c r="D32" s="19" t="n">
        <v>-1.31414788393976</v>
      </c>
      <c r="E32" s="19" t="n">
        <v>0.356130946320441</v>
      </c>
      <c r="F32" s="20" t="n">
        <v>19</v>
      </c>
      <c r="G32" s="21" t="n">
        <f aca="false">IF(AND(ISNUMBER(D32),E32&gt;0),D32/E32,"")</f>
        <v>-3.69006933409632</v>
      </c>
      <c r="H32" s="21" t="n">
        <f aca="false">IF(G32="","",TDIST(ABS(G32),F32-1,2))</f>
        <v>0.0016753038254639</v>
      </c>
    </row>
    <row r="33" customFormat="false" ht="15" hidden="false" customHeight="false" outlineLevel="0" collapsed="false">
      <c r="A33" s="7" t="s">
        <v>62</v>
      </c>
      <c r="B33" s="7" t="s">
        <v>57</v>
      </c>
      <c r="C33" s="7" t="s">
        <v>15</v>
      </c>
      <c r="D33" s="19" t="n">
        <v>-1.28055085759404</v>
      </c>
      <c r="E33" s="19" t="n">
        <v>0.263283669760591</v>
      </c>
      <c r="F33" s="20" t="n">
        <v>19</v>
      </c>
      <c r="G33" s="21" t="n">
        <f aca="false">IF(AND(ISNUMBER(D33),E33&gt;0),D33/E33,"")</f>
        <v>-4.8637686445136</v>
      </c>
      <c r="H33" s="21" t="n">
        <f aca="false">IF(G33="","",TDIST(ABS(G33),F33-1,2))</f>
        <v>0.000124787787455452</v>
      </c>
    </row>
    <row r="34" customFormat="false" ht="15" hidden="false" customHeight="false" outlineLevel="0" collapsed="false">
      <c r="A34" s="7" t="s">
        <v>63</v>
      </c>
      <c r="B34" s="7" t="s">
        <v>57</v>
      </c>
      <c r="C34" s="7" t="s">
        <v>16</v>
      </c>
      <c r="D34" s="19" t="n">
        <v>-0.544807573990322</v>
      </c>
      <c r="E34" s="19" t="n">
        <v>0.236380449014539</v>
      </c>
      <c r="F34" s="20" t="n">
        <v>19</v>
      </c>
      <c r="G34" s="21" t="n">
        <f aca="false">IF(AND(ISNUMBER(D34),E34&gt;0),D34/E34,"")</f>
        <v>-2.30479117990343</v>
      </c>
      <c r="H34" s="21" t="n">
        <f aca="false">IF(G34="","",TDIST(ABS(G34),F34-1,2))</f>
        <v>0.0333035211429945</v>
      </c>
    </row>
    <row r="35" customFormat="false" ht="15" hidden="false" customHeight="false" outlineLevel="0" collapsed="false">
      <c r="A35" s="7" t="s">
        <v>64</v>
      </c>
      <c r="B35" s="7" t="s">
        <v>57</v>
      </c>
      <c r="C35" s="7" t="s">
        <v>16</v>
      </c>
      <c r="D35" s="19" t="n">
        <v>-0.550349803603406</v>
      </c>
      <c r="E35" s="19" t="n">
        <v>0.209138005578752</v>
      </c>
      <c r="F35" s="20" t="n">
        <v>19</v>
      </c>
      <c r="G35" s="21" t="n">
        <f aca="false">IF(AND(ISNUMBER(D35),E35&gt;0),D35/E35,"")</f>
        <v>-2.63151502320399</v>
      </c>
      <c r="H35" s="21" t="n">
        <f aca="false">IF(G35="","",TDIST(ABS(G35),F35-1,2))</f>
        <v>0.0169371743283791</v>
      </c>
    </row>
    <row r="36" customFormat="false" ht="15" hidden="false" customHeight="false" outlineLevel="0" collapsed="false">
      <c r="A36" s="7" t="s">
        <v>63</v>
      </c>
      <c r="B36" s="7" t="s">
        <v>57</v>
      </c>
      <c r="C36" s="7" t="s">
        <v>17</v>
      </c>
      <c r="D36" s="19" t="n">
        <v>-0.0930922047303553</v>
      </c>
      <c r="E36" s="19" t="n">
        <v>0.198242221256816</v>
      </c>
      <c r="F36" s="20" t="n">
        <v>19</v>
      </c>
      <c r="G36" s="21" t="n">
        <f aca="false">IF(AND(ISNUMBER(D36),E36&gt;0),D36/E36,"")</f>
        <v>-0.469588184293788</v>
      </c>
      <c r="H36" s="21" t="n">
        <f aca="false">IF(G36="","",TDIST(ABS(G36),F36-1,2))</f>
        <v>0.644287757651405</v>
      </c>
    </row>
    <row r="37" customFormat="false" ht="15" hidden="false" customHeight="false" outlineLevel="0" collapsed="false">
      <c r="A37" s="7" t="s">
        <v>64</v>
      </c>
      <c r="B37" s="7" t="s">
        <v>57</v>
      </c>
      <c r="C37" s="7" t="s">
        <v>17</v>
      </c>
      <c r="D37" s="19" t="n">
        <v>-0.019478729934461</v>
      </c>
      <c r="E37" s="19" t="n">
        <v>0.165295668980438</v>
      </c>
      <c r="F37" s="20" t="n">
        <v>19</v>
      </c>
      <c r="G37" s="21" t="n">
        <f aca="false">IF(AND(ISNUMBER(D37),E37&gt;0),D37/E37,"")</f>
        <v>-0.117841744158259</v>
      </c>
      <c r="H37" s="21" t="n">
        <f aca="false">IF(G37="","",TDIST(ABS(G37),F37-1,2))</f>
        <v>0.907498082569124</v>
      </c>
    </row>
    <row r="38" customFormat="false" ht="15" hidden="false" customHeight="false" outlineLevel="0" collapsed="false">
      <c r="A38" s="7" t="s">
        <v>56</v>
      </c>
      <c r="B38" s="7" t="s">
        <v>65</v>
      </c>
      <c r="C38" s="7" t="s">
        <v>12</v>
      </c>
      <c r="D38" s="19" t="n">
        <v>-0.235692981168841</v>
      </c>
      <c r="E38" s="19" t="n">
        <v>0.216796639220542</v>
      </c>
      <c r="F38" s="20" t="n">
        <v>19</v>
      </c>
      <c r="G38" s="21" t="n">
        <f aca="false">IF(AND(ISNUMBER(D38),E38&gt;0),D38/E38,"")</f>
        <v>-1.08716159999637</v>
      </c>
      <c r="H38" s="21" t="n">
        <f aca="false">IF(G38="","",TDIST(ABS(G38),F38-1,2))</f>
        <v>0.291309569162287</v>
      </c>
    </row>
    <row r="39" customFormat="false" ht="15" hidden="false" customHeight="false" outlineLevel="0" collapsed="false">
      <c r="A39" s="7" t="s">
        <v>58</v>
      </c>
      <c r="B39" s="7" t="s">
        <v>65</v>
      </c>
      <c r="C39" s="7" t="s">
        <v>12</v>
      </c>
      <c r="D39" s="19" t="n">
        <v>-0.273772406940375</v>
      </c>
      <c r="E39" s="19" t="n">
        <v>0.146785482410512</v>
      </c>
      <c r="F39" s="20" t="n">
        <v>19</v>
      </c>
      <c r="G39" s="21" t="n">
        <f aca="false">IF(AND(ISNUMBER(D39),E39&gt;0),D39/E39,"")</f>
        <v>-1.86511910063913</v>
      </c>
      <c r="H39" s="21" t="n">
        <f aca="false">IF(G39="","",TDIST(ABS(G39),F39-1,2))</f>
        <v>0.0785521000476929</v>
      </c>
    </row>
    <row r="40" customFormat="false" ht="15" hidden="false" customHeight="false" outlineLevel="0" collapsed="false">
      <c r="A40" s="7" t="s">
        <v>59</v>
      </c>
      <c r="B40" s="7" t="s">
        <v>65</v>
      </c>
      <c r="C40" s="7" t="s">
        <v>12</v>
      </c>
      <c r="D40" s="19" t="n">
        <v>-0.50748861105348</v>
      </c>
      <c r="E40" s="19" t="n">
        <v>0.216012603416525</v>
      </c>
      <c r="F40" s="20" t="n">
        <v>19</v>
      </c>
      <c r="G40" s="21" t="n">
        <f aca="false">IF(AND(ISNUMBER(D40),E40&gt;0),D40/E40,"")</f>
        <v>-2.34934722801761</v>
      </c>
      <c r="H40" s="21" t="n">
        <f aca="false">IF(G40="","",TDIST(ABS(G40),F40-1,2))</f>
        <v>0.030420947732642</v>
      </c>
    </row>
    <row r="41" customFormat="false" ht="15" hidden="false" customHeight="false" outlineLevel="0" collapsed="false">
      <c r="A41" s="7" t="s">
        <v>60</v>
      </c>
      <c r="B41" s="7" t="s">
        <v>65</v>
      </c>
      <c r="C41" s="7" t="s">
        <v>12</v>
      </c>
      <c r="D41" s="19" t="n">
        <v>-0.475386555862567</v>
      </c>
      <c r="E41" s="19" t="n">
        <v>0.138090201925302</v>
      </c>
      <c r="F41" s="20" t="n">
        <v>19</v>
      </c>
      <c r="G41" s="21" t="n">
        <f aca="false">IF(AND(ISNUMBER(D41),E41&gt;0),D41/E41,"")</f>
        <v>-3.4425799168555</v>
      </c>
      <c r="H41" s="21" t="n">
        <f aca="false">IF(G41="","",TDIST(ABS(G41),F41-1,2))</f>
        <v>0.00290413657074231</v>
      </c>
    </row>
    <row r="42" customFormat="false" ht="15" hidden="false" customHeight="false" outlineLevel="0" collapsed="false">
      <c r="A42" s="7" t="s">
        <v>61</v>
      </c>
      <c r="B42" s="7" t="s">
        <v>65</v>
      </c>
      <c r="C42" s="7" t="s">
        <v>12</v>
      </c>
      <c r="D42" s="19" t="n">
        <v>-0.268161960898219</v>
      </c>
      <c r="E42" s="19" t="n">
        <v>0.153340348124824</v>
      </c>
      <c r="F42" s="20" t="n">
        <v>19</v>
      </c>
      <c r="G42" s="21" t="n">
        <f aca="false">IF(AND(ISNUMBER(D42),E42&gt;0),D42/E42,"")</f>
        <v>-1.74880234835469</v>
      </c>
      <c r="H42" s="21" t="n">
        <f aca="false">IF(G42="","",TDIST(ABS(G42),F42-1,2))</f>
        <v>0.0973576718945769</v>
      </c>
    </row>
    <row r="43" customFormat="false" ht="15" hidden="false" customHeight="false" outlineLevel="0" collapsed="false">
      <c r="A43" s="7" t="s">
        <v>62</v>
      </c>
      <c r="B43" s="7" t="s">
        <v>65</v>
      </c>
      <c r="C43" s="7" t="s">
        <v>12</v>
      </c>
      <c r="D43" s="19" t="n">
        <v>-0.360477558963474</v>
      </c>
      <c r="E43" s="19" t="n">
        <v>0.128770416174053</v>
      </c>
      <c r="F43" s="20" t="n">
        <v>19</v>
      </c>
      <c r="G43" s="21" t="n">
        <f aca="false">IF(AND(ISNUMBER(D43),E43&gt;0),D43/E43,"")</f>
        <v>-2.79938179648526</v>
      </c>
      <c r="H43" s="21" t="n">
        <f aca="false">IF(G43="","",TDIST(ABS(G43),F43-1,2))</f>
        <v>0.0118524140175995</v>
      </c>
    </row>
    <row r="44" customFormat="false" ht="15" hidden="false" customHeight="false" outlineLevel="0" collapsed="false">
      <c r="A44" s="7" t="s">
        <v>63</v>
      </c>
      <c r="B44" s="7" t="s">
        <v>65</v>
      </c>
      <c r="C44" s="7" t="s">
        <v>12</v>
      </c>
      <c r="D44" s="19" t="n">
        <v>-0.460418844431006</v>
      </c>
      <c r="E44" s="19" t="n">
        <v>0.15378733018563</v>
      </c>
      <c r="F44" s="20" t="n">
        <v>19</v>
      </c>
      <c r="G44" s="21" t="n">
        <f aca="false">IF(AND(ISNUMBER(D44),E44&gt;0),D44/E44,"")</f>
        <v>-2.99386720528444</v>
      </c>
      <c r="H44" s="21" t="n">
        <f aca="false">IF(G44="","",TDIST(ABS(G44),F44-1,2))</f>
        <v>0.00778857337967429</v>
      </c>
    </row>
    <row r="45" customFormat="false" ht="15" hidden="false" customHeight="false" outlineLevel="0" collapsed="false">
      <c r="A45" s="7" t="s">
        <v>64</v>
      </c>
      <c r="B45" s="7" t="s">
        <v>65</v>
      </c>
      <c r="C45" s="7" t="s">
        <v>12</v>
      </c>
      <c r="D45" s="19" t="n">
        <v>-0.3428189311014</v>
      </c>
      <c r="E45" s="19" t="n">
        <v>0.145569310994486</v>
      </c>
      <c r="F45" s="20" t="n">
        <v>19</v>
      </c>
      <c r="G45" s="21" t="n">
        <f aca="false">IF(AND(ISNUMBER(D45),E45&gt;0),D45/E45,"")</f>
        <v>-2.35502200813732</v>
      </c>
      <c r="H45" s="21" t="n">
        <f aca="false">IF(G45="","",TDIST(ABS(G45),F45-1,2))</f>
        <v>0.0300709569851229</v>
      </c>
    </row>
    <row r="46" customFormat="false" ht="15" hidden="false" customHeight="false" outlineLevel="0" collapsed="false">
      <c r="A46" s="7" t="s">
        <v>56</v>
      </c>
      <c r="B46" s="7" t="s">
        <v>65</v>
      </c>
      <c r="C46" s="7" t="s">
        <v>13</v>
      </c>
      <c r="D46" s="19" t="n">
        <v>-0.3584122620936</v>
      </c>
      <c r="E46" s="19" t="n">
        <v>0.258747342877085</v>
      </c>
      <c r="F46" s="20" t="n">
        <v>19</v>
      </c>
      <c r="G46" s="21" t="n">
        <f aca="false">IF(AND(ISNUMBER(D46),E46&gt;0),D46/E46,"")</f>
        <v>-1.38518238722111</v>
      </c>
      <c r="H46" s="21" t="n">
        <f aca="false">IF(G46="","",TDIST(ABS(G46),F46-1,2))</f>
        <v>0.182924592809397</v>
      </c>
    </row>
    <row r="47" customFormat="false" ht="15" hidden="false" customHeight="false" outlineLevel="0" collapsed="false">
      <c r="A47" s="7" t="s">
        <v>58</v>
      </c>
      <c r="B47" s="7" t="s">
        <v>65</v>
      </c>
      <c r="C47" s="7" t="s">
        <v>13</v>
      </c>
      <c r="D47" s="19" t="n">
        <v>-0.425339068203855</v>
      </c>
      <c r="E47" s="19" t="n">
        <v>0.173332861636096</v>
      </c>
      <c r="F47" s="20" t="n">
        <v>19</v>
      </c>
      <c r="G47" s="21" t="n">
        <f aca="false">IF(AND(ISNUMBER(D47),E47&gt;0),D47/E47,"")</f>
        <v>-2.45388591747151</v>
      </c>
      <c r="H47" s="21" t="n">
        <f aca="false">IF(G47="","",TDIST(ABS(G47),F47-1,2))</f>
        <v>0.0245455743803764</v>
      </c>
    </row>
    <row r="48" customFormat="false" ht="15" hidden="false" customHeight="false" outlineLevel="0" collapsed="false">
      <c r="A48" s="7" t="s">
        <v>59</v>
      </c>
      <c r="B48" s="7" t="s">
        <v>65</v>
      </c>
      <c r="C48" s="7" t="s">
        <v>13</v>
      </c>
      <c r="D48" s="19" t="n">
        <v>0.101352296532676</v>
      </c>
      <c r="E48" s="19" t="n">
        <v>0.298169994973052</v>
      </c>
      <c r="F48" s="20" t="n">
        <v>19</v>
      </c>
      <c r="G48" s="21" t="n">
        <f aca="false">IF(AND(ISNUMBER(D48),E48&gt;0),D48/E48,"")</f>
        <v>0.339914472419789</v>
      </c>
      <c r="H48" s="21" t="n">
        <f aca="false">IF(G48="","",TDIST(ABS(G48),F48-1,2))</f>
        <v>0.737855242979906</v>
      </c>
    </row>
    <row r="49" customFormat="false" ht="15" hidden="false" customHeight="false" outlineLevel="0" collapsed="false">
      <c r="A49" s="7" t="s">
        <v>60</v>
      </c>
      <c r="B49" s="7" t="s">
        <v>65</v>
      </c>
      <c r="C49" s="7" t="s">
        <v>13</v>
      </c>
      <c r="D49" s="19" t="n">
        <v>0.10143179118386</v>
      </c>
      <c r="E49" s="19" t="n">
        <v>0.256163495073304</v>
      </c>
      <c r="F49" s="20" t="n">
        <v>19</v>
      </c>
      <c r="G49" s="21" t="n">
        <f aca="false">IF(AND(ISNUMBER(D49),E49&gt;0),D49/E49,"")</f>
        <v>0.395965050191224</v>
      </c>
      <c r="H49" s="21" t="n">
        <f aca="false">IF(G49="","",TDIST(ABS(G49),F49-1,2))</f>
        <v>0.696785048302584</v>
      </c>
    </row>
    <row r="50" customFormat="false" ht="15" hidden="false" customHeight="false" outlineLevel="0" collapsed="false">
      <c r="A50" s="7" t="s">
        <v>61</v>
      </c>
      <c r="B50" s="7" t="s">
        <v>65</v>
      </c>
      <c r="C50" s="7" t="s">
        <v>13</v>
      </c>
      <c r="D50" s="19" t="n">
        <v>-0.925152507633263</v>
      </c>
      <c r="E50" s="19" t="n">
        <v>0.262148622217212</v>
      </c>
      <c r="F50" s="20" t="n">
        <v>19</v>
      </c>
      <c r="G50" s="21" t="n">
        <f aca="false">IF(AND(ISNUMBER(D50),E50&gt;0),D50/E50,"")</f>
        <v>-3.52911451453937</v>
      </c>
      <c r="H50" s="21" t="n">
        <f aca="false">IF(G50="","",TDIST(ABS(G50),F50-1,2))</f>
        <v>0.00239662885645907</v>
      </c>
    </row>
    <row r="51" customFormat="false" ht="15" hidden="false" customHeight="false" outlineLevel="0" collapsed="false">
      <c r="A51" s="7" t="s">
        <v>62</v>
      </c>
      <c r="B51" s="7" t="s">
        <v>65</v>
      </c>
      <c r="C51" s="7" t="s">
        <v>13</v>
      </c>
      <c r="D51" s="19" t="n">
        <v>-0.875951740724517</v>
      </c>
      <c r="E51" s="19" t="n">
        <v>0.423408705518888</v>
      </c>
      <c r="F51" s="20" t="n">
        <v>19</v>
      </c>
      <c r="G51" s="21" t="n">
        <f aca="false">IF(AND(ISNUMBER(D51),E51&gt;0),D51/E51,"")</f>
        <v>-2.06880900016224</v>
      </c>
      <c r="H51" s="21" t="n">
        <f aca="false">IF(G51="","",TDIST(ABS(G51),F51-1,2))</f>
        <v>0.0532374998724696</v>
      </c>
    </row>
    <row r="52" customFormat="false" ht="15" hidden="false" customHeight="false" outlineLevel="0" collapsed="false">
      <c r="A52" s="7" t="s">
        <v>63</v>
      </c>
      <c r="B52" s="7" t="s">
        <v>65</v>
      </c>
      <c r="C52" s="7" t="s">
        <v>13</v>
      </c>
      <c r="D52" s="19" t="n">
        <v>0.704497791967234</v>
      </c>
      <c r="E52" s="19" t="n">
        <v>0.265199340660759</v>
      </c>
      <c r="F52" s="20" t="n">
        <v>19</v>
      </c>
      <c r="G52" s="21" t="n">
        <f aca="false">IF(AND(ISNUMBER(D52),E52&gt;0),D52/E52,"")</f>
        <v>2.65648394981654</v>
      </c>
      <c r="H52" s="21" t="n">
        <f aca="false">IF(G52="","",TDIST(ABS(G52),F52-1,2))</f>
        <v>0.0160671302237382</v>
      </c>
    </row>
    <row r="53" customFormat="false" ht="15" hidden="false" customHeight="false" outlineLevel="0" collapsed="false">
      <c r="A53" s="7" t="s">
        <v>64</v>
      </c>
      <c r="B53" s="7" t="s">
        <v>65</v>
      </c>
      <c r="C53" s="7" t="s">
        <v>13</v>
      </c>
      <c r="D53" s="19" t="n">
        <v>0.0206324375627117</v>
      </c>
      <c r="E53" s="19" t="n">
        <v>0.0157046034906414</v>
      </c>
      <c r="F53" s="20" t="n">
        <v>19</v>
      </c>
      <c r="G53" s="21" t="n">
        <f aca="false">IF(AND(ISNUMBER(D53),E53&gt;0),D53/E53,"")</f>
        <v>1.31378277554138</v>
      </c>
      <c r="H53" s="21" t="n">
        <f aca="false">IF(G53="","",TDIST(ABS(G53),F53-1,2))</f>
        <v>0.205418440999284</v>
      </c>
    </row>
    <row r="54" customFormat="false" ht="15" hidden="false" customHeight="false" outlineLevel="0" collapsed="false">
      <c r="A54" s="7" t="s">
        <v>56</v>
      </c>
      <c r="B54" s="7" t="s">
        <v>65</v>
      </c>
      <c r="C54" s="7" t="s">
        <v>14</v>
      </c>
      <c r="D54" s="19" t="n">
        <v>0.226309688101337</v>
      </c>
      <c r="E54" s="19" t="n">
        <v>0.198756851695665</v>
      </c>
      <c r="F54" s="20" t="n">
        <v>19</v>
      </c>
      <c r="G54" s="21" t="n">
        <f aca="false">IF(AND(ISNUMBER(D54),E54&gt;0),D54/E54,"")</f>
        <v>1.13862584444566</v>
      </c>
      <c r="H54" s="21" t="n">
        <f aca="false">IF(G54="","",TDIST(ABS(G54),F54-1,2))</f>
        <v>0.269787257925089</v>
      </c>
    </row>
    <row r="55" customFormat="false" ht="15" hidden="false" customHeight="false" outlineLevel="0" collapsed="false">
      <c r="A55" s="7" t="s">
        <v>58</v>
      </c>
      <c r="B55" s="7" t="s">
        <v>65</v>
      </c>
      <c r="C55" s="7" t="s">
        <v>14</v>
      </c>
      <c r="D55" s="19" t="n">
        <v>0.150807132015265</v>
      </c>
      <c r="E55" s="19" t="n">
        <v>0.207092013345483</v>
      </c>
      <c r="F55" s="20" t="n">
        <v>19</v>
      </c>
      <c r="G55" s="21" t="n">
        <f aca="false">IF(AND(ISNUMBER(D55),E55&gt;0),D55/E55,"")</f>
        <v>0.728213172391538</v>
      </c>
      <c r="H55" s="21" t="n">
        <f aca="false">IF(G55="","",TDIST(ABS(G55),F55-1,2))</f>
        <v>0.47585070948098</v>
      </c>
    </row>
    <row r="56" customFormat="false" ht="15" hidden="false" customHeight="false" outlineLevel="0" collapsed="false">
      <c r="A56" s="7" t="s">
        <v>59</v>
      </c>
      <c r="B56" s="7" t="s">
        <v>65</v>
      </c>
      <c r="C56" s="7" t="s">
        <v>14</v>
      </c>
      <c r="D56" s="19" t="n">
        <v>0.0588309276391322</v>
      </c>
      <c r="E56" s="19" t="n">
        <v>0.0883967543829129</v>
      </c>
      <c r="F56" s="20" t="n">
        <v>19</v>
      </c>
      <c r="G56" s="21" t="n">
        <f aca="false">IF(AND(ISNUMBER(D56),E56&gt;0),D56/E56,"")</f>
        <v>0.665532666327218</v>
      </c>
      <c r="H56" s="21" t="n">
        <f aca="false">IF(G56="","",TDIST(ABS(G56),F56-1,2))</f>
        <v>0.514148521765771</v>
      </c>
    </row>
    <row r="57" customFormat="false" ht="15" hidden="false" customHeight="false" outlineLevel="0" collapsed="false">
      <c r="A57" s="7" t="s">
        <v>60</v>
      </c>
      <c r="B57" s="7" t="s">
        <v>65</v>
      </c>
      <c r="C57" s="7" t="s">
        <v>14</v>
      </c>
      <c r="D57" s="19" t="n">
        <v>-0.216481023546129</v>
      </c>
      <c r="E57" s="19" t="n">
        <v>0.144601400924768</v>
      </c>
      <c r="F57" s="20" t="n">
        <v>19</v>
      </c>
      <c r="G57" s="21" t="n">
        <f aca="false">IF(AND(ISNUMBER(D57),E57&gt;0),D57/E57,"")</f>
        <v>-1.49708800994783</v>
      </c>
      <c r="H57" s="21" t="n">
        <f aca="false">IF(G57="","",TDIST(ABS(G57),F57-1,2))</f>
        <v>0.15170041893742</v>
      </c>
    </row>
    <row r="58" customFormat="false" ht="15" hidden="false" customHeight="false" outlineLevel="0" collapsed="false">
      <c r="A58" s="7" t="s">
        <v>61</v>
      </c>
      <c r="B58" s="7" t="s">
        <v>65</v>
      </c>
      <c r="C58" s="7" t="s">
        <v>14</v>
      </c>
      <c r="D58" s="19" t="n">
        <v>0.46285742763552</v>
      </c>
      <c r="E58" s="19" t="n">
        <v>0.21798036522309</v>
      </c>
      <c r="F58" s="20" t="n">
        <v>19</v>
      </c>
      <c r="G58" s="21" t="n">
        <f aca="false">IF(AND(ISNUMBER(D58),E58&gt;0),D58/E58,"")</f>
        <v>2.12339045841039</v>
      </c>
      <c r="H58" s="21" t="n">
        <f aca="false">IF(G58="","",TDIST(ABS(G58),F58-1,2))</f>
        <v>0.0478423386897677</v>
      </c>
    </row>
    <row r="59" customFormat="false" ht="15" hidden="false" customHeight="false" outlineLevel="0" collapsed="false">
      <c r="A59" s="7" t="s">
        <v>62</v>
      </c>
      <c r="B59" s="7" t="s">
        <v>65</v>
      </c>
      <c r="C59" s="7" t="s">
        <v>14</v>
      </c>
      <c r="D59" s="19" t="n">
        <v>-0.0853908776272687</v>
      </c>
      <c r="E59" s="19" t="n">
        <v>0.15534062431847</v>
      </c>
      <c r="F59" s="20" t="n">
        <v>19</v>
      </c>
      <c r="G59" s="21" t="n">
        <f aca="false">IF(AND(ISNUMBER(D59),E59&gt;0),D59/E59,"")</f>
        <v>-0.549700878324047</v>
      </c>
      <c r="H59" s="21" t="n">
        <f aca="false">IF(G59="","",TDIST(ABS(G59),F59-1,2))</f>
        <v>0.589280672496471</v>
      </c>
    </row>
    <row r="60" customFormat="false" ht="15" hidden="false" customHeight="false" outlineLevel="0" collapsed="false">
      <c r="A60" s="7" t="s">
        <v>63</v>
      </c>
      <c r="B60" s="7" t="s">
        <v>65</v>
      </c>
      <c r="C60" s="7" t="s">
        <v>14</v>
      </c>
      <c r="D60" s="19" t="n">
        <v>0.023826573543526</v>
      </c>
      <c r="E60" s="19" t="n">
        <v>0.151378370925635</v>
      </c>
      <c r="F60" s="20" t="n">
        <v>19</v>
      </c>
      <c r="G60" s="21" t="n">
        <f aca="false">IF(AND(ISNUMBER(D60),E60&gt;0),D60/E60,"")</f>
        <v>0.157397476256571</v>
      </c>
      <c r="H60" s="21" t="n">
        <f aca="false">IF(G60="","",TDIST(ABS(G60),F60-1,2))</f>
        <v>0.87668375205947</v>
      </c>
    </row>
    <row r="61" customFormat="false" ht="15" hidden="false" customHeight="false" outlineLevel="0" collapsed="false">
      <c r="A61" s="7" t="s">
        <v>64</v>
      </c>
      <c r="B61" s="7" t="s">
        <v>65</v>
      </c>
      <c r="C61" s="7" t="s">
        <v>14</v>
      </c>
      <c r="D61" s="19" t="n">
        <v>-0.0202847992775444</v>
      </c>
      <c r="E61" s="19" t="n">
        <v>0.0125981397580389</v>
      </c>
      <c r="F61" s="20" t="n">
        <v>19</v>
      </c>
      <c r="G61" s="21" t="n">
        <f aca="false">IF(AND(ISNUMBER(D61),E61&gt;0),D61/E61,"")</f>
        <v>-1.61014242317804</v>
      </c>
      <c r="H61" s="21" t="n">
        <f aca="false">IF(G61="","",TDIST(ABS(G61),F61-1,2))</f>
        <v>0.124763616327573</v>
      </c>
    </row>
    <row r="62" customFormat="false" ht="15" hidden="false" customHeight="false" outlineLevel="0" collapsed="false">
      <c r="A62" s="7" t="s">
        <v>56</v>
      </c>
      <c r="B62" s="7" t="s">
        <v>65</v>
      </c>
      <c r="C62" s="7" t="s">
        <v>15</v>
      </c>
      <c r="D62" s="19" t="n">
        <v>-0.594105243262441</v>
      </c>
      <c r="E62" s="19" t="n">
        <v>0.155360149066587</v>
      </c>
      <c r="F62" s="20" t="n">
        <v>19</v>
      </c>
      <c r="G62" s="21" t="n">
        <f aca="false">IF(AND(ISNUMBER(D62),E62&gt;0),D62/E62,"")</f>
        <v>-3.82405170715825</v>
      </c>
      <c r="H62" s="21" t="n">
        <f aca="false">IF(G62="","",TDIST(ABS(G62),F62-1,2))</f>
        <v>0.00124295130468822</v>
      </c>
    </row>
    <row r="63" customFormat="false" ht="15" hidden="false" customHeight="false" outlineLevel="0" collapsed="false">
      <c r="A63" s="7" t="s">
        <v>58</v>
      </c>
      <c r="B63" s="7" t="s">
        <v>65</v>
      </c>
      <c r="C63" s="7" t="s">
        <v>15</v>
      </c>
      <c r="D63" s="19" t="n">
        <v>-0.699111475144229</v>
      </c>
      <c r="E63" s="19" t="n">
        <v>0.168351934403939</v>
      </c>
      <c r="F63" s="20" t="n">
        <v>19</v>
      </c>
      <c r="G63" s="21" t="n">
        <f aca="false">IF(AND(ISNUMBER(D63),E63&gt;0),D63/E63,"")</f>
        <v>-4.15267859926575</v>
      </c>
      <c r="H63" s="21" t="n">
        <f aca="false">IF(G63="","",TDIST(ABS(G63),F63-1,2))</f>
        <v>0.000597902869859436</v>
      </c>
    </row>
    <row r="64" customFormat="false" ht="15" hidden="false" customHeight="false" outlineLevel="0" collapsed="false">
      <c r="A64" s="7" t="s">
        <v>59</v>
      </c>
      <c r="B64" s="7" t="s">
        <v>65</v>
      </c>
      <c r="C64" s="7" t="s">
        <v>15</v>
      </c>
      <c r="D64" s="19" t="n">
        <v>-0.406136314520804</v>
      </c>
      <c r="E64" s="19" t="n">
        <v>0.17372083520757</v>
      </c>
      <c r="F64" s="20" t="n">
        <v>19</v>
      </c>
      <c r="G64" s="21" t="n">
        <f aca="false">IF(AND(ISNUMBER(D64),E64&gt;0),D64/E64,"")</f>
        <v>-2.33786761406905</v>
      </c>
      <c r="H64" s="21" t="n">
        <f aca="false">IF(G64="","",TDIST(ABS(G64),F64-1,2))</f>
        <v>0.0311405755078221</v>
      </c>
    </row>
    <row r="65" customFormat="false" ht="15" hidden="false" customHeight="false" outlineLevel="0" collapsed="false">
      <c r="A65" s="7" t="s">
        <v>60</v>
      </c>
      <c r="B65" s="7" t="s">
        <v>65</v>
      </c>
      <c r="C65" s="7" t="s">
        <v>15</v>
      </c>
      <c r="D65" s="19" t="n">
        <v>-0.373954764678706</v>
      </c>
      <c r="E65" s="19" t="n">
        <v>0.247300098541374</v>
      </c>
      <c r="F65" s="20" t="n">
        <v>19</v>
      </c>
      <c r="G65" s="21" t="n">
        <f aca="false">IF(AND(ISNUMBER(D65),E65&gt;0),D65/E65,"")</f>
        <v>-1.5121496792131</v>
      </c>
      <c r="H65" s="21" t="n">
        <f aca="false">IF(G65="","",TDIST(ABS(G65),F65-1,2))</f>
        <v>0.147854376617665</v>
      </c>
    </row>
    <row r="66" customFormat="false" ht="15" hidden="false" customHeight="false" outlineLevel="0" collapsed="false">
      <c r="A66" s="7" t="s">
        <v>61</v>
      </c>
      <c r="B66" s="7" t="s">
        <v>65</v>
      </c>
      <c r="C66" s="7" t="s">
        <v>15</v>
      </c>
      <c r="D66" s="19" t="n">
        <v>-1.19331446853148</v>
      </c>
      <c r="E66" s="19" t="n">
        <v>0.173967214359679</v>
      </c>
      <c r="F66" s="20" t="n">
        <v>19</v>
      </c>
      <c r="G66" s="21" t="n">
        <f aca="false">IF(AND(ISNUMBER(D66),E66&gt;0),D66/E66,"")</f>
        <v>-6.85942160379883</v>
      </c>
      <c r="H66" s="21" t="n">
        <f aca="false">IF(G66="","",TDIST(ABS(G66),F66-1,2))</f>
        <v>2.03594279054419E-006</v>
      </c>
    </row>
    <row r="67" customFormat="false" ht="15" hidden="false" customHeight="false" outlineLevel="0" collapsed="false">
      <c r="A67" s="7" t="s">
        <v>62</v>
      </c>
      <c r="B67" s="7" t="s">
        <v>65</v>
      </c>
      <c r="C67" s="7" t="s">
        <v>15</v>
      </c>
      <c r="D67" s="19" t="n">
        <v>-1.23642929968799</v>
      </c>
      <c r="E67" s="19" t="n">
        <v>0.38408205258083</v>
      </c>
      <c r="F67" s="20" t="n">
        <v>19</v>
      </c>
      <c r="G67" s="21" t="n">
        <f aca="false">IF(AND(ISNUMBER(D67),E67&gt;0),D67/E67,"")</f>
        <v>-3.21918009805414</v>
      </c>
      <c r="H67" s="21" t="n">
        <f aca="false">IF(G67="","",TDIST(ABS(G67),F67-1,2))</f>
        <v>0.00475751758571257</v>
      </c>
    </row>
    <row r="68" customFormat="false" ht="15" hidden="false" customHeight="false" outlineLevel="0" collapsed="false">
      <c r="A68" s="7" t="s">
        <v>63</v>
      </c>
      <c r="B68" s="7" t="s">
        <v>65</v>
      </c>
      <c r="C68" s="7" t="s">
        <v>16</v>
      </c>
      <c r="D68" s="19" t="n">
        <v>-0.758101523039501</v>
      </c>
      <c r="E68" s="19" t="n">
        <v>0.192612724885938</v>
      </c>
      <c r="F68" s="20" t="n">
        <v>19</v>
      </c>
      <c r="G68" s="21" t="n">
        <f aca="false">IF(AND(ISNUMBER(D68),E68&gt;0),D68/E68,"")</f>
        <v>-3.93588493952534</v>
      </c>
      <c r="H68" s="21" t="n">
        <f aca="false">IF(G68="","",TDIST(ABS(G68),F68-1,2))</f>
        <v>0.000968770558498642</v>
      </c>
    </row>
    <row r="69" customFormat="false" ht="15" hidden="false" customHeight="false" outlineLevel="0" collapsed="false">
      <c r="A69" s="7" t="s">
        <v>64</v>
      </c>
      <c r="B69" s="7" t="s">
        <v>65</v>
      </c>
      <c r="C69" s="7" t="s">
        <v>16</v>
      </c>
      <c r="D69" s="19" t="n">
        <v>-0.469621797374219</v>
      </c>
      <c r="E69" s="19" t="n">
        <v>0.148515812346656</v>
      </c>
      <c r="F69" s="20" t="n">
        <v>19</v>
      </c>
      <c r="G69" s="21" t="n">
        <f aca="false">IF(AND(ISNUMBER(D69),E69&gt;0),D69/E69,"")</f>
        <v>-3.16209964416489</v>
      </c>
      <c r="H69" s="21" t="n">
        <f aca="false">IF(G69="","",TDIST(ABS(G69),F69-1,2))</f>
        <v>0.00539326283015248</v>
      </c>
    </row>
    <row r="70" customFormat="false" ht="15" hidden="false" customHeight="false" outlineLevel="0" collapsed="false">
      <c r="A70" s="7" t="s">
        <v>63</v>
      </c>
      <c r="B70" s="7" t="s">
        <v>65</v>
      </c>
      <c r="C70" s="7" t="s">
        <v>17</v>
      </c>
      <c r="D70" s="19" t="n">
        <v>-0.227466173384291</v>
      </c>
      <c r="E70" s="19" t="n">
        <v>0.1750499136179</v>
      </c>
      <c r="F70" s="20" t="n">
        <v>19</v>
      </c>
      <c r="G70" s="21" t="n">
        <f aca="false">IF(AND(ISNUMBER(D70),E70&gt;0),D70/E70,"")</f>
        <v>-1.29943607901918</v>
      </c>
      <c r="H70" s="21" t="n">
        <f aca="false">IF(G70="","",TDIST(ABS(G70),F70-1,2))</f>
        <v>0.21019166983268</v>
      </c>
    </row>
    <row r="71" customFormat="false" ht="15" hidden="false" customHeight="false" outlineLevel="0" collapsed="false">
      <c r="A71" s="7" t="s">
        <v>64</v>
      </c>
      <c r="B71" s="7" t="s">
        <v>65</v>
      </c>
      <c r="C71" s="7" t="s">
        <v>17</v>
      </c>
      <c r="D71" s="19" t="n">
        <v>-0.222032546621678</v>
      </c>
      <c r="E71" s="19" t="n">
        <v>0.194142187984928</v>
      </c>
      <c r="F71" s="20" t="n">
        <v>19</v>
      </c>
      <c r="G71" s="21" t="n">
        <f aca="false">IF(AND(ISNUMBER(D71),E71&gt;0),D71/E71,"")</f>
        <v>-1.14365944324742</v>
      </c>
      <c r="H71" s="21" t="n">
        <f aca="false">IF(G71="","",TDIST(ABS(G71),F71-1,2))</f>
        <v>0.267747339663893</v>
      </c>
    </row>
    <row r="72" customFormat="false" ht="15" hidden="false" customHeight="false" outlineLevel="0" collapsed="false">
      <c r="A72" s="7" t="s">
        <v>66</v>
      </c>
      <c r="B72" s="7" t="s">
        <v>57</v>
      </c>
      <c r="C72" s="7" t="s">
        <v>34</v>
      </c>
      <c r="D72" s="19" t="n">
        <v>-0.29541454880032</v>
      </c>
      <c r="E72" s="19" t="n">
        <v>0.138966549270016</v>
      </c>
      <c r="F72" s="20" t="n">
        <v>19</v>
      </c>
      <c r="G72" s="21" t="n">
        <f aca="false">IF(AND(ISNUMBER(D72),E72&gt;0),D72/E72,"")</f>
        <v>-2.12579610238663</v>
      </c>
      <c r="H72" s="21" t="n">
        <f aca="false">IF(G72="","",TDIST(ABS(G72),F72-1,2))</f>
        <v>0.0476164209251456</v>
      </c>
    </row>
    <row r="73" customFormat="false" ht="15" hidden="false" customHeight="false" outlineLevel="0" collapsed="false">
      <c r="A73" s="7" t="s">
        <v>67</v>
      </c>
      <c r="B73" s="7" t="s">
        <v>57</v>
      </c>
      <c r="C73" s="7" t="s">
        <v>34</v>
      </c>
      <c r="D73" s="19" t="n">
        <v>-0.301394439623395</v>
      </c>
      <c r="E73" s="19" t="n">
        <v>0.129033329197349</v>
      </c>
      <c r="F73" s="20" t="n">
        <v>19</v>
      </c>
      <c r="G73" s="21" t="n">
        <f aca="false">IF(AND(ISNUMBER(D73),E73&gt;0),D73/E73,"")</f>
        <v>-2.33578751705639</v>
      </c>
      <c r="H73" s="21" t="n">
        <f aca="false">IF(G73="","",TDIST(ABS(G73),F73-1,2))</f>
        <v>0.0312726544709924</v>
      </c>
    </row>
    <row r="74" customFormat="false" ht="15" hidden="false" customHeight="false" outlineLevel="0" collapsed="false">
      <c r="A74" s="7" t="s">
        <v>68</v>
      </c>
      <c r="B74" s="7" t="s">
        <v>57</v>
      </c>
      <c r="C74" s="7" t="s">
        <v>34</v>
      </c>
      <c r="D74" s="19" t="n">
        <v>-0.37720758519273</v>
      </c>
      <c r="E74" s="19" t="n">
        <v>0.156546164170871</v>
      </c>
      <c r="F74" s="20" t="n">
        <v>19</v>
      </c>
      <c r="G74" s="21" t="n">
        <f aca="false">IF(AND(ISNUMBER(D74),E74&gt;0),D74/E74,"")</f>
        <v>-2.40956134051937</v>
      </c>
      <c r="H74" s="21" t="n">
        <f aca="false">IF(G74="","",TDIST(ABS(G74),F74-1,2))</f>
        <v>0.0268935372468332</v>
      </c>
    </row>
    <row r="75" customFormat="false" ht="15" hidden="false" customHeight="false" outlineLevel="0" collapsed="false">
      <c r="A75" s="7" t="s">
        <v>69</v>
      </c>
      <c r="B75" s="7" t="s">
        <v>57</v>
      </c>
      <c r="C75" s="7" t="s">
        <v>34</v>
      </c>
      <c r="D75" s="19" t="n">
        <v>-0.326911503575546</v>
      </c>
      <c r="E75" s="19" t="n">
        <v>0.161720580204825</v>
      </c>
      <c r="F75" s="20" t="n">
        <v>19</v>
      </c>
      <c r="G75" s="21" t="n">
        <f aca="false">IF(AND(ISNUMBER(D75),E75&gt;0),D75/E75,"")</f>
        <v>-2.02145888396827</v>
      </c>
      <c r="H75" s="21" t="n">
        <f aca="false">IF(G75="","",TDIST(ABS(G75),F75-1,2))</f>
        <v>0.0583579808823003</v>
      </c>
    </row>
    <row r="76" customFormat="false" ht="15" hidden="false" customHeight="false" outlineLevel="0" collapsed="false">
      <c r="A76" s="7" t="s">
        <v>70</v>
      </c>
      <c r="B76" s="7" t="s">
        <v>57</v>
      </c>
      <c r="C76" s="7" t="s">
        <v>34</v>
      </c>
      <c r="D76" s="19" t="n">
        <v>-0.270217835915951</v>
      </c>
      <c r="E76" s="19" t="n">
        <v>0.138967312075659</v>
      </c>
      <c r="F76" s="20" t="n">
        <v>19</v>
      </c>
      <c r="G76" s="21" t="n">
        <f aca="false">IF(AND(ISNUMBER(D76),E76&gt;0),D76/E76,"")</f>
        <v>-1.94447047927958</v>
      </c>
      <c r="H76" s="21" t="n">
        <f aca="false">IF(G76="","",TDIST(ABS(G76),F76-1,2))</f>
        <v>0.0676350534910319</v>
      </c>
    </row>
    <row r="77" customFormat="false" ht="15" hidden="false" customHeight="false" outlineLevel="0" collapsed="false">
      <c r="A77" s="7" t="s">
        <v>71</v>
      </c>
      <c r="B77" s="7" t="s">
        <v>57</v>
      </c>
      <c r="C77" s="7" t="s">
        <v>34</v>
      </c>
      <c r="D77" s="19" t="n">
        <v>-0.271417609920082</v>
      </c>
      <c r="E77" s="19" t="n">
        <v>0.138995507179713</v>
      </c>
      <c r="F77" s="20" t="n">
        <v>19</v>
      </c>
      <c r="G77" s="21" t="n">
        <f aca="false">IF(AND(ISNUMBER(D77),E77&gt;0),D77/E77,"")</f>
        <v>-1.95270779198033</v>
      </c>
      <c r="H77" s="21" t="n">
        <f aca="false">IF(G77="","",TDIST(ABS(G77),F77-1,2))</f>
        <v>0.0665830439623417</v>
      </c>
    </row>
    <row r="78" customFormat="false" ht="15" hidden="false" customHeight="false" outlineLevel="0" collapsed="false">
      <c r="A78" s="7" t="s">
        <v>66</v>
      </c>
      <c r="B78" s="7" t="s">
        <v>57</v>
      </c>
      <c r="C78" s="7" t="s">
        <v>13</v>
      </c>
      <c r="D78" s="19" t="n">
        <v>0.554310736522877</v>
      </c>
      <c r="E78" s="19" t="n">
        <v>0.408567341787208</v>
      </c>
      <c r="F78" s="20" t="n">
        <v>19</v>
      </c>
      <c r="G78" s="21" t="n">
        <f aca="false">IF(AND(ISNUMBER(D78),E78&gt;0),D78/E78,"")</f>
        <v>1.35671817061574</v>
      </c>
      <c r="H78" s="21" t="n">
        <f aca="false">IF(G78="","",TDIST(ABS(G78),F78-1,2))</f>
        <v>0.191643465102187</v>
      </c>
    </row>
    <row r="79" customFormat="false" ht="15" hidden="false" customHeight="false" outlineLevel="0" collapsed="false">
      <c r="A79" s="7" t="s">
        <v>67</v>
      </c>
      <c r="B79" s="7" t="s">
        <v>57</v>
      </c>
      <c r="C79" s="7" t="s">
        <v>13</v>
      </c>
      <c r="D79" s="19" t="n">
        <v>0.152171897965809</v>
      </c>
      <c r="E79" s="19" t="n">
        <v>0.326840655591187</v>
      </c>
      <c r="F79" s="20" t="n">
        <v>19</v>
      </c>
      <c r="G79" s="21" t="n">
        <f aca="false">IF(AND(ISNUMBER(D79),E79&gt;0),D79/E79,"")</f>
        <v>0.465584361561635</v>
      </c>
      <c r="H79" s="21" t="n">
        <f aca="false">IF(G79="","",TDIST(ABS(G79),F79-1,2))</f>
        <v>0.647096900534779</v>
      </c>
    </row>
    <row r="80" customFormat="false" ht="15" hidden="false" customHeight="false" outlineLevel="0" collapsed="false">
      <c r="A80" s="7" t="s">
        <v>68</v>
      </c>
      <c r="B80" s="7" t="s">
        <v>57</v>
      </c>
      <c r="C80" s="7" t="s">
        <v>13</v>
      </c>
      <c r="D80" s="19" t="n">
        <v>0.137874949696785</v>
      </c>
      <c r="E80" s="19" t="n">
        <v>0.324824815885337</v>
      </c>
      <c r="F80" s="20" t="n">
        <v>19</v>
      </c>
      <c r="G80" s="21" t="n">
        <f aca="false">IF(AND(ISNUMBER(D80),E80&gt;0),D80/E80,"")</f>
        <v>0.424459409977639</v>
      </c>
      <c r="H80" s="21" t="n">
        <f aca="false">IF(G80="","",TDIST(ABS(G80),F80-1,2))</f>
        <v>0.676260825519844</v>
      </c>
    </row>
    <row r="81" customFormat="false" ht="15" hidden="false" customHeight="false" outlineLevel="0" collapsed="false">
      <c r="A81" s="7" t="s">
        <v>69</v>
      </c>
      <c r="B81" s="7" t="s">
        <v>57</v>
      </c>
      <c r="C81" s="7" t="s">
        <v>13</v>
      </c>
      <c r="D81" s="19" t="n">
        <v>0.345390084823308</v>
      </c>
      <c r="E81" s="19" t="n">
        <v>0.474210220351444</v>
      </c>
      <c r="F81" s="20" t="n">
        <v>19</v>
      </c>
      <c r="G81" s="21" t="n">
        <f aca="false">IF(AND(ISNUMBER(D81),E81&gt;0),D81/E81,"")</f>
        <v>0.728348040595445</v>
      </c>
      <c r="H81" s="21" t="n">
        <f aca="false">IF(G81="","",TDIST(ABS(G81),F81-1,2))</f>
        <v>0.475770170570348</v>
      </c>
    </row>
    <row r="82" customFormat="false" ht="15" hidden="false" customHeight="false" outlineLevel="0" collapsed="false">
      <c r="A82" s="7" t="s">
        <v>70</v>
      </c>
      <c r="B82" s="7" t="s">
        <v>57</v>
      </c>
      <c r="C82" s="7" t="s">
        <v>13</v>
      </c>
      <c r="D82" s="19" t="n">
        <v>0.0442392561390787</v>
      </c>
      <c r="E82" s="19" t="n">
        <v>0.0209581507543564</v>
      </c>
      <c r="F82" s="20" t="n">
        <v>19</v>
      </c>
      <c r="G82" s="21" t="n">
        <f aca="false">IF(AND(ISNUMBER(D82),E82&gt;0),D82/E82,"")</f>
        <v>2.11083776701449</v>
      </c>
      <c r="H82" s="21" t="n">
        <f aca="false">IF(G82="","",TDIST(ABS(G82),F82-1,2))</f>
        <v>0.0490370997409041</v>
      </c>
    </row>
    <row r="83" customFormat="false" ht="15" hidden="false" customHeight="false" outlineLevel="0" collapsed="false">
      <c r="A83" s="7" t="s">
        <v>71</v>
      </c>
      <c r="B83" s="7" t="s">
        <v>57</v>
      </c>
      <c r="C83" s="7" t="s">
        <v>13</v>
      </c>
      <c r="D83" s="19" t="n">
        <v>0.044056811500466</v>
      </c>
      <c r="E83" s="19" t="n">
        <v>0.0217379222295229</v>
      </c>
      <c r="F83" s="20" t="n">
        <v>19</v>
      </c>
      <c r="G83" s="21" t="n">
        <f aca="false">IF(AND(ISNUMBER(D83),E83&gt;0),D83/E83,"")</f>
        <v>2.02672596926633</v>
      </c>
      <c r="H83" s="21" t="n">
        <f aca="false">IF(G83="","",TDIST(ABS(G83),F83-1,2))</f>
        <v>0.0577672162426492</v>
      </c>
    </row>
    <row r="84" customFormat="false" ht="15" hidden="false" customHeight="false" outlineLevel="0" collapsed="false">
      <c r="A84" s="7" t="s">
        <v>66</v>
      </c>
      <c r="B84" s="7" t="s">
        <v>57</v>
      </c>
      <c r="C84" s="7" t="s">
        <v>14</v>
      </c>
      <c r="D84" s="19" t="n">
        <v>0.242790021023058</v>
      </c>
      <c r="E84" s="19" t="n">
        <v>0.0856603752597144</v>
      </c>
      <c r="F84" s="20" t="n">
        <v>19</v>
      </c>
      <c r="G84" s="21" t="n">
        <f aca="false">IF(AND(ISNUMBER(D84),E84&gt;0),D84/E84,"")</f>
        <v>2.83433291398667</v>
      </c>
      <c r="H84" s="21" t="n">
        <f aca="false">IF(G84="","",TDIST(ABS(G84),F84-1,2))</f>
        <v>0.0109960081097435</v>
      </c>
    </row>
    <row r="85" customFormat="false" ht="15" hidden="false" customHeight="false" outlineLevel="0" collapsed="false">
      <c r="A85" s="7" t="s">
        <v>67</v>
      </c>
      <c r="B85" s="7" t="s">
        <v>57</v>
      </c>
      <c r="C85" s="7" t="s">
        <v>14</v>
      </c>
      <c r="D85" s="19" t="n">
        <v>0.226682465192159</v>
      </c>
      <c r="E85" s="19" t="n">
        <v>0.111535467865338</v>
      </c>
      <c r="F85" s="20" t="n">
        <v>19</v>
      </c>
      <c r="G85" s="21" t="n">
        <f aca="false">IF(AND(ISNUMBER(D85),E85&gt;0),D85/E85,"")</f>
        <v>2.03238009873096</v>
      </c>
      <c r="H85" s="21" t="n">
        <f aca="false">IF(G85="","",TDIST(ABS(G85),F85-1,2))</f>
        <v>0.0571390433591733</v>
      </c>
    </row>
    <row r="86" customFormat="false" ht="15" hidden="false" customHeight="false" outlineLevel="0" collapsed="false">
      <c r="A86" s="7" t="s">
        <v>68</v>
      </c>
      <c r="B86" s="7" t="s">
        <v>57</v>
      </c>
      <c r="C86" s="7" t="s">
        <v>14</v>
      </c>
      <c r="D86" s="19" t="n">
        <v>0.265235504825392</v>
      </c>
      <c r="E86" s="19" t="n">
        <v>0.0914454568541983</v>
      </c>
      <c r="F86" s="20" t="n">
        <v>19</v>
      </c>
      <c r="G86" s="21" t="n">
        <f aca="false">IF(AND(ISNUMBER(D86),E86&gt;0),D86/E86,"")</f>
        <v>2.90047766121707</v>
      </c>
      <c r="H86" s="21" t="n">
        <f aca="false">IF(G86="","",TDIST(ABS(G86),F86-1,2))</f>
        <v>0.00953555219985529</v>
      </c>
    </row>
    <row r="87" customFormat="false" ht="15" hidden="false" customHeight="false" outlineLevel="0" collapsed="false">
      <c r="A87" s="7" t="s">
        <v>69</v>
      </c>
      <c r="B87" s="7" t="s">
        <v>57</v>
      </c>
      <c r="C87" s="7" t="s">
        <v>14</v>
      </c>
      <c r="D87" s="19" t="n">
        <v>0.262389472144164</v>
      </c>
      <c r="E87" s="19" t="n">
        <v>0.0917368053162484</v>
      </c>
      <c r="F87" s="20" t="n">
        <v>19</v>
      </c>
      <c r="G87" s="21" t="n">
        <f aca="false">IF(AND(ISNUMBER(D87),E87&gt;0),D87/E87,"")</f>
        <v>2.86024209410407</v>
      </c>
      <c r="H87" s="21" t="n">
        <f aca="false">IF(G87="","",TDIST(ABS(G87),F87-1,2))</f>
        <v>0.0103999287769132</v>
      </c>
    </row>
    <row r="88" customFormat="false" ht="15" hidden="false" customHeight="false" outlineLevel="0" collapsed="false">
      <c r="A88" s="7" t="s">
        <v>70</v>
      </c>
      <c r="B88" s="7" t="s">
        <v>57</v>
      </c>
      <c r="C88" s="7" t="s">
        <v>14</v>
      </c>
      <c r="D88" s="19" t="n">
        <v>-0.0122738024812789</v>
      </c>
      <c r="E88" s="19" t="n">
        <v>0.0140605626312257</v>
      </c>
      <c r="F88" s="20" t="n">
        <v>19</v>
      </c>
      <c r="G88" s="21" t="n">
        <f aca="false">IF(AND(ISNUMBER(D88),E88&gt;0),D88/E88,"")</f>
        <v>-0.872923993384248</v>
      </c>
      <c r="H88" s="21" t="n">
        <f aca="false">IF(G88="","",TDIST(ABS(G88),F88-1,2))</f>
        <v>0.394200738525359</v>
      </c>
    </row>
    <row r="89" customFormat="false" ht="15" hidden="false" customHeight="false" outlineLevel="0" collapsed="false">
      <c r="A89" s="7" t="s">
        <v>71</v>
      </c>
      <c r="B89" s="7" t="s">
        <v>57</v>
      </c>
      <c r="C89" s="7" t="s">
        <v>14</v>
      </c>
      <c r="D89" s="19" t="n">
        <v>-0.00884311249229503</v>
      </c>
      <c r="E89" s="19" t="n">
        <v>0.0156779667717939</v>
      </c>
      <c r="F89" s="20" t="n">
        <v>19</v>
      </c>
      <c r="G89" s="21" t="n">
        <f aca="false">IF(AND(ISNUMBER(D89),E89&gt;0),D89/E89,"")</f>
        <v>-0.564047151076031</v>
      </c>
      <c r="H89" s="21" t="n">
        <f aca="false">IF(G89="","",TDIST(ABS(G89),F89-1,2))</f>
        <v>0.579682845446517</v>
      </c>
    </row>
    <row r="90" customFormat="false" ht="15" hidden="false" customHeight="false" outlineLevel="0" collapsed="false">
      <c r="A90" s="7" t="s">
        <v>69</v>
      </c>
      <c r="B90" s="7" t="s">
        <v>57</v>
      </c>
      <c r="C90" s="7" t="s">
        <v>35</v>
      </c>
      <c r="D90" s="19" t="n">
        <v>0.135843486940501</v>
      </c>
      <c r="E90" s="19" t="n">
        <v>0.125226260571607</v>
      </c>
      <c r="F90" s="20" t="n">
        <v>19</v>
      </c>
      <c r="G90" s="21" t="n">
        <f aca="false">IF(AND(ISNUMBER(D90),E90&gt;0),D90/E90,"")</f>
        <v>1.08478434411784</v>
      </c>
      <c r="H90" s="21" t="n">
        <f aca="false">IF(G90="","",TDIST(ABS(G90),F90-1,2))</f>
        <v>0.292333231847243</v>
      </c>
    </row>
    <row r="91" customFormat="false" ht="15" hidden="false" customHeight="false" outlineLevel="0" collapsed="false">
      <c r="A91" s="7" t="s">
        <v>66</v>
      </c>
      <c r="B91" s="7" t="s">
        <v>57</v>
      </c>
      <c r="C91" s="7" t="s">
        <v>16</v>
      </c>
      <c r="D91" s="19" t="n">
        <v>-0.544807573990322</v>
      </c>
      <c r="E91" s="19" t="n">
        <v>0.236380449014539</v>
      </c>
      <c r="F91" s="20" t="n">
        <v>19</v>
      </c>
      <c r="G91" s="21" t="n">
        <f aca="false">IF(AND(ISNUMBER(D91),E91&gt;0),D91/E91,"")</f>
        <v>-2.30479117990343</v>
      </c>
      <c r="H91" s="21" t="n">
        <f aca="false">IF(G91="","",TDIST(ABS(G91),F91-1,2))</f>
        <v>0.0333035211429945</v>
      </c>
    </row>
    <row r="92" customFormat="false" ht="15" hidden="false" customHeight="false" outlineLevel="0" collapsed="false">
      <c r="A92" s="7" t="s">
        <v>67</v>
      </c>
      <c r="B92" s="7" t="s">
        <v>57</v>
      </c>
      <c r="C92" s="7" t="s">
        <v>16</v>
      </c>
      <c r="D92" s="19" t="n">
        <v>-0.367827478404734</v>
      </c>
      <c r="E92" s="19" t="n">
        <v>0.228670103598414</v>
      </c>
      <c r="F92" s="20" t="n">
        <v>19</v>
      </c>
      <c r="G92" s="21" t="n">
        <f aca="false">IF(AND(ISNUMBER(D92),E92&gt;0),D92/E92,"")</f>
        <v>-1.60855080142311</v>
      </c>
      <c r="H92" s="21" t="n">
        <f aca="false">IF(G92="","",TDIST(ABS(G92),F92-1,2))</f>
        <v>0.125112841406679</v>
      </c>
    </row>
    <row r="93" customFormat="false" ht="15" hidden="false" customHeight="false" outlineLevel="0" collapsed="false">
      <c r="A93" s="7" t="s">
        <v>68</v>
      </c>
      <c r="B93" s="7" t="s">
        <v>57</v>
      </c>
      <c r="C93" s="7" t="s">
        <v>16</v>
      </c>
      <c r="D93" s="19" t="n">
        <v>-0.425626458924112</v>
      </c>
      <c r="E93" s="19" t="n">
        <v>0.207629380992706</v>
      </c>
      <c r="F93" s="20" t="n">
        <v>19</v>
      </c>
      <c r="G93" s="21" t="n">
        <f aca="false">IF(AND(ISNUMBER(D93),E93&gt;0),D93/E93,"")</f>
        <v>-2.04993366973947</v>
      </c>
      <c r="H93" s="21" t="n">
        <f aca="false">IF(G93="","",TDIST(ABS(G93),F93-1,2))</f>
        <v>0.0552279135034379</v>
      </c>
    </row>
    <row r="94" customFormat="false" ht="15" hidden="false" customHeight="false" outlineLevel="0" collapsed="false">
      <c r="A94" s="7" t="s">
        <v>69</v>
      </c>
      <c r="B94" s="7" t="s">
        <v>57</v>
      </c>
      <c r="C94" s="7" t="s">
        <v>16</v>
      </c>
      <c r="D94" s="19" t="n">
        <v>-0.482307876853554</v>
      </c>
      <c r="E94" s="19" t="n">
        <v>0.226313612761352</v>
      </c>
      <c r="F94" s="20" t="n">
        <v>19</v>
      </c>
      <c r="G94" s="21" t="n">
        <f aca="false">IF(AND(ISNUMBER(D94),E94&gt;0),D94/E94,"")</f>
        <v>-2.13114832540873</v>
      </c>
      <c r="H94" s="21" t="n">
        <f aca="false">IF(G94="","",TDIST(ABS(G94),F94-1,2))</f>
        <v>0.0471172695997363</v>
      </c>
    </row>
    <row r="95" customFormat="false" ht="15" hidden="false" customHeight="false" outlineLevel="0" collapsed="false">
      <c r="A95" s="7" t="s">
        <v>70</v>
      </c>
      <c r="B95" s="7" t="s">
        <v>57</v>
      </c>
      <c r="C95" s="7" t="s">
        <v>16</v>
      </c>
      <c r="D95" s="19" t="n">
        <v>-0.550349803603406</v>
      </c>
      <c r="E95" s="19" t="n">
        <v>0.209138005578752</v>
      </c>
      <c r="F95" s="20" t="n">
        <v>19</v>
      </c>
      <c r="G95" s="21" t="n">
        <f aca="false">IF(AND(ISNUMBER(D95),E95&gt;0),D95/E95,"")</f>
        <v>-2.63151502320399</v>
      </c>
      <c r="H95" s="21" t="n">
        <f aca="false">IF(G95="","",TDIST(ABS(G95),F95-1,2))</f>
        <v>0.0169371743283791</v>
      </c>
    </row>
    <row r="96" customFormat="false" ht="15" hidden="false" customHeight="false" outlineLevel="0" collapsed="false">
      <c r="A96" s="7" t="s">
        <v>71</v>
      </c>
      <c r="B96" s="7" t="s">
        <v>57</v>
      </c>
      <c r="C96" s="7" t="s">
        <v>16</v>
      </c>
      <c r="D96" s="19" t="n">
        <v>-0.550394301048457</v>
      </c>
      <c r="E96" s="19" t="n">
        <v>0.211255370245569</v>
      </c>
      <c r="F96" s="20" t="n">
        <v>19</v>
      </c>
      <c r="G96" s="21" t="n">
        <f aca="false">IF(AND(ISNUMBER(D96),E96&gt;0),D96/E96,"")</f>
        <v>-2.6053505783482</v>
      </c>
      <c r="H96" s="21" t="n">
        <f aca="false">IF(G96="","",TDIST(ABS(G96),F96-1,2))</f>
        <v>0.0178968591206901</v>
      </c>
    </row>
    <row r="97" customFormat="false" ht="15" hidden="false" customHeight="false" outlineLevel="0" collapsed="false">
      <c r="A97" s="7" t="s">
        <v>66</v>
      </c>
      <c r="B97" s="7" t="s">
        <v>57</v>
      </c>
      <c r="C97" s="7" t="s">
        <v>17</v>
      </c>
      <c r="D97" s="19" t="n">
        <v>-0.0930922047303553</v>
      </c>
      <c r="E97" s="19" t="n">
        <v>0.198242221256816</v>
      </c>
      <c r="F97" s="20" t="n">
        <v>19</v>
      </c>
      <c r="G97" s="21" t="n">
        <f aca="false">IF(AND(ISNUMBER(D97),E97&gt;0),D97/E97,"")</f>
        <v>-0.469588184293788</v>
      </c>
      <c r="H97" s="21" t="n">
        <f aca="false">IF(G97="","",TDIST(ABS(G97),F97-1,2))</f>
        <v>0.644287757651405</v>
      </c>
    </row>
    <row r="98" customFormat="false" ht="15" hidden="false" customHeight="false" outlineLevel="0" collapsed="false">
      <c r="A98" s="7" t="s">
        <v>67</v>
      </c>
      <c r="B98" s="7" t="s">
        <v>57</v>
      </c>
      <c r="C98" s="7" t="s">
        <v>17</v>
      </c>
      <c r="D98" s="19" t="n">
        <v>-0.246959208947767</v>
      </c>
      <c r="E98" s="19" t="n">
        <v>0.133410730482116</v>
      </c>
      <c r="F98" s="20" t="n">
        <v>19</v>
      </c>
      <c r="G98" s="21" t="n">
        <f aca="false">IF(AND(ISNUMBER(D98),E98&gt;0),D98/E98,"")</f>
        <v>-1.85111953180463</v>
      </c>
      <c r="H98" s="21" t="n">
        <f aca="false">IF(G98="","",TDIST(ABS(G98),F98-1,2))</f>
        <v>0.0806320908452483</v>
      </c>
    </row>
    <row r="99" customFormat="false" ht="15" hidden="false" customHeight="false" outlineLevel="0" collapsed="false">
      <c r="A99" s="7" t="s">
        <v>68</v>
      </c>
      <c r="B99" s="7" t="s">
        <v>57</v>
      </c>
      <c r="C99" s="7" t="s">
        <v>17</v>
      </c>
      <c r="D99" s="19" t="n">
        <v>-0.327458273044258</v>
      </c>
      <c r="E99" s="19" t="n">
        <v>0.180276238173171</v>
      </c>
      <c r="F99" s="20" t="n">
        <v>19</v>
      </c>
      <c r="G99" s="21" t="n">
        <f aca="false">IF(AND(ISNUMBER(D99),E99&gt;0),D99/E99,"")</f>
        <v>-1.81642503949803</v>
      </c>
      <c r="H99" s="21" t="n">
        <f aca="false">IF(G99="","",TDIST(ABS(G99),F99-1,2))</f>
        <v>0.0859970685432351</v>
      </c>
    </row>
    <row r="100" customFormat="false" ht="15" hidden="false" customHeight="false" outlineLevel="0" collapsed="false">
      <c r="A100" s="7" t="s">
        <v>69</v>
      </c>
      <c r="B100" s="7" t="s">
        <v>57</v>
      </c>
      <c r="C100" s="7" t="s">
        <v>17</v>
      </c>
      <c r="D100" s="19" t="n">
        <v>-0.200844792296734</v>
      </c>
      <c r="E100" s="19" t="n">
        <v>0.269642812762414</v>
      </c>
      <c r="F100" s="20" t="n">
        <v>19</v>
      </c>
      <c r="G100" s="21" t="n">
        <f aca="false">IF(AND(ISNUMBER(D100),E100&gt;0),D100/E100,"")</f>
        <v>-0.744854981444288</v>
      </c>
      <c r="H100" s="21" t="n">
        <f aca="false">IF(G100="","",TDIST(ABS(G100),F100-1,2))</f>
        <v>0.465974192592229</v>
      </c>
    </row>
    <row r="101" customFormat="false" ht="15" hidden="false" customHeight="false" outlineLevel="0" collapsed="false">
      <c r="A101" s="7" t="s">
        <v>70</v>
      </c>
      <c r="B101" s="7" t="s">
        <v>57</v>
      </c>
      <c r="C101" s="7" t="s">
        <v>17</v>
      </c>
      <c r="D101" s="19" t="n">
        <v>-0.019478729934461</v>
      </c>
      <c r="E101" s="19" t="n">
        <v>0.165295668980438</v>
      </c>
      <c r="F101" s="20" t="n">
        <v>19</v>
      </c>
      <c r="G101" s="21" t="n">
        <f aca="false">IF(AND(ISNUMBER(D101),E101&gt;0),D101/E101,"")</f>
        <v>-0.117841744158259</v>
      </c>
      <c r="H101" s="21" t="n">
        <f aca="false">IF(G101="","",TDIST(ABS(G101),F101-1,2))</f>
        <v>0.907498082569124</v>
      </c>
    </row>
    <row r="102" customFormat="false" ht="15" hidden="false" customHeight="false" outlineLevel="0" collapsed="false">
      <c r="A102" s="7" t="s">
        <v>71</v>
      </c>
      <c r="B102" s="7" t="s">
        <v>57</v>
      </c>
      <c r="C102" s="7" t="s">
        <v>17</v>
      </c>
      <c r="D102" s="19" t="n">
        <v>-0.0217125630428647</v>
      </c>
      <c r="E102" s="19" t="n">
        <v>0.169720854210893</v>
      </c>
      <c r="F102" s="20" t="n">
        <v>19</v>
      </c>
      <c r="G102" s="21" t="n">
        <f aca="false">IF(AND(ISNUMBER(D102),E102&gt;0),D102/E102,"")</f>
        <v>-0.127931026177166</v>
      </c>
      <c r="H102" s="21" t="n">
        <f aca="false">IF(G102="","",TDIST(ABS(G102),F102-1,2))</f>
        <v>0.899622009077045</v>
      </c>
    </row>
    <row r="103" customFormat="false" ht="15" hidden="false" customHeight="false" outlineLevel="0" collapsed="false">
      <c r="A103" s="7" t="s">
        <v>66</v>
      </c>
      <c r="B103" s="7" t="s">
        <v>65</v>
      </c>
      <c r="C103" s="7" t="s">
        <v>34</v>
      </c>
      <c r="D103" s="19" t="n">
        <v>-0.460418844431006</v>
      </c>
      <c r="E103" s="19" t="n">
        <v>0.15378733018563</v>
      </c>
      <c r="F103" s="20" t="n">
        <v>19</v>
      </c>
      <c r="G103" s="21" t="n">
        <f aca="false">IF(AND(ISNUMBER(D103),E103&gt;0),D103/E103,"")</f>
        <v>-2.99386720528444</v>
      </c>
      <c r="H103" s="21" t="n">
        <f aca="false">IF(G103="","",TDIST(ABS(G103),F103-1,2))</f>
        <v>0.00778857337967429</v>
      </c>
    </row>
    <row r="104" customFormat="false" ht="15" hidden="false" customHeight="false" outlineLevel="0" collapsed="false">
      <c r="A104" s="7" t="s">
        <v>67</v>
      </c>
      <c r="B104" s="7" t="s">
        <v>65</v>
      </c>
      <c r="C104" s="7" t="s">
        <v>34</v>
      </c>
      <c r="D104" s="19" t="n">
        <v>-0.51489098249393</v>
      </c>
      <c r="E104" s="19" t="n">
        <v>0.155990647698857</v>
      </c>
      <c r="F104" s="20" t="n">
        <v>19</v>
      </c>
      <c r="G104" s="21" t="n">
        <f aca="false">IF(AND(ISNUMBER(D104),E104&gt;0),D104/E104,"")</f>
        <v>-3.30078110508225</v>
      </c>
      <c r="H104" s="21" t="n">
        <f aca="false">IF(G104="","",TDIST(ABS(G104),F104-1,2))</f>
        <v>0.00397444830846321</v>
      </c>
    </row>
    <row r="105" customFormat="false" ht="15" hidden="false" customHeight="false" outlineLevel="0" collapsed="false">
      <c r="A105" s="7" t="s">
        <v>68</v>
      </c>
      <c r="B105" s="7" t="s">
        <v>65</v>
      </c>
      <c r="C105" s="7" t="s">
        <v>34</v>
      </c>
      <c r="D105" s="19" t="n">
        <v>-0.532641356164917</v>
      </c>
      <c r="E105" s="19" t="n">
        <v>0.171413812324105</v>
      </c>
      <c r="F105" s="20" t="n">
        <v>19</v>
      </c>
      <c r="G105" s="21" t="n">
        <f aca="false">IF(AND(ISNUMBER(D105),E105&gt;0),D105/E105,"")</f>
        <v>-3.10734210355121</v>
      </c>
      <c r="H105" s="21" t="n">
        <f aca="false">IF(G105="","",TDIST(ABS(G105),F105-1,2))</f>
        <v>0.00608085168529165</v>
      </c>
    </row>
    <row r="106" customFormat="false" ht="15" hidden="false" customHeight="false" outlineLevel="0" collapsed="false">
      <c r="A106" s="7" t="s">
        <v>69</v>
      </c>
      <c r="B106" s="7" t="s">
        <v>65</v>
      </c>
      <c r="C106" s="7" t="s">
        <v>34</v>
      </c>
      <c r="D106" s="19" t="n">
        <v>-0.528116633609238</v>
      </c>
      <c r="E106" s="19" t="n">
        <v>0.159232451268328</v>
      </c>
      <c r="F106" s="20" t="n">
        <v>19</v>
      </c>
      <c r="G106" s="21" t="n">
        <f aca="false">IF(AND(ISNUMBER(D106),E106&gt;0),D106/E106,"")</f>
        <v>-3.31663947519901</v>
      </c>
      <c r="H106" s="21" t="n">
        <f aca="false">IF(G106="","",TDIST(ABS(G106),F106-1,2))</f>
        <v>0.00383768639056603</v>
      </c>
    </row>
    <row r="107" customFormat="false" ht="15" hidden="false" customHeight="false" outlineLevel="0" collapsed="false">
      <c r="A107" s="7" t="s">
        <v>70</v>
      </c>
      <c r="B107" s="7" t="s">
        <v>65</v>
      </c>
      <c r="C107" s="7" t="s">
        <v>34</v>
      </c>
      <c r="D107" s="19" t="n">
        <v>-0.3428189311014</v>
      </c>
      <c r="E107" s="19" t="n">
        <v>0.145569310994486</v>
      </c>
      <c r="F107" s="20" t="n">
        <v>19</v>
      </c>
      <c r="G107" s="21" t="n">
        <f aca="false">IF(AND(ISNUMBER(D107),E107&gt;0),D107/E107,"")</f>
        <v>-2.35502200813732</v>
      </c>
      <c r="H107" s="21" t="n">
        <f aca="false">IF(G107="","",TDIST(ABS(G107),F107-1,2))</f>
        <v>0.0300709569851229</v>
      </c>
    </row>
    <row r="108" customFormat="false" ht="15" hidden="false" customHeight="false" outlineLevel="0" collapsed="false">
      <c r="A108" s="7" t="s">
        <v>71</v>
      </c>
      <c r="B108" s="7" t="s">
        <v>65</v>
      </c>
      <c r="C108" s="7" t="s">
        <v>34</v>
      </c>
      <c r="D108" s="19" t="n">
        <v>-0.348064714074885</v>
      </c>
      <c r="E108" s="19" t="n">
        <v>0.15383046994384</v>
      </c>
      <c r="F108" s="20" t="n">
        <v>19</v>
      </c>
      <c r="G108" s="21" t="n">
        <f aca="false">IF(AND(ISNUMBER(D108),E108&gt;0),D108/E108,"")</f>
        <v>-2.26265130830033</v>
      </c>
      <c r="H108" s="21" t="n">
        <f aca="false">IF(G108="","",TDIST(ABS(G108),F108-1,2))</f>
        <v>0.0362609921733536</v>
      </c>
    </row>
    <row r="109" customFormat="false" ht="15" hidden="false" customHeight="false" outlineLevel="0" collapsed="false">
      <c r="A109" s="7" t="s">
        <v>66</v>
      </c>
      <c r="B109" s="7" t="s">
        <v>65</v>
      </c>
      <c r="C109" s="7" t="s">
        <v>13</v>
      </c>
      <c r="D109" s="19" t="n">
        <v>0.704497791967234</v>
      </c>
      <c r="E109" s="19" t="n">
        <v>0.265199340660759</v>
      </c>
      <c r="F109" s="20" t="n">
        <v>19</v>
      </c>
      <c r="G109" s="21" t="n">
        <f aca="false">IF(AND(ISNUMBER(D109),E109&gt;0),D109/E109,"")</f>
        <v>2.65648394981654</v>
      </c>
      <c r="H109" s="21" t="n">
        <f aca="false">IF(G109="","",TDIST(ABS(G109),F109-1,2))</f>
        <v>0.0160671302237382</v>
      </c>
    </row>
    <row r="110" customFormat="false" ht="15" hidden="false" customHeight="false" outlineLevel="0" collapsed="false">
      <c r="A110" s="7" t="s">
        <v>67</v>
      </c>
      <c r="B110" s="7" t="s">
        <v>65</v>
      </c>
      <c r="C110" s="7" t="s">
        <v>13</v>
      </c>
      <c r="D110" s="19" t="n">
        <v>0.636892039953299</v>
      </c>
      <c r="E110" s="19" t="n">
        <v>0.301621184182531</v>
      </c>
      <c r="F110" s="20" t="n">
        <v>19</v>
      </c>
      <c r="G110" s="21" t="n">
        <f aca="false">IF(AND(ISNUMBER(D110),E110&gt;0),D110/E110,"")</f>
        <v>2.11156269304968</v>
      </c>
      <c r="H110" s="21" t="n">
        <f aca="false">IF(G110="","",TDIST(ABS(G110),F110-1,2))</f>
        <v>0.0489673694120951</v>
      </c>
    </row>
    <row r="111" customFormat="false" ht="15" hidden="false" customHeight="false" outlineLevel="0" collapsed="false">
      <c r="A111" s="7" t="s">
        <v>68</v>
      </c>
      <c r="B111" s="7" t="s">
        <v>65</v>
      </c>
      <c r="C111" s="7" t="s">
        <v>13</v>
      </c>
      <c r="D111" s="19" t="n">
        <v>0.422841620859002</v>
      </c>
      <c r="E111" s="19" t="n">
        <v>0.224438576050073</v>
      </c>
      <c r="F111" s="20" t="n">
        <v>19</v>
      </c>
      <c r="G111" s="21" t="n">
        <f aca="false">IF(AND(ISNUMBER(D111),E111&gt;0),D111/E111,"")</f>
        <v>1.88399707528292</v>
      </c>
      <c r="H111" s="21" t="n">
        <f aca="false">IF(G111="","",TDIST(ABS(G111),F111-1,2))</f>
        <v>0.0758223405070034</v>
      </c>
    </row>
    <row r="112" customFormat="false" ht="15" hidden="false" customHeight="false" outlineLevel="0" collapsed="false">
      <c r="A112" s="7" t="s">
        <v>69</v>
      </c>
      <c r="B112" s="7" t="s">
        <v>65</v>
      </c>
      <c r="C112" s="7" t="s">
        <v>13</v>
      </c>
      <c r="D112" s="19" t="n">
        <v>0.35515409282164</v>
      </c>
      <c r="E112" s="19" t="n">
        <v>0.288028970175187</v>
      </c>
      <c r="F112" s="20" t="n">
        <v>19</v>
      </c>
      <c r="G112" s="21" t="n">
        <f aca="false">IF(AND(ISNUMBER(D112),E112&gt;0),D112/E112,"")</f>
        <v>1.23304989982648</v>
      </c>
      <c r="H112" s="21" t="n">
        <f aca="false">IF(G112="","",TDIST(ABS(G112),F112-1,2))</f>
        <v>0.23341855238386</v>
      </c>
    </row>
    <row r="113" customFormat="false" ht="15" hidden="false" customHeight="false" outlineLevel="0" collapsed="false">
      <c r="A113" s="7" t="s">
        <v>70</v>
      </c>
      <c r="B113" s="7" t="s">
        <v>65</v>
      </c>
      <c r="C113" s="7" t="s">
        <v>13</v>
      </c>
      <c r="D113" s="19" t="n">
        <v>0.0206324375627117</v>
      </c>
      <c r="E113" s="19" t="n">
        <v>0.0157046034906414</v>
      </c>
      <c r="F113" s="20" t="n">
        <v>19</v>
      </c>
      <c r="G113" s="21" t="n">
        <f aca="false">IF(AND(ISNUMBER(D113),E113&gt;0),D113/E113,"")</f>
        <v>1.31378277554138</v>
      </c>
      <c r="H113" s="21" t="n">
        <f aca="false">IF(G113="","",TDIST(ABS(G113),F113-1,2))</f>
        <v>0.205418440999284</v>
      </c>
    </row>
    <row r="114" customFormat="false" ht="15" hidden="false" customHeight="false" outlineLevel="0" collapsed="false">
      <c r="A114" s="7" t="s">
        <v>71</v>
      </c>
      <c r="B114" s="7" t="s">
        <v>65</v>
      </c>
      <c r="C114" s="7" t="s">
        <v>13</v>
      </c>
      <c r="D114" s="19" t="n">
        <v>0.0194899862631372</v>
      </c>
      <c r="E114" s="19" t="n">
        <v>0.0152494424196236</v>
      </c>
      <c r="F114" s="20" t="n">
        <v>19</v>
      </c>
      <c r="G114" s="21" t="n">
        <f aca="false">IF(AND(ISNUMBER(D114),E114&gt;0),D114/E114,"")</f>
        <v>1.27807861604545</v>
      </c>
      <c r="H114" s="21" t="n">
        <f aca="false">IF(G114="","",TDIST(ABS(G114),F114-1,2))</f>
        <v>0.217458158793304</v>
      </c>
    </row>
    <row r="115" customFormat="false" ht="15" hidden="false" customHeight="false" outlineLevel="0" collapsed="false">
      <c r="A115" s="7" t="s">
        <v>66</v>
      </c>
      <c r="B115" s="7" t="s">
        <v>65</v>
      </c>
      <c r="C115" s="7" t="s">
        <v>14</v>
      </c>
      <c r="D115" s="19" t="n">
        <v>0.023826573543526</v>
      </c>
      <c r="E115" s="19" t="n">
        <v>0.151378370925635</v>
      </c>
      <c r="F115" s="20" t="n">
        <v>19</v>
      </c>
      <c r="G115" s="21" t="n">
        <f aca="false">IF(AND(ISNUMBER(D115),E115&gt;0),D115/E115,"")</f>
        <v>0.157397476256571</v>
      </c>
      <c r="H115" s="21" t="n">
        <f aca="false">IF(G115="","",TDIST(ABS(G115),F115-1,2))</f>
        <v>0.87668375205947</v>
      </c>
    </row>
    <row r="116" customFormat="false" ht="15" hidden="false" customHeight="false" outlineLevel="0" collapsed="false">
      <c r="A116" s="7" t="s">
        <v>67</v>
      </c>
      <c r="B116" s="7" t="s">
        <v>65</v>
      </c>
      <c r="C116" s="7" t="s">
        <v>14</v>
      </c>
      <c r="D116" s="19" t="n">
        <v>-0.118362849352862</v>
      </c>
      <c r="E116" s="19" t="n">
        <v>0.188077240969009</v>
      </c>
      <c r="F116" s="20" t="n">
        <v>19</v>
      </c>
      <c r="G116" s="21" t="n">
        <f aca="false">IF(AND(ISNUMBER(D116),E116&gt;0),D116/E116,"")</f>
        <v>-0.629331059638234</v>
      </c>
      <c r="H116" s="21" t="n">
        <f aca="false">IF(G116="","",TDIST(ABS(G116),F116-1,2))</f>
        <v>0.537038747044102</v>
      </c>
    </row>
    <row r="117" customFormat="false" ht="15" hidden="false" customHeight="false" outlineLevel="0" collapsed="false">
      <c r="A117" s="7" t="s">
        <v>68</v>
      </c>
      <c r="B117" s="7" t="s">
        <v>65</v>
      </c>
      <c r="C117" s="7" t="s">
        <v>14</v>
      </c>
      <c r="D117" s="19" t="n">
        <v>0.0428061457596946</v>
      </c>
      <c r="E117" s="19" t="n">
        <v>0.150735878296349</v>
      </c>
      <c r="F117" s="20" t="n">
        <v>19</v>
      </c>
      <c r="G117" s="21" t="n">
        <f aca="false">IF(AND(ISNUMBER(D117),E117&gt;0),D117/E117,"")</f>
        <v>0.283981134707274</v>
      </c>
      <c r="H117" s="21" t="n">
        <f aca="false">IF(G117="","",TDIST(ABS(G117),F117-1,2))</f>
        <v>0.779665662581473</v>
      </c>
    </row>
    <row r="118" customFormat="false" ht="15" hidden="false" customHeight="false" outlineLevel="0" collapsed="false">
      <c r="A118" s="7" t="s">
        <v>69</v>
      </c>
      <c r="B118" s="7" t="s">
        <v>65</v>
      </c>
      <c r="C118" s="7" t="s">
        <v>14</v>
      </c>
      <c r="D118" s="19" t="n">
        <v>0.0613342849722072</v>
      </c>
      <c r="E118" s="19" t="n">
        <v>0.164618653035789</v>
      </c>
      <c r="F118" s="20" t="n">
        <v>19</v>
      </c>
      <c r="G118" s="21" t="n">
        <f aca="false">IF(AND(ISNUMBER(D118),E118&gt;0),D118/E118,"")</f>
        <v>0.37258405315024</v>
      </c>
      <c r="H118" s="21" t="n">
        <f aca="false">IF(G118="","",TDIST(ABS(G118),F118-1,2))</f>
        <v>0.713808864588858</v>
      </c>
    </row>
    <row r="119" customFormat="false" ht="15" hidden="false" customHeight="false" outlineLevel="0" collapsed="false">
      <c r="A119" s="7" t="s">
        <v>70</v>
      </c>
      <c r="B119" s="7" t="s">
        <v>65</v>
      </c>
      <c r="C119" s="7" t="s">
        <v>14</v>
      </c>
      <c r="D119" s="19" t="n">
        <v>-0.0202847992775444</v>
      </c>
      <c r="E119" s="19" t="n">
        <v>0.0125981397580389</v>
      </c>
      <c r="F119" s="20" t="n">
        <v>19</v>
      </c>
      <c r="G119" s="21" t="n">
        <f aca="false">IF(AND(ISNUMBER(D119),E119&gt;0),D119/E119,"")</f>
        <v>-1.61014242317804</v>
      </c>
      <c r="H119" s="21" t="n">
        <f aca="false">IF(G119="","",TDIST(ABS(G119),F119-1,2))</f>
        <v>0.124763616327573</v>
      </c>
    </row>
    <row r="120" customFormat="false" ht="15" hidden="false" customHeight="false" outlineLevel="0" collapsed="false">
      <c r="A120" s="7" t="s">
        <v>71</v>
      </c>
      <c r="B120" s="7" t="s">
        <v>65</v>
      </c>
      <c r="C120" s="7" t="s">
        <v>14</v>
      </c>
      <c r="D120" s="19" t="n">
        <v>0.00606196730878759</v>
      </c>
      <c r="E120" s="19" t="n">
        <v>0.0148167140075582</v>
      </c>
      <c r="F120" s="20" t="n">
        <v>19</v>
      </c>
      <c r="G120" s="21" t="n">
        <f aca="false">IF(AND(ISNUMBER(D120),E120&gt;0),D120/E120,"")</f>
        <v>0.409130344669899</v>
      </c>
      <c r="H120" s="21" t="n">
        <f aca="false">IF(G120="","",TDIST(ABS(G120),F120-1,2))</f>
        <v>0.68727105208134</v>
      </c>
    </row>
    <row r="121" customFormat="false" ht="15" hidden="false" customHeight="false" outlineLevel="0" collapsed="false">
      <c r="A121" s="7" t="s">
        <v>69</v>
      </c>
      <c r="B121" s="7" t="s">
        <v>65</v>
      </c>
      <c r="C121" s="7" t="s">
        <v>35</v>
      </c>
      <c r="D121" s="19" t="n">
        <v>0.224968087499815</v>
      </c>
      <c r="E121" s="19" t="n">
        <v>0.128326224719105</v>
      </c>
      <c r="F121" s="20" t="n">
        <v>19</v>
      </c>
      <c r="G121" s="21" t="n">
        <f aca="false">IF(AND(ISNUMBER(D121),E121&gt;0),D121/E121,"")</f>
        <v>1.75309519151093</v>
      </c>
      <c r="H121" s="21" t="n">
        <f aca="false">IF(G121="","",TDIST(ABS(G121),F121-1,2))</f>
        <v>0.0965995292850194</v>
      </c>
    </row>
    <row r="122" customFormat="false" ht="15" hidden="false" customHeight="false" outlineLevel="0" collapsed="false">
      <c r="A122" s="7" t="s">
        <v>66</v>
      </c>
      <c r="B122" s="7" t="s">
        <v>65</v>
      </c>
      <c r="C122" s="7" t="s">
        <v>16</v>
      </c>
      <c r="D122" s="19" t="n">
        <v>-0.758101523039501</v>
      </c>
      <c r="E122" s="19" t="n">
        <v>0.192612724885938</v>
      </c>
      <c r="F122" s="20" t="n">
        <v>19</v>
      </c>
      <c r="G122" s="21" t="n">
        <f aca="false">IF(AND(ISNUMBER(D122),E122&gt;0),D122/E122,"")</f>
        <v>-3.93588493952534</v>
      </c>
      <c r="H122" s="21" t="n">
        <f aca="false">IF(G122="","",TDIST(ABS(G122),F122-1,2))</f>
        <v>0.000968770558498642</v>
      </c>
    </row>
    <row r="123" customFormat="false" ht="15" hidden="false" customHeight="false" outlineLevel="0" collapsed="false">
      <c r="A123" s="7" t="s">
        <v>67</v>
      </c>
      <c r="B123" s="7" t="s">
        <v>65</v>
      </c>
      <c r="C123" s="7" t="s">
        <v>16</v>
      </c>
      <c r="D123" s="19" t="n">
        <v>-0.77368869937357</v>
      </c>
      <c r="E123" s="19" t="n">
        <v>0.202017997867074</v>
      </c>
      <c r="F123" s="20" t="n">
        <v>19</v>
      </c>
      <c r="G123" s="21" t="n">
        <f aca="false">IF(AND(ISNUMBER(D123),E123&gt;0),D123/E123,"")</f>
        <v>-3.82980084716337</v>
      </c>
      <c r="H123" s="21" t="n">
        <f aca="false">IF(G123="","",TDIST(ABS(G123),F123-1,2))</f>
        <v>0.00122712784623325</v>
      </c>
    </row>
    <row r="124" customFormat="false" ht="15" hidden="false" customHeight="false" outlineLevel="0" collapsed="false">
      <c r="A124" s="7" t="s">
        <v>68</v>
      </c>
      <c r="B124" s="7" t="s">
        <v>65</v>
      </c>
      <c r="C124" s="7" t="s">
        <v>16</v>
      </c>
      <c r="D124" s="19" t="n">
        <v>-0.679446985864268</v>
      </c>
      <c r="E124" s="19" t="n">
        <v>0.17946809472331</v>
      </c>
      <c r="F124" s="20" t="n">
        <v>19</v>
      </c>
      <c r="G124" s="21" t="n">
        <f aca="false">IF(AND(ISNUMBER(D124),E124&gt;0),D124/E124,"")</f>
        <v>-3.78589290153097</v>
      </c>
      <c r="H124" s="21" t="n">
        <f aca="false">IF(G124="","",TDIST(ABS(G124),F124-1,2))</f>
        <v>0.00135327001972207</v>
      </c>
    </row>
    <row r="125" customFormat="false" ht="15" hidden="false" customHeight="false" outlineLevel="0" collapsed="false">
      <c r="A125" s="7" t="s">
        <v>69</v>
      </c>
      <c r="B125" s="7" t="s">
        <v>65</v>
      </c>
      <c r="C125" s="7" t="s">
        <v>16</v>
      </c>
      <c r="D125" s="19" t="n">
        <v>-0.678185552029402</v>
      </c>
      <c r="E125" s="19" t="n">
        <v>0.177036196129911</v>
      </c>
      <c r="F125" s="20" t="n">
        <v>19</v>
      </c>
      <c r="G125" s="21" t="n">
        <f aca="false">IF(AND(ISNUMBER(D125),E125&gt;0),D125/E125,"")</f>
        <v>-3.83077340597481</v>
      </c>
      <c r="H125" s="21" t="n">
        <f aca="false">IF(G125="","",TDIST(ABS(G125),F125-1,2))</f>
        <v>0.00122447103672901</v>
      </c>
    </row>
    <row r="126" customFormat="false" ht="15" hidden="false" customHeight="false" outlineLevel="0" collapsed="false">
      <c r="A126" s="7" t="s">
        <v>70</v>
      </c>
      <c r="B126" s="7" t="s">
        <v>65</v>
      </c>
      <c r="C126" s="7" t="s">
        <v>16</v>
      </c>
      <c r="D126" s="19" t="n">
        <v>-0.469621797374219</v>
      </c>
      <c r="E126" s="19" t="n">
        <v>0.148515812346656</v>
      </c>
      <c r="F126" s="20" t="n">
        <v>19</v>
      </c>
      <c r="G126" s="21" t="n">
        <f aca="false">IF(AND(ISNUMBER(D126),E126&gt;0),D126/E126,"")</f>
        <v>-3.16209964416489</v>
      </c>
      <c r="H126" s="21" t="n">
        <f aca="false">IF(G126="","",TDIST(ABS(G126),F126-1,2))</f>
        <v>0.00539326283015248</v>
      </c>
    </row>
    <row r="127" customFormat="false" ht="15" hidden="false" customHeight="false" outlineLevel="0" collapsed="false">
      <c r="A127" s="7" t="s">
        <v>71</v>
      </c>
      <c r="B127" s="7" t="s">
        <v>65</v>
      </c>
      <c r="C127" s="7" t="s">
        <v>16</v>
      </c>
      <c r="D127" s="19" t="n">
        <v>-0.467846301406578</v>
      </c>
      <c r="E127" s="19" t="n">
        <v>0.157703407881595</v>
      </c>
      <c r="F127" s="20" t="n">
        <v>19</v>
      </c>
      <c r="G127" s="21" t="n">
        <f aca="false">IF(AND(ISNUMBER(D127),E127&gt;0),D127/E127,"")</f>
        <v>-2.96662137927825</v>
      </c>
      <c r="H127" s="21" t="n">
        <f aca="false">IF(G127="","",TDIST(ABS(G127),F127-1,2))</f>
        <v>0.00826335462767015</v>
      </c>
    </row>
    <row r="128" customFormat="false" ht="15" hidden="false" customHeight="false" outlineLevel="0" collapsed="false">
      <c r="A128" s="7" t="s">
        <v>66</v>
      </c>
      <c r="B128" s="7" t="s">
        <v>65</v>
      </c>
      <c r="C128" s="7" t="s">
        <v>17</v>
      </c>
      <c r="D128" s="19" t="n">
        <v>-0.227466173384291</v>
      </c>
      <c r="E128" s="19" t="n">
        <v>0.1750499136179</v>
      </c>
      <c r="F128" s="20" t="n">
        <v>19</v>
      </c>
      <c r="G128" s="21" t="n">
        <f aca="false">IF(AND(ISNUMBER(D128),E128&gt;0),D128/E128,"")</f>
        <v>-1.29943607901918</v>
      </c>
      <c r="H128" s="21" t="n">
        <f aca="false">IF(G128="","",TDIST(ABS(G128),F128-1,2))</f>
        <v>0.21019166983268</v>
      </c>
    </row>
    <row r="129" customFormat="false" ht="15" hidden="false" customHeight="false" outlineLevel="0" collapsed="false">
      <c r="A129" s="7" t="s">
        <v>67</v>
      </c>
      <c r="B129" s="7" t="s">
        <v>65</v>
      </c>
      <c r="C129" s="7" t="s">
        <v>17</v>
      </c>
      <c r="D129" s="19" t="n">
        <v>-0.299892206963591</v>
      </c>
      <c r="E129" s="19" t="n">
        <v>0.183003203874016</v>
      </c>
      <c r="F129" s="20" t="n">
        <v>19</v>
      </c>
      <c r="G129" s="21" t="n">
        <f aca="false">IF(AND(ISNUMBER(D129),E129&gt;0),D129/E129,"")</f>
        <v>-1.63872653929078</v>
      </c>
      <c r="H129" s="21" t="n">
        <f aca="false">IF(G129="","",TDIST(ABS(G129),F129-1,2))</f>
        <v>0.118630967426076</v>
      </c>
    </row>
    <row r="130" customFormat="false" ht="15" hidden="false" customHeight="false" outlineLevel="0" collapsed="false">
      <c r="A130" s="7" t="s">
        <v>68</v>
      </c>
      <c r="B130" s="7" t="s">
        <v>65</v>
      </c>
      <c r="C130" s="7" t="s">
        <v>17</v>
      </c>
      <c r="D130" s="19" t="n">
        <v>-0.374968986294646</v>
      </c>
      <c r="E130" s="19" t="n">
        <v>0.199681824137479</v>
      </c>
      <c r="F130" s="20" t="n">
        <v>19</v>
      </c>
      <c r="G130" s="21" t="n">
        <f aca="false">IF(AND(ISNUMBER(D130),E130&gt;0),D130/E130,"")</f>
        <v>-1.87783233608925</v>
      </c>
      <c r="H130" s="21" t="n">
        <f aca="false">IF(G130="","",TDIST(ABS(G130),F130-1,2))</f>
        <v>0.0767043959054346</v>
      </c>
    </row>
    <row r="131" customFormat="false" ht="15" hidden="false" customHeight="false" outlineLevel="0" collapsed="false">
      <c r="A131" s="7" t="s">
        <v>69</v>
      </c>
      <c r="B131" s="7" t="s">
        <v>65</v>
      </c>
      <c r="C131" s="7" t="s">
        <v>17</v>
      </c>
      <c r="D131" s="19" t="n">
        <v>-0.410679651550078</v>
      </c>
      <c r="E131" s="19" t="n">
        <v>0.203303141166219</v>
      </c>
      <c r="F131" s="20" t="n">
        <v>19</v>
      </c>
      <c r="G131" s="21" t="n">
        <f aca="false">IF(AND(ISNUMBER(D131),E131&gt;0),D131/E131,"")</f>
        <v>-2.02003593842315</v>
      </c>
      <c r="H131" s="21" t="n">
        <f aca="false">IF(G131="","",TDIST(ABS(G131),F131-1,2))</f>
        <v>0.0585185116488243</v>
      </c>
    </row>
    <row r="132" customFormat="false" ht="15" hidden="false" customHeight="false" outlineLevel="0" collapsed="false">
      <c r="A132" s="7" t="s">
        <v>70</v>
      </c>
      <c r="B132" s="7" t="s">
        <v>65</v>
      </c>
      <c r="C132" s="7" t="s">
        <v>17</v>
      </c>
      <c r="D132" s="19" t="n">
        <v>-0.222032546621678</v>
      </c>
      <c r="E132" s="19" t="n">
        <v>0.194142187984928</v>
      </c>
      <c r="F132" s="20" t="n">
        <v>19</v>
      </c>
      <c r="G132" s="21" t="n">
        <f aca="false">IF(AND(ISNUMBER(D132),E132&gt;0),D132/E132,"")</f>
        <v>-1.14365944324742</v>
      </c>
      <c r="H132" s="21" t="n">
        <f aca="false">IF(G132="","",TDIST(ABS(G132),F132-1,2))</f>
        <v>0.267747339663893</v>
      </c>
    </row>
    <row r="133" customFormat="false" ht="15" hidden="false" customHeight="false" outlineLevel="0" collapsed="false">
      <c r="A133" s="7" t="s">
        <v>71</v>
      </c>
      <c r="B133" s="7" t="s">
        <v>65</v>
      </c>
      <c r="C133" s="7" t="s">
        <v>17</v>
      </c>
      <c r="D133" s="19" t="n">
        <v>-0.233966466248931</v>
      </c>
      <c r="E133" s="19" t="n">
        <v>0.197106366464301</v>
      </c>
      <c r="F133" s="20" t="n">
        <v>19</v>
      </c>
      <c r="G133" s="21" t="n">
        <f aca="false">IF(AND(ISNUMBER(D133),E133&gt;0),D133/E133,"")</f>
        <v>-1.18700613504185</v>
      </c>
      <c r="H133" s="21" t="n">
        <f aca="false">IF(G133="","",TDIST(ABS(G133),F133-1,2))</f>
        <v>0.250655173430433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2026-10-16T17:17:47Z</dcterms:created>
  <dc:creator>openpyxl</dc:creator>
  <dc:description/>
  <dc:language>en-US</dc:language>
  <cp:lastModifiedBy/>
  <dcterms:modified xsi:type="dcterms:W3CDTF">2026-10-16T17:17:47Z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