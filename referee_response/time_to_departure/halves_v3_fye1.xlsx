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 vs rest of sample" sheetId="1" state="visible" r:id="rId3"/>
    <sheet name="B. within conflicted CIOs" sheetId="2" state="visible" r:id="rId4"/>
    <sheet name="C. CIO-level paired" sheetId="3" state="visible" r:id="rId5"/>
    <sheet name="Estima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<sst xmlns="http://schemas.openxmlformats.org/spreadsheetml/2006/main" count="454" uniqueCount="61">
  <si>
    <t xml:space="preserve">Conflicted CIOs, First vs. Second Half of Tenure, Relative to All Other Plan-Years</t>
  </si>
  <si>
    <t xml:space="preserve">Each row reports one regression on the Table III sample of the outcome on Conflicted CIO x First Half and Conflicted CIO x Second Half (non-conflicted plan-years are the omitted group; conflicted plan-years without departure information enter as a separate indicator), the controls, and fiscal-year-end date fixed effects (columns 1-4) or plan and fiscal-year-end date fixed effects (columns 5-6). The second half of a CIO's tenure is the years in which tenure exceeds half of tenure at departure (tenure at departure = the CIO's maximum tenure at the plan plus any gap to the departure year). Controls for returns and fees: lagged return, Size, lagged funding ratio, lagged allocations, Financial Center, prior private experience, elite college, separate investment board and political appointees; allocation outcomes omit the lagged allocations. Lagged log CIO tenure and age are omitted from all specifications because tenure rises mechanically from the first to the second half. Standard errors are double clustered by plan and year. Coefficients marked with ***, **, and * are significant at the 1%, 5%, and 10% level, respectively.</t>
  </si>
  <si>
    <t xml:space="preserve">Fiscal-Year-End FE</t>
  </si>
  <si>
    <t xml:space="preserve">Plan and Fiscal-Year-End FE</t>
  </si>
  <si>
    <t xml:space="preserve">Conflicted x First Half</t>
  </si>
  <si>
    <t xml:space="preserve">Conflicted x Second Half</t>
  </si>
  <si>
    <t xml:space="preserve">Second minus First</t>
  </si>
  <si>
    <t xml:space="preserve">p-value</t>
  </si>
  <si>
    <t xml:space="preserve">Observations</t>
  </si>
  <si>
    <t xml:space="preserve">Returns</t>
  </si>
  <si>
    <t xml:space="preserve">Peer-Adjusted Return (%)</t>
  </si>
  <si>
    <t xml:space="preserve">Benchmark-Adjusted Return (%)</t>
  </si>
  <si>
    <t xml:space="preserve">Fees</t>
  </si>
  <si>
    <t xml:space="preserve">Fee Ratio (%)</t>
  </si>
  <si>
    <t xml:space="preserve">Expense Ratio (%)</t>
  </si>
  <si>
    <t xml:space="preserve">Fee rates by asset class</t>
  </si>
  <si>
    <t xml:space="preserve">Equity Fee Rate (%)</t>
  </si>
  <si>
    <t xml:space="preserve">Fixed Income Fee Rate (%)</t>
  </si>
  <si>
    <t xml:space="preserve">Real Estate Fee Rate (%)</t>
  </si>
  <si>
    <t xml:space="preserve">Private Equity Fee Rate (%)</t>
  </si>
  <si>
    <t xml:space="preserve">Hedge Fund Fee Rate (%)</t>
  </si>
  <si>
    <t xml:space="preserve">Alternatives Share of Fees (%)</t>
  </si>
  <si>
    <t xml:space="preserve">Allocations</t>
  </si>
  <si>
    <t xml:space="preserve">Alternatives Allocation (%)</t>
  </si>
  <si>
    <t xml:space="preserve">Private Equity Allocation (%)</t>
  </si>
  <si>
    <t xml:space="preserve">Hedge Fund Allocation (%)</t>
  </si>
  <si>
    <t xml:space="preserve">Conflicted CIOs Compared With Themselves: Second Half of Tenure</t>
  </si>
  <si>
    <t xml:space="preserve">Sample: conflicted CIOs who have left (curr = 0) with defined halves (356 plan-years, 45 CIOs; 195 first-half and 161 second-half plan-years). Each cell is the coefficient on Second Half (0/1) from a regression of the outcome on Second Half, the controls, and the fixed effects shown; CIO fixed effects are CIO-by-plan spells, so columns 2-3 compare each CIO with themselves. Column 3 keeps CIOs with tenure at departure of at least four years (25 CIOs). Because a CIO's tenure and calendar time move together, CIO and fiscal-year-end fixed effects together leave only differences in when CIOs' halves fall to identify Second Half. The second half of a CIO's tenure is the years in which tenure exceeds half of tenure at departure (tenure at departure = the CIO's maximum tenure at the plan plus any gap to the departure year). Controls for returns and fees: lagged return, Size, lagged funding ratio, lagged allocations, Financial Center, prior private experience, elite college, separate investment board and political appointees; allocation outcomes omit the lagged allocations. Lagged log CIO tenure and age are omitted from all specifications because tenure rises mechanically from the first to the second half. Standard errors are double clustered by plan and year. Coefficients marked with ***, **, and * are significant at the 1%, 5%, and 10% level, respectively.</t>
  </si>
  <si>
    <t xml:space="preserve">Second Half of Tenure (0/1)</t>
  </si>
  <si>
    <t xml:space="preserve">CIO and Fiscal-Year-End FE</t>
  </si>
  <si>
    <t xml:space="preserve">CIO and FYE FE, tenure &gt;= 4</t>
  </si>
  <si>
    <t xml:space="preserve">(1)</t>
  </si>
  <si>
    <t xml:space="preserve">(2)</t>
  </si>
  <si>
    <t xml:space="preserve">CIO-Level Paired Comparison: Second-Half Mean minus First-Half Mean</t>
  </si>
  <si>
    <t xml:space="preserve">Each conflicted CIO who has left contributes one observation: the outcome averaged over plans within each CIO-year, then over the years in each half of tenure. Columns report the number of CIOs observed in both halves, the mean of the first- and second-half averages, the mean difference, p-values from a paired t-test and a Wilcoxon signed-rank test, and the share of CIOs whose second-half average exceeds their first-half average. These comparisons do not adjust for calendar time, so they include sample-wide trends (fees and alternatives allocations rise over 2001-2020); Sheets A and B adjust for them with fiscal-year-end fixed effects. The second half of a CIO's tenure is the years in which tenure exceeds half of tenure at departure (tenure at departure = the CIO's maximum tenure at the plan plus any gap to the departure year). </t>
  </si>
  <si>
    <t xml:space="preserve">CIOs</t>
  </si>
  <si>
    <t xml:space="preserve">First-half mean</t>
  </si>
  <si>
    <t xml:space="preserve">Second-half mean</t>
  </si>
  <si>
    <t xml:space="preserve">Difference</t>
  </si>
  <si>
    <t xml:space="preserve">Paired t-test p</t>
  </si>
  <si>
    <t xml:space="preserve">Signed-rank p</t>
  </si>
  <si>
    <t xml:space="preserve">Share increasing</t>
  </si>
  <si>
    <t xml:space="preserve">Estimates behind the tables. Blue = regression output (coefficient, SE, minimum cluster count). t and p are formulas; p uses the t distribution with (min clusters - 1) df. SE double clustered by plan and year, with the eigenvalue fix.</t>
  </si>
  <si>
    <t xml:space="preserve">Table</t>
  </si>
  <si>
    <t xml:space="preserve">Outcome</t>
  </si>
  <si>
    <t xml:space="preserve">Specification</t>
  </si>
  <si>
    <t xml:space="preserve">Term</t>
  </si>
  <si>
    <t xml:space="preserve">Coefficient</t>
  </si>
  <si>
    <t xml:space="preserve">SE</t>
  </si>
  <si>
    <t xml:space="preserve">Clusters (min)</t>
  </si>
  <si>
    <t xml:space="preserve">t</t>
  </si>
  <si>
    <t xml:space="preserve">p</t>
  </si>
  <si>
    <t xml:space="preserve">A</t>
  </si>
  <si>
    <t xml:space="preserve">FYE FE</t>
  </si>
  <si>
    <t xml:space="preserve">First half</t>
  </si>
  <si>
    <t xml:space="preserve">Second half</t>
  </si>
  <si>
    <t xml:space="preserve">Second minus first</t>
  </si>
  <si>
    <t xml:space="preserve">Plan + FYE FE</t>
  </si>
  <si>
    <t xml:space="preserve">B</t>
  </si>
  <si>
    <t xml:space="preserve">CIO + FYE FE</t>
  </si>
  <si>
    <t xml:space="preserve">CIO + FYE FE, tenure&gt;=4</t>
  </si>
</sst>
</file>

<file path=xl/styles.xml><?xml version="1.0" encoding="utf-8"?>
<styleSheet xmlns="http://schemas.openxmlformats.org/spreadsheetml/2006/main">
  <numFmts count="6">
    <numFmt numFmtId="164" formatCode="General"/>
    <numFmt numFmtId="165" formatCode="0.000"/>
    <numFmt numFmtId="166" formatCode="#,##0"/>
    <numFmt numFmtId="167" formatCode="0"/>
    <numFmt numFmtId="168" formatCode="0.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sz val="10.5"/>
      <color rgb="FF0000FF"/>
      <name val="Times New Roman"/>
      <family val="0"/>
      <charset val="1"/>
    </font>
    <font>
      <i val="true"/>
      <sz val="10.5"/>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5" fontId="6" fillId="0" borderId="2" xfId="0" applyFont="true" applyBorder="true" applyAlignment="true" applyProtection="false">
      <alignment horizontal="right" vertical="bottom" textRotation="0" wrapText="false" indent="0" shrinkToFit="false"/>
      <protection locked="true" hidden="false"/>
    </xf>
    <xf numFmtId="168" fontId="6" fillId="0" borderId="2"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2"/>
  </cols>
  <sheetData>
    <row r="1" customFormat="false" ht="15" hidden="false" customHeight="false" outlineLevel="0" collapsed="false">
      <c r="A1" s="1" t="s">
        <v>0</v>
      </c>
    </row>
    <row r="2" customFormat="false" ht="153.75" hidden="false" customHeight="true" outlineLevel="0" collapsed="false">
      <c r="A2" s="2" t="s">
        <v>1</v>
      </c>
      <c r="B2" s="2"/>
      <c r="C2" s="2"/>
      <c r="D2" s="2"/>
      <c r="E2" s="2"/>
      <c r="F2" s="2"/>
      <c r="G2" s="2"/>
      <c r="H2" s="2"/>
    </row>
    <row r="4" customFormat="false" ht="15" hidden="false" customHeight="true" outlineLevel="0" collapsed="false">
      <c r="A4" s="3"/>
      <c r="B4" s="4" t="s">
        <v>2</v>
      </c>
      <c r="C4" s="4"/>
      <c r="D4" s="4"/>
      <c r="E4" s="4"/>
      <c r="F4" s="4" t="s">
        <v>3</v>
      </c>
      <c r="G4" s="4"/>
      <c r="H4" s="3"/>
    </row>
    <row r="5" customFormat="false" ht="43.5" hidden="false" customHeight="true" outlineLevel="0" collapsed="false">
      <c r="A5" s="5"/>
      <c r="B5" s="6" t="s">
        <v>4</v>
      </c>
      <c r="C5" s="6" t="s">
        <v>5</v>
      </c>
      <c r="D5" s="6" t="s">
        <v>6</v>
      </c>
      <c r="E5" s="6" t="s">
        <v>7</v>
      </c>
      <c r="F5" s="6" t="s">
        <v>6</v>
      </c>
      <c r="G5" s="6" t="s">
        <v>7</v>
      </c>
      <c r="H5" s="6" t="s">
        <v>8</v>
      </c>
    </row>
    <row r="6" customFormat="false" ht="15" hidden="false" customHeight="false" outlineLevel="0" collapsed="false">
      <c r="A6" s="1" t="s">
        <v>9</v>
      </c>
    </row>
    <row r="7" customFormat="false" ht="15" hidden="false" customHeight="false" outlineLevel="0" collapsed="false">
      <c r="A7" s="7" t="s">
        <v>10</v>
      </c>
      <c r="B7" s="8" t="str">
        <f aca="false">IF(Estimates!I4="","",TEXT(Estimates!E4,"0.000")&amp;IF(Estimates!I4&lt;0.01,"***",IF(Estimates!I4&lt;0.05,"**",IF(Estimates!I4&lt;0.1,"*",""))))</f>
        <v>-0.648***</v>
      </c>
      <c r="C7" s="8" t="str">
        <f aca="false">IF(Estimates!I5="","",TEXT(Estimates!E5,"0.000")&amp;IF(Estimates!I5&lt;0.01,"***",IF(Estimates!I5&lt;0.05,"**",IF(Estimates!I5&lt;0.1,"*",""))))</f>
        <v>-0.529**</v>
      </c>
      <c r="D7" s="9" t="str">
        <f aca="false">IF(Estimates!I6="","",TEXT(Estimates!E6,"0.000")&amp;IF(Estimates!I6&lt;0.01,"***",IF(Estimates!I6&lt;0.05,"**",IF(Estimates!I6&lt;0.1,"*",""))))</f>
        <v>0.119</v>
      </c>
      <c r="E7" s="10" t="n">
        <f aca="false">Estimates!I6</f>
        <v>0.566950395842391</v>
      </c>
      <c r="F7" s="9" t="str">
        <f aca="false">IF(Estimates!I7="","",TEXT(Estimates!E7,"0.000")&amp;IF(Estimates!I7&lt;0.01,"***",IF(Estimates!I7&lt;0.05,"**",IF(Estimates!I7&lt;0.1,"*",""))))</f>
        <v>0.285</v>
      </c>
      <c r="G7" s="10" t="n">
        <f aca="false">Estimates!I7</f>
        <v>0.17549704879805</v>
      </c>
      <c r="H7" s="11" t="n">
        <v>1529</v>
      </c>
    </row>
    <row r="8" customFormat="false" ht="15" hidden="false" customHeight="false" outlineLevel="0" collapsed="false">
      <c r="B8" s="8" t="str">
        <f aca="false">IF(Estimates!H4="","","("&amp;TEXT(Estimates!H4,"0.00")&amp;")")</f>
        <v>(-2.96)</v>
      </c>
      <c r="C8" s="8" t="str">
        <f aca="false">IF(Estimates!H5="","","("&amp;TEXT(Estimates!H5,"0.00")&amp;")")</f>
        <v>(-2.32)</v>
      </c>
      <c r="D8" s="9" t="str">
        <f aca="false">IF(Estimates!H6="","","("&amp;TEXT(Estimates!H6,"0.00")&amp;")")</f>
        <v>(0.58)</v>
      </c>
      <c r="F8" s="9" t="str">
        <f aca="false">IF(Estimates!H7="","","("&amp;TEXT(Estimates!H7,"0.00")&amp;")")</f>
        <v>(1.41)</v>
      </c>
    </row>
    <row r="9" customFormat="false" ht="15" hidden="false" customHeight="false" outlineLevel="0" collapsed="false">
      <c r="A9" s="7" t="s">
        <v>11</v>
      </c>
      <c r="B9" s="8" t="str">
        <f aca="false">IF(Estimates!I8="","",TEXT(Estimates!E8,"0.000")&amp;IF(Estimates!I8&lt;0.01,"***",IF(Estimates!I8&lt;0.05,"**",IF(Estimates!I8&lt;0.1,"*",""))))</f>
        <v>-0.681***</v>
      </c>
      <c r="C9" s="8" t="str">
        <f aca="false">IF(Estimates!I9="","",TEXT(Estimates!E9,"0.000")&amp;IF(Estimates!I9&lt;0.01,"***",IF(Estimates!I9&lt;0.05,"**",IF(Estimates!I9&lt;0.1,"*",""))))</f>
        <v>-0.307*</v>
      </c>
      <c r="D9" s="9" t="str">
        <f aca="false">IF(Estimates!I10="","",TEXT(Estimates!E10,"0.000")&amp;IF(Estimates!I10&lt;0.01,"***",IF(Estimates!I10&lt;0.05,"**",IF(Estimates!I10&lt;0.1,"*",""))))</f>
        <v>0.374*</v>
      </c>
      <c r="E9" s="10" t="n">
        <f aca="false">Estimates!I10</f>
        <v>0.053017247084242</v>
      </c>
      <c r="F9" s="9" t="str">
        <f aca="false">IF(Estimates!I11="","",TEXT(Estimates!E11,"0.000")&amp;IF(Estimates!I11&lt;0.01,"***",IF(Estimates!I11&lt;0.05,"**",IF(Estimates!I11&lt;0.1,"*",""))))</f>
        <v>0.446*</v>
      </c>
      <c r="G9" s="10" t="n">
        <f aca="false">Estimates!I11</f>
        <v>0.0591740548555222</v>
      </c>
      <c r="H9" s="11" t="n">
        <v>1353</v>
      </c>
    </row>
    <row r="10" customFormat="false" ht="15" hidden="false" customHeight="false" outlineLevel="0" collapsed="false">
      <c r="B10" s="8" t="str">
        <f aca="false">IF(Estimates!H8="","","("&amp;TEXT(Estimates!H8,"0.00")&amp;")")</f>
        <v>(-2.94)</v>
      </c>
      <c r="C10" s="8" t="str">
        <f aca="false">IF(Estimates!H9="","","("&amp;TEXT(Estimates!H9,"0.00")&amp;")")</f>
        <v>(-1.76)</v>
      </c>
      <c r="D10" s="9" t="str">
        <f aca="false">IF(Estimates!H10="","","("&amp;TEXT(Estimates!H10,"0.00")&amp;")")</f>
        <v>(2.07)</v>
      </c>
      <c r="F10" s="9" t="str">
        <f aca="false">IF(Estimates!H11="","","("&amp;TEXT(Estimates!H11,"0.00")&amp;")")</f>
        <v>(2.01)</v>
      </c>
    </row>
    <row r="11" customFormat="false" ht="15" hidden="false" customHeight="false" outlineLevel="0" collapsed="false">
      <c r="A11" s="1" t="s">
        <v>12</v>
      </c>
    </row>
    <row r="12" customFormat="false" ht="15" hidden="false" customHeight="false" outlineLevel="0" collapsed="false">
      <c r="A12" s="7" t="s">
        <v>13</v>
      </c>
      <c r="B12" s="8" t="str">
        <f aca="false">IF(Estimates!I12="","",TEXT(Estimates!E12,"0.000")&amp;IF(Estimates!I12&lt;0.01,"***",IF(Estimates!I12&lt;0.05,"**",IF(Estimates!I12&lt;0.1,"*",""))))</f>
        <v>-0.029</v>
      </c>
      <c r="C12" s="8" t="str">
        <f aca="false">IF(Estimates!I13="","",TEXT(Estimates!E13,"0.000")&amp;IF(Estimates!I13&lt;0.01,"***",IF(Estimates!I13&lt;0.05,"**",IF(Estimates!I13&lt;0.1,"*",""))))</f>
        <v>-0.043</v>
      </c>
      <c r="D12" s="9" t="str">
        <f aca="false">IF(Estimates!I14="","",TEXT(Estimates!E14,"0.000")&amp;IF(Estimates!I14&lt;0.01,"***",IF(Estimates!I14&lt;0.05,"**",IF(Estimates!I14&lt;0.1,"*",""))))</f>
        <v>-0.015</v>
      </c>
      <c r="E12" s="10" t="n">
        <f aca="false">Estimates!I14</f>
        <v>0.727905650598924</v>
      </c>
      <c r="F12" s="9" t="str">
        <f aca="false">IF(Estimates!I15="","",TEXT(Estimates!E15,"0.000")&amp;IF(Estimates!I15&lt;0.01,"***",IF(Estimates!I15&lt;0.05,"**",IF(Estimates!I15&lt;0.1,"*",""))))</f>
        <v>0.004</v>
      </c>
      <c r="G12" s="10" t="n">
        <f aca="false">Estimates!I15</f>
        <v>0.922220741312971</v>
      </c>
      <c r="H12" s="11" t="n">
        <v>1333</v>
      </c>
    </row>
    <row r="13" customFormat="false" ht="15" hidden="false" customHeight="false" outlineLevel="0" collapsed="false">
      <c r="B13" s="8" t="str">
        <f aca="false">IF(Estimates!H12="","","("&amp;TEXT(Estimates!H12,"0.00")&amp;")")</f>
        <v>(-0.55)</v>
      </c>
      <c r="C13" s="8" t="str">
        <f aca="false">IF(Estimates!H13="","","("&amp;TEXT(Estimates!H13,"0.00")&amp;")")</f>
        <v>(-0.98)</v>
      </c>
      <c r="D13" s="9" t="str">
        <f aca="false">IF(Estimates!H14="","","("&amp;TEXT(Estimates!H14,"0.00")&amp;")")</f>
        <v>(-0.35)</v>
      </c>
      <c r="F13" s="9" t="str">
        <f aca="false">IF(Estimates!H15="","","("&amp;TEXT(Estimates!H15,"0.00")&amp;")")</f>
        <v>(0.10)</v>
      </c>
    </row>
    <row r="14" customFormat="false" ht="15" hidden="false" customHeight="false" outlineLevel="0" collapsed="false">
      <c r="A14" s="7" t="s">
        <v>14</v>
      </c>
      <c r="B14" s="8" t="str">
        <f aca="false">IF(Estimates!I16="","",TEXT(Estimates!E16,"0.000")&amp;IF(Estimates!I16&lt;0.01,"***",IF(Estimates!I16&lt;0.05,"**",IF(Estimates!I16&lt;0.1,"*",""))))</f>
        <v>-0.084</v>
      </c>
      <c r="C14" s="8" t="str">
        <f aca="false">IF(Estimates!I17="","",TEXT(Estimates!E17,"0.000")&amp;IF(Estimates!I17&lt;0.01,"***",IF(Estimates!I17&lt;0.05,"**",IF(Estimates!I17&lt;0.1,"*",""))))</f>
        <v>-0.102**</v>
      </c>
      <c r="D14" s="9" t="str">
        <f aca="false">IF(Estimates!I18="","",TEXT(Estimates!E18,"0.000")&amp;IF(Estimates!I18&lt;0.01,"***",IF(Estimates!I18&lt;0.05,"**",IF(Estimates!I18&lt;0.1,"*",""))))</f>
        <v>-0.018</v>
      </c>
      <c r="E14" s="10" t="n">
        <f aca="false">Estimates!I18</f>
        <v>0.623511242324745</v>
      </c>
      <c r="F14" s="9" t="str">
        <f aca="false">IF(Estimates!I19="","",TEXT(Estimates!E19,"0.000")&amp;IF(Estimates!I19&lt;0.01,"***",IF(Estimates!I19&lt;0.05,"**",IF(Estimates!I19&lt;0.1,"*",""))))</f>
        <v>0.019</v>
      </c>
      <c r="G14" s="10" t="n">
        <f aca="false">Estimates!I19</f>
        <v>0.574460925127577</v>
      </c>
      <c r="H14" s="11" t="n">
        <v>1476</v>
      </c>
    </row>
    <row r="15" customFormat="false" ht="15" hidden="false" customHeight="false" outlineLevel="0" collapsed="false">
      <c r="B15" s="8" t="str">
        <f aca="false">IF(Estimates!H16="","","("&amp;TEXT(Estimates!H16,"0.00")&amp;")")</f>
        <v>(-1.70)</v>
      </c>
      <c r="C15" s="8" t="str">
        <f aca="false">IF(Estimates!H17="","","("&amp;TEXT(Estimates!H17,"0.00")&amp;")")</f>
        <v>(-2.48)</v>
      </c>
      <c r="D15" s="9" t="str">
        <f aca="false">IF(Estimates!H18="","","("&amp;TEXT(Estimates!H18,"0.00")&amp;")")</f>
        <v>(-0.50)</v>
      </c>
      <c r="F15" s="9" t="str">
        <f aca="false">IF(Estimates!H19="","","("&amp;TEXT(Estimates!H19,"0.00")&amp;")")</f>
        <v>(0.57)</v>
      </c>
    </row>
    <row r="16" customFormat="false" ht="15" hidden="false" customHeight="false" outlineLevel="0" collapsed="false">
      <c r="A16" s="1" t="s">
        <v>15</v>
      </c>
    </row>
    <row r="17" customFormat="false" ht="15" hidden="false" customHeight="false" outlineLevel="0" collapsed="false">
      <c r="A17" s="7" t="s">
        <v>16</v>
      </c>
      <c r="B17" s="8" t="str">
        <f aca="false">IF(Estimates!I20="","",TEXT(Estimates!E20,"0.000")&amp;IF(Estimates!I20&lt;0.01,"***",IF(Estimates!I20&lt;0.05,"**",IF(Estimates!I20&lt;0.1,"*",""))))</f>
        <v>-0.030</v>
      </c>
      <c r="C17" s="8" t="str">
        <f aca="false">IF(Estimates!I21="","",TEXT(Estimates!E21,"0.000")&amp;IF(Estimates!I21&lt;0.01,"***",IF(Estimates!I21&lt;0.05,"**",IF(Estimates!I21&lt;0.1,"*",""))))</f>
        <v>-0.035</v>
      </c>
      <c r="D17" s="9" t="str">
        <f aca="false">IF(Estimates!I22="","",TEXT(Estimates!E22,"0.000")&amp;IF(Estimates!I22&lt;0.01,"***",IF(Estimates!I22&lt;0.05,"**",IF(Estimates!I22&lt;0.1,"*",""))))</f>
        <v>-0.005</v>
      </c>
      <c r="E17" s="10" t="n">
        <f aca="false">Estimates!I22</f>
        <v>0.769466345591858</v>
      </c>
      <c r="F17" s="9" t="str">
        <f aca="false">IF(Estimates!I23="","",TEXT(Estimates!E23,"0.000")&amp;IF(Estimates!I23&lt;0.01,"***",IF(Estimates!I23&lt;0.05,"**",IF(Estimates!I23&lt;0.1,"*",""))))</f>
        <v>-0.019</v>
      </c>
      <c r="G17" s="10" t="n">
        <f aca="false">Estimates!I23</f>
        <v>0.312162700084963</v>
      </c>
      <c r="H17" s="11" t="n">
        <v>1145</v>
      </c>
    </row>
    <row r="18" customFormat="false" ht="15" hidden="false" customHeight="false" outlineLevel="0" collapsed="false">
      <c r="B18" s="8" t="str">
        <f aca="false">IF(Estimates!H20="","","("&amp;TEXT(Estimates!H20,"0.00")&amp;")")</f>
        <v>(-0.59)</v>
      </c>
      <c r="C18" s="8" t="str">
        <f aca="false">IF(Estimates!H21="","","("&amp;TEXT(Estimates!H21,"0.00")&amp;")")</f>
        <v>(-0.66)</v>
      </c>
      <c r="D18" s="9" t="str">
        <f aca="false">IF(Estimates!H22="","","("&amp;TEXT(Estimates!H22,"0.00")&amp;")")</f>
        <v>(-0.30)</v>
      </c>
      <c r="F18" s="9" t="str">
        <f aca="false">IF(Estimates!H23="","","("&amp;TEXT(Estimates!H23,"0.00")&amp;")")</f>
        <v>(-1.04)</v>
      </c>
    </row>
    <row r="19" customFormat="false" ht="15" hidden="false" customHeight="false" outlineLevel="0" collapsed="false">
      <c r="A19" s="7" t="s">
        <v>17</v>
      </c>
      <c r="B19" s="8" t="str">
        <f aca="false">IF(Estimates!I24="","",TEXT(Estimates!E24,"0.000")&amp;IF(Estimates!I24&lt;0.01,"***",IF(Estimates!I24&lt;0.05,"**",IF(Estimates!I24&lt;0.1,"*",""))))</f>
        <v>0.061</v>
      </c>
      <c r="C19" s="8" t="str">
        <f aca="false">IF(Estimates!I25="","",TEXT(Estimates!E25,"0.000")&amp;IF(Estimates!I25&lt;0.01,"***",IF(Estimates!I25&lt;0.05,"**",IF(Estimates!I25&lt;0.1,"*",""))))</f>
        <v>0.021</v>
      </c>
      <c r="D19" s="9" t="str">
        <f aca="false">IF(Estimates!I26="","",TEXT(Estimates!E26,"0.000")&amp;IF(Estimates!I26&lt;0.01,"***",IF(Estimates!I26&lt;0.05,"**",IF(Estimates!I26&lt;0.1,"*",""))))</f>
        <v>-0.040</v>
      </c>
      <c r="E19" s="10" t="n">
        <f aca="false">Estimates!I26</f>
        <v>0.218108514582578</v>
      </c>
      <c r="F19" s="9" t="str">
        <f aca="false">IF(Estimates!I27="","",TEXT(Estimates!E27,"0.000")&amp;IF(Estimates!I27&lt;0.01,"***",IF(Estimates!I27&lt;0.05,"**",IF(Estimates!I27&lt;0.1,"*",""))))</f>
        <v>-0.025</v>
      </c>
      <c r="G19" s="10" t="n">
        <f aca="false">Estimates!I27</f>
        <v>0.434307739892419</v>
      </c>
      <c r="H19" s="11" t="n">
        <v>1145</v>
      </c>
    </row>
    <row r="20" customFormat="false" ht="15" hidden="false" customHeight="false" outlineLevel="0" collapsed="false">
      <c r="B20" s="8" t="str">
        <f aca="false">IF(Estimates!H24="","","("&amp;TEXT(Estimates!H24,"0.00")&amp;")")</f>
        <v>(1.31)</v>
      </c>
      <c r="C20" s="8" t="str">
        <f aca="false">IF(Estimates!H25="","","("&amp;TEXT(Estimates!H25,"0.00")&amp;")")</f>
        <v>(0.49)</v>
      </c>
      <c r="D20" s="9" t="str">
        <f aca="false">IF(Estimates!H26="","","("&amp;TEXT(Estimates!H26,"0.00")&amp;")")</f>
        <v>(-1.28)</v>
      </c>
      <c r="F20" s="9" t="str">
        <f aca="false">IF(Estimates!H27="","","("&amp;TEXT(Estimates!H27,"0.00")&amp;")")</f>
        <v>(-0.80)</v>
      </c>
    </row>
    <row r="21" customFormat="false" ht="15" hidden="false" customHeight="false" outlineLevel="0" collapsed="false">
      <c r="A21" s="7" t="s">
        <v>18</v>
      </c>
      <c r="B21" s="8" t="str">
        <f aca="false">IF(Estimates!I28="","",TEXT(Estimates!E28,"0.000")&amp;IF(Estimates!I28&lt;0.01,"***",IF(Estimates!I28&lt;0.05,"**",IF(Estimates!I28&lt;0.1,"*",""))))</f>
        <v>-0.211</v>
      </c>
      <c r="C21" s="8" t="str">
        <f aca="false">IF(Estimates!I29="","",TEXT(Estimates!E29,"0.000")&amp;IF(Estimates!I29&lt;0.01,"***",IF(Estimates!I29&lt;0.05,"**",IF(Estimates!I29&lt;0.1,"*",""))))</f>
        <v>-0.146</v>
      </c>
      <c r="D21" s="9" t="str">
        <f aca="false">IF(Estimates!I30="","",TEXT(Estimates!E30,"0.000")&amp;IF(Estimates!I30&lt;0.01,"***",IF(Estimates!I30&lt;0.05,"**",IF(Estimates!I30&lt;0.1,"*",""))))</f>
        <v>0.064</v>
      </c>
      <c r="E21" s="10" t="n">
        <f aca="false">Estimates!I30</f>
        <v>0.622762043839521</v>
      </c>
      <c r="F21" s="9" t="str">
        <f aca="false">IF(Estimates!I31="","",TEXT(Estimates!E31,"0.000")&amp;IF(Estimates!I31&lt;0.01,"***",IF(Estimates!I31&lt;0.05,"**",IF(Estimates!I31&lt;0.1,"*",""))))</f>
        <v>0.054</v>
      </c>
      <c r="G21" s="10" t="n">
        <f aca="false">Estimates!I31</f>
        <v>0.675732161145113</v>
      </c>
      <c r="H21" s="11" t="n">
        <v>1221</v>
      </c>
    </row>
    <row r="22" customFormat="false" ht="15" hidden="false" customHeight="false" outlineLevel="0" collapsed="false">
      <c r="B22" s="8" t="str">
        <f aca="false">IF(Estimates!H28="","","("&amp;TEXT(Estimates!H28,"0.00")&amp;")")</f>
        <v>(-1.19)</v>
      </c>
      <c r="C22" s="8" t="str">
        <f aca="false">IF(Estimates!H29="","","("&amp;TEXT(Estimates!H29,"0.00")&amp;")")</f>
        <v>(-0.84)</v>
      </c>
      <c r="D22" s="9" t="str">
        <f aca="false">IF(Estimates!H30="","","("&amp;TEXT(Estimates!H30,"0.00")&amp;")")</f>
        <v>(0.50)</v>
      </c>
      <c r="F22" s="9" t="str">
        <f aca="false">IF(Estimates!H31="","","("&amp;TEXT(Estimates!H31,"0.00")&amp;")")</f>
        <v>(0.43)</v>
      </c>
    </row>
    <row r="23" customFormat="false" ht="15" hidden="false" customHeight="false" outlineLevel="0" collapsed="false">
      <c r="A23" s="7" t="s">
        <v>19</v>
      </c>
      <c r="B23" s="8" t="str">
        <f aca="false">IF(Estimates!I32="","",TEXT(Estimates!E32,"0.000")&amp;IF(Estimates!I32&lt;0.01,"***",IF(Estimates!I32&lt;0.05,"**",IF(Estimates!I32&lt;0.1,"*",""))))</f>
        <v>0.023</v>
      </c>
      <c r="C23" s="8" t="str">
        <f aca="false">IF(Estimates!I33="","",TEXT(Estimates!E33,"0.000")&amp;IF(Estimates!I33&lt;0.01,"***",IF(Estimates!I33&lt;0.05,"**",IF(Estimates!I33&lt;0.1,"*",""))))</f>
        <v>-0.193</v>
      </c>
      <c r="D23" s="9" t="str">
        <f aca="false">IF(Estimates!I34="","",TEXT(Estimates!E34,"0.000")&amp;IF(Estimates!I34&lt;0.01,"***",IF(Estimates!I34&lt;0.05,"**",IF(Estimates!I34&lt;0.1,"*",""))))</f>
        <v>-0.215</v>
      </c>
      <c r="E23" s="10" t="n">
        <f aca="false">Estimates!I34</f>
        <v>0.369706425537579</v>
      </c>
      <c r="F23" s="9" t="str">
        <f aca="false">IF(Estimates!I35="","",TEXT(Estimates!E35,"0.000")&amp;IF(Estimates!I35&lt;0.01,"***",IF(Estimates!I35&lt;0.05,"**",IF(Estimates!I35&lt;0.1,"*",""))))</f>
        <v>-0.225</v>
      </c>
      <c r="G23" s="10" t="n">
        <f aca="false">Estimates!I35</f>
        <v>0.370625300187155</v>
      </c>
      <c r="H23" s="11" t="n">
        <v>1216</v>
      </c>
    </row>
    <row r="24" customFormat="false" ht="15" hidden="false" customHeight="false" outlineLevel="0" collapsed="false">
      <c r="B24" s="8" t="str">
        <f aca="false">IF(Estimates!H32="","","("&amp;TEXT(Estimates!H32,"0.00")&amp;")")</f>
        <v>(0.09)</v>
      </c>
      <c r="C24" s="8" t="str">
        <f aca="false">IF(Estimates!H33="","","("&amp;TEXT(Estimates!H33,"0.00")&amp;")")</f>
        <v>(-0.64)</v>
      </c>
      <c r="D24" s="9" t="str">
        <f aca="false">IF(Estimates!H34="","","("&amp;TEXT(Estimates!H34,"0.00")&amp;")")</f>
        <v>(-0.92)</v>
      </c>
      <c r="F24" s="9" t="str">
        <f aca="false">IF(Estimates!H35="","","("&amp;TEXT(Estimates!H35,"0.00")&amp;")")</f>
        <v>(-0.92)</v>
      </c>
    </row>
    <row r="25" customFormat="false" ht="15" hidden="false" customHeight="false" outlineLevel="0" collapsed="false">
      <c r="A25" s="7" t="s">
        <v>20</v>
      </c>
      <c r="B25" s="8" t="str">
        <f aca="false">IF(Estimates!I36="","",TEXT(Estimates!E36,"0.000")&amp;IF(Estimates!I36&lt;0.01,"***",IF(Estimates!I36&lt;0.05,"**",IF(Estimates!I36&lt;0.1,"*",""))))</f>
        <v>-0.244</v>
      </c>
      <c r="C25" s="8" t="str">
        <f aca="false">IF(Estimates!I37="","",TEXT(Estimates!E37,"0.000")&amp;IF(Estimates!I37&lt;0.01,"***",IF(Estimates!I37&lt;0.05,"**",IF(Estimates!I37&lt;0.1,"*",""))))</f>
        <v>-0.146</v>
      </c>
      <c r="D25" s="9" t="str">
        <f aca="false">IF(Estimates!I38="","",TEXT(Estimates!E38,"0.000")&amp;IF(Estimates!I38&lt;0.01,"***",IF(Estimates!I38&lt;0.05,"**",IF(Estimates!I38&lt;0.1,"*",""))))</f>
        <v>0.098</v>
      </c>
      <c r="E25" s="10" t="n">
        <f aca="false">Estimates!I38</f>
        <v>0.567321500330695</v>
      </c>
      <c r="F25" s="9" t="str">
        <f aca="false">IF(Estimates!I39="","",TEXT(Estimates!E39,"0.000")&amp;IF(Estimates!I39&lt;0.01,"***",IF(Estimates!I39&lt;0.05,"**",IF(Estimates!I39&lt;0.1,"*",""))))</f>
        <v>0.303</v>
      </c>
      <c r="G25" s="10" t="n">
        <f aca="false">Estimates!I39</f>
        <v>0.113051656955445</v>
      </c>
      <c r="H25" s="11" t="n">
        <v>1353</v>
      </c>
    </row>
    <row r="26" customFormat="false" ht="15" hidden="false" customHeight="false" outlineLevel="0" collapsed="false">
      <c r="B26" s="8" t="str">
        <f aca="false">IF(Estimates!H36="","","("&amp;TEXT(Estimates!H36,"0.00")&amp;")")</f>
        <v>(-0.80)</v>
      </c>
      <c r="C26" s="8" t="str">
        <f aca="false">IF(Estimates!H37="","","("&amp;TEXT(Estimates!H37,"0.00")&amp;")")</f>
        <v>(-0.47)</v>
      </c>
      <c r="D26" s="9" t="str">
        <f aca="false">IF(Estimates!H38="","","("&amp;TEXT(Estimates!H38,"0.00")&amp;")")</f>
        <v>(0.58)</v>
      </c>
      <c r="F26" s="9" t="str">
        <f aca="false">IF(Estimates!H39="","","("&amp;TEXT(Estimates!H39,"0.00")&amp;")")</f>
        <v>(1.67)</v>
      </c>
    </row>
    <row r="27" customFormat="false" ht="15" hidden="false" customHeight="false" outlineLevel="0" collapsed="false">
      <c r="A27" s="7" t="s">
        <v>21</v>
      </c>
      <c r="B27" s="8" t="str">
        <f aca="false">IF(Estimates!I40="","",TEXT(Estimates!E40,"0.000")&amp;IF(Estimates!I40&lt;0.01,"***",IF(Estimates!I40&lt;0.05,"**",IF(Estimates!I40&lt;0.1,"*",""))))</f>
        <v>5.262</v>
      </c>
      <c r="C27" s="8" t="str">
        <f aca="false">IF(Estimates!I41="","",TEXT(Estimates!E41,"0.000")&amp;IF(Estimates!I41&lt;0.01,"***",IF(Estimates!I41&lt;0.05,"**",IF(Estimates!I41&lt;0.1,"*",""))))</f>
        <v>5.406</v>
      </c>
      <c r="D27" s="9" t="str">
        <f aca="false">IF(Estimates!I42="","",TEXT(Estimates!E42,"0.000")&amp;IF(Estimates!I42&lt;0.01,"***",IF(Estimates!I42&lt;0.05,"**",IF(Estimates!I42&lt;0.1,"*",""))))</f>
        <v>0.144</v>
      </c>
      <c r="E27" s="10" t="n">
        <f aca="false">Estimates!I42</f>
        <v>0.965341463616735</v>
      </c>
      <c r="F27" s="9" t="str">
        <f aca="false">IF(Estimates!I43="","",TEXT(Estimates!E43,"0.000")&amp;IF(Estimates!I43&lt;0.01,"***",IF(Estimates!I43&lt;0.05,"**",IF(Estimates!I43&lt;0.1,"*",""))))</f>
        <v>1.034</v>
      </c>
      <c r="G27" s="10" t="n">
        <f aca="false">Estimates!I43</f>
        <v>0.779784949086241</v>
      </c>
      <c r="H27" s="11" t="n">
        <v>1109</v>
      </c>
    </row>
    <row r="28" customFormat="false" ht="15" hidden="false" customHeight="false" outlineLevel="0" collapsed="false">
      <c r="B28" s="8" t="str">
        <f aca="false">IF(Estimates!H40="","","("&amp;TEXT(Estimates!H40,"0.00")&amp;")")</f>
        <v>(1.21)</v>
      </c>
      <c r="C28" s="8" t="str">
        <f aca="false">IF(Estimates!H41="","","("&amp;TEXT(Estimates!H41,"0.00")&amp;")")</f>
        <v>(1.07)</v>
      </c>
      <c r="D28" s="9" t="str">
        <f aca="false">IF(Estimates!H42="","","("&amp;TEXT(Estimates!H42,"0.00")&amp;")")</f>
        <v>(0.04)</v>
      </c>
      <c r="F28" s="9" t="str">
        <f aca="false">IF(Estimates!H43="","","("&amp;TEXT(Estimates!H43,"0.00")&amp;")")</f>
        <v>(0.28)</v>
      </c>
    </row>
    <row r="29" customFormat="false" ht="15" hidden="false" customHeight="false" outlineLevel="0" collapsed="false">
      <c r="A29" s="1" t="s">
        <v>22</v>
      </c>
    </row>
    <row r="30" customFormat="false" ht="15" hidden="false" customHeight="false" outlineLevel="0" collapsed="false">
      <c r="A30" s="7" t="s">
        <v>23</v>
      </c>
      <c r="B30" s="8" t="str">
        <f aca="false">IF(Estimates!I44="","",TEXT(Estimates!E44,"0.000")&amp;IF(Estimates!I44&lt;0.01,"***",IF(Estimates!I44&lt;0.05,"**",IF(Estimates!I44&lt;0.1,"*",""))))</f>
        <v>-3.914**</v>
      </c>
      <c r="C30" s="8" t="str">
        <f aca="false">IF(Estimates!I45="","",TEXT(Estimates!E45,"0.000")&amp;IF(Estimates!I45&lt;0.01,"***",IF(Estimates!I45&lt;0.05,"**",IF(Estimates!I45&lt;0.1,"*",""))))</f>
        <v>-2.745</v>
      </c>
      <c r="D30" s="9" t="str">
        <f aca="false">IF(Estimates!I46="","",TEXT(Estimates!E46,"0.000")&amp;IF(Estimates!I46&lt;0.01,"***",IF(Estimates!I46&lt;0.05,"**",IF(Estimates!I46&lt;0.1,"*",""))))</f>
        <v>1.169</v>
      </c>
      <c r="E30" s="10" t="n">
        <f aca="false">Estimates!I46</f>
        <v>0.512561635852595</v>
      </c>
      <c r="F30" s="9" t="str">
        <f aca="false">IF(Estimates!I47="","",TEXT(Estimates!E47,"0.000")&amp;IF(Estimates!I47&lt;0.01,"***",IF(Estimates!I47&lt;0.05,"**",IF(Estimates!I47&lt;0.1,"*",""))))</f>
        <v>0.424</v>
      </c>
      <c r="G30" s="10" t="n">
        <f aca="false">Estimates!I47</f>
        <v>0.82927455698973</v>
      </c>
      <c r="H30" s="11" t="n">
        <v>1536</v>
      </c>
    </row>
    <row r="31" customFormat="false" ht="15" hidden="false" customHeight="false" outlineLevel="0" collapsed="false">
      <c r="B31" s="8" t="str">
        <f aca="false">IF(Estimates!H44="","","("&amp;TEXT(Estimates!H44,"0.00")&amp;")")</f>
        <v>(-2.32)</v>
      </c>
      <c r="C31" s="8" t="str">
        <f aca="false">IF(Estimates!H45="","","("&amp;TEXT(Estimates!H45,"0.00")&amp;")")</f>
        <v>(-1.57)</v>
      </c>
      <c r="D31" s="9" t="str">
        <f aca="false">IF(Estimates!H46="","","("&amp;TEXT(Estimates!H46,"0.00")&amp;")")</f>
        <v>(0.67)</v>
      </c>
      <c r="F31" s="9" t="str">
        <f aca="false">IF(Estimates!H47="","","("&amp;TEXT(Estimates!H47,"0.00")&amp;")")</f>
        <v>(0.22)</v>
      </c>
    </row>
    <row r="32" customFormat="false" ht="15" hidden="false" customHeight="false" outlineLevel="0" collapsed="false">
      <c r="A32" s="7" t="s">
        <v>24</v>
      </c>
      <c r="B32" s="8" t="str">
        <f aca="false">IF(Estimates!I48="","",TEXT(Estimates!E48,"0.000")&amp;IF(Estimates!I48&lt;0.01,"***",IF(Estimates!I48&lt;0.05,"**",IF(Estimates!I48&lt;0.1,"*",""))))</f>
        <v>0.530</v>
      </c>
      <c r="C32" s="8" t="str">
        <f aca="false">IF(Estimates!I49="","",TEXT(Estimates!E49,"0.000")&amp;IF(Estimates!I49&lt;0.01,"***",IF(Estimates!I49&lt;0.05,"**",IF(Estimates!I49&lt;0.1,"*",""))))</f>
        <v>0.326</v>
      </c>
      <c r="D32" s="9" t="str">
        <f aca="false">IF(Estimates!I50="","",TEXT(Estimates!E50,"0.000")&amp;IF(Estimates!I50&lt;0.01,"***",IF(Estimates!I50&lt;0.05,"**",IF(Estimates!I50&lt;0.1,"*",""))))</f>
        <v>-0.204</v>
      </c>
      <c r="E32" s="10" t="n">
        <f aca="false">Estimates!I50</f>
        <v>0.778601568326923</v>
      </c>
      <c r="F32" s="9" t="str">
        <f aca="false">IF(Estimates!I51="","",TEXT(Estimates!E51,"0.000")&amp;IF(Estimates!I51&lt;0.01,"***",IF(Estimates!I51&lt;0.05,"**",IF(Estimates!I51&lt;0.1,"*",""))))</f>
        <v>0.261</v>
      </c>
      <c r="G32" s="10" t="n">
        <f aca="false">Estimates!I51</f>
        <v>0.691400197851137</v>
      </c>
      <c r="H32" s="11" t="n">
        <v>1536</v>
      </c>
    </row>
    <row r="33" customFormat="false" ht="15" hidden="false" customHeight="false" outlineLevel="0" collapsed="false">
      <c r="B33" s="8" t="str">
        <f aca="false">IF(Estimates!H48="","","("&amp;TEXT(Estimates!H48,"0.00")&amp;")")</f>
        <v>(0.59)</v>
      </c>
      <c r="C33" s="8" t="str">
        <f aca="false">IF(Estimates!H49="","","("&amp;TEXT(Estimates!H49,"0.00")&amp;")")</f>
        <v>(0.41)</v>
      </c>
      <c r="D33" s="9" t="str">
        <f aca="false">IF(Estimates!H50="","","("&amp;TEXT(Estimates!H50,"0.00")&amp;")")</f>
        <v>(-0.29)</v>
      </c>
      <c r="F33" s="9" t="str">
        <f aca="false">IF(Estimates!H51="","","("&amp;TEXT(Estimates!H51,"0.00")&amp;")")</f>
        <v>(0.40)</v>
      </c>
    </row>
    <row r="34" customFormat="false" ht="15" hidden="false" customHeight="false" outlineLevel="0" collapsed="false">
      <c r="A34" s="7" t="s">
        <v>25</v>
      </c>
      <c r="B34" s="8" t="str">
        <f aca="false">IF(Estimates!I52="","",TEXT(Estimates!E52,"0.000")&amp;IF(Estimates!I52&lt;0.01,"***",IF(Estimates!I52&lt;0.05,"**",IF(Estimates!I52&lt;0.1,"*",""))))</f>
        <v>-0.992</v>
      </c>
      <c r="C34" s="8" t="str">
        <f aca="false">IF(Estimates!I53="","",TEXT(Estimates!E53,"0.000")&amp;IF(Estimates!I53&lt;0.01,"***",IF(Estimates!I53&lt;0.05,"**",IF(Estimates!I53&lt;0.1,"*",""))))</f>
        <v>-0.865</v>
      </c>
      <c r="D34" s="9" t="str">
        <f aca="false">IF(Estimates!I54="","",TEXT(Estimates!E54,"0.000")&amp;IF(Estimates!I54&lt;0.01,"***",IF(Estimates!I54&lt;0.05,"**",IF(Estimates!I54&lt;0.1,"*",""))))</f>
        <v>0.128</v>
      </c>
      <c r="E34" s="10" t="n">
        <f aca="false">Estimates!I54</f>
        <v>0.839298217174184</v>
      </c>
      <c r="F34" s="9" t="str">
        <f aca="false">IF(Estimates!I55="","",TEXT(Estimates!E55,"0.000")&amp;IF(Estimates!I55&lt;0.01,"***",IF(Estimates!I55&lt;0.05,"**",IF(Estimates!I55&lt;0.1,"*",""))))</f>
        <v>-0.458</v>
      </c>
      <c r="G34" s="10" t="n">
        <f aca="false">Estimates!I55</f>
        <v>0.591873772504839</v>
      </c>
      <c r="H34" s="11" t="n">
        <v>1536</v>
      </c>
    </row>
    <row r="35" customFormat="false" ht="15" hidden="false" customHeight="false" outlineLevel="0" collapsed="false">
      <c r="A35" s="5"/>
      <c r="B35" s="12" t="str">
        <f aca="false">IF(Estimates!H52="","","("&amp;TEXT(Estimates!H52,"0.00")&amp;")")</f>
        <v>(-1.19)</v>
      </c>
      <c r="C35" s="12" t="str">
        <f aca="false">IF(Estimates!H53="","","("&amp;TEXT(Estimates!H53,"0.00")&amp;")")</f>
        <v>(-1.00)</v>
      </c>
      <c r="D35" s="13" t="str">
        <f aca="false">IF(Estimates!H54="","","("&amp;TEXT(Estimates!H54,"0.00")&amp;")")</f>
        <v>(0.21)</v>
      </c>
      <c r="E35" s="5"/>
      <c r="F35" s="13" t="str">
        <f aca="false">IF(Estimates!H55="","","("&amp;TEXT(Estimates!H55,"0.00")&amp;")")</f>
        <v>(-0.55)</v>
      </c>
      <c r="G35" s="5"/>
      <c r="H35" s="5"/>
    </row>
  </sheetData>
  <mergeCells count="3">
    <mergeCell ref="A2:H2"/>
    <mergeCell ref="B4:E4"/>
    <mergeCell ref="F4:G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4" min="3" style="0" width="18"/>
    <col collapsed="false" customWidth="true" hidden="false" outlineLevel="0" max="6" min="5" style="0" width="11"/>
  </cols>
  <sheetData>
    <row r="1" customFormat="false" ht="15" hidden="false" customHeight="false" outlineLevel="0" collapsed="false">
      <c r="A1" s="1" t="s">
        <v>26</v>
      </c>
    </row>
    <row r="2" customFormat="false" ht="181.5" hidden="false" customHeight="true" outlineLevel="0" collapsed="false">
      <c r="A2" s="2" t="s">
        <v>27</v>
      </c>
      <c r="B2" s="2"/>
      <c r="C2" s="2"/>
      <c r="D2" s="2"/>
      <c r="E2" s="2"/>
      <c r="F2" s="2"/>
    </row>
    <row r="4" customFormat="false" ht="15" hidden="false" customHeight="true" outlineLevel="0" collapsed="false">
      <c r="A4" s="3"/>
      <c r="B4" s="4" t="s">
        <v>28</v>
      </c>
      <c r="C4" s="4"/>
      <c r="D4" s="4"/>
      <c r="E4" s="4" t="s">
        <v>8</v>
      </c>
      <c r="F4" s="4"/>
    </row>
    <row r="5" customFormat="false" ht="43.5" hidden="false" customHeight="true" outlineLevel="0" collapsed="false">
      <c r="A5" s="5"/>
      <c r="B5" s="6" t="s">
        <v>2</v>
      </c>
      <c r="C5" s="6" t="s">
        <v>29</v>
      </c>
      <c r="D5" s="6" t="s">
        <v>30</v>
      </c>
      <c r="E5" s="6" t="s">
        <v>31</v>
      </c>
      <c r="F5" s="6" t="s">
        <v>32</v>
      </c>
    </row>
    <row r="6" customFormat="false" ht="15" hidden="false" customHeight="false" outlineLevel="0" collapsed="false">
      <c r="A6" s="1" t="s">
        <v>9</v>
      </c>
    </row>
    <row r="7" customFormat="false" ht="15" hidden="false" customHeight="false" outlineLevel="0" collapsed="false">
      <c r="A7" s="7" t="s">
        <v>10</v>
      </c>
      <c r="B7" s="8" t="str">
        <f aca="false">IF(Estimates!I56="","",TEXT(Estimates!E56,"0.000")&amp;IF(Estimates!I56&lt;0.01,"***",IF(Estimates!I56&lt;0.05,"**",IF(Estimates!I56&lt;0.1,"*",""))))</f>
        <v>-0.059</v>
      </c>
      <c r="C7" s="8" t="str">
        <f aca="false">IF(Estimates!I57="","",TEXT(Estimates!E57,"0.000")&amp;IF(Estimates!I57&lt;0.01,"***",IF(Estimates!I57&lt;0.05,"**",IF(Estimates!I57&lt;0.1,"*",""))))</f>
        <v>-0.776</v>
      </c>
      <c r="D7" s="8" t="str">
        <f aca="false">IF(Estimates!I58="","",TEXT(Estimates!E58,"0.000")&amp;IF(Estimates!I58&lt;0.01,"***",IF(Estimates!I58&lt;0.05,"**",IF(Estimates!I58&lt;0.1,"*",""))))</f>
        <v>-0.238</v>
      </c>
      <c r="E7" s="11" t="n">
        <v>274</v>
      </c>
      <c r="F7" s="11" t="n">
        <v>261</v>
      </c>
    </row>
    <row r="8" customFormat="false" ht="15" hidden="false" customHeight="false" outlineLevel="0" collapsed="false">
      <c r="B8" s="8" t="str">
        <f aca="false">IF(Estimates!H56="","","("&amp;TEXT(Estimates!H56,"0.00")&amp;")")</f>
        <v>(-0.33)</v>
      </c>
      <c r="C8" s="8" t="str">
        <f aca="false">IF(Estimates!H57="","","("&amp;TEXT(Estimates!H57,"0.00")&amp;")")</f>
        <v>(-1.41)</v>
      </c>
      <c r="D8" s="8" t="str">
        <f aca="false">IF(Estimates!H58="","","("&amp;TEXT(Estimates!H58,"0.00")&amp;")")</f>
        <v>(-0.24)</v>
      </c>
    </row>
    <row r="9" customFormat="false" ht="15" hidden="false" customHeight="false" outlineLevel="0" collapsed="false">
      <c r="A9" s="7" t="s">
        <v>11</v>
      </c>
      <c r="B9" s="8" t="str">
        <f aca="false">IF(Estimates!I59="","",TEXT(Estimates!E59,"0.000")&amp;IF(Estimates!I59&lt;0.01,"***",IF(Estimates!I59&lt;0.05,"**",IF(Estimates!I59&lt;0.1,"*",""))))</f>
        <v>0.197</v>
      </c>
      <c r="C9" s="8" t="str">
        <f aca="false">IF(Estimates!I60="","",TEXT(Estimates!E60,"0.000")&amp;IF(Estimates!I60&lt;0.01,"***",IF(Estimates!I60&lt;0.05,"**",IF(Estimates!I60&lt;0.1,"*",""))))</f>
        <v>-0.126</v>
      </c>
      <c r="D9" s="8" t="str">
        <f aca="false">IF(Estimates!I61="","",TEXT(Estimates!E61,"0.000")&amp;IF(Estimates!I61&lt;0.01,"***",IF(Estimates!I61&lt;0.05,"**",IF(Estimates!I61&lt;0.1,"*",""))))</f>
        <v>-0.170</v>
      </c>
      <c r="E9" s="11" t="n">
        <v>254</v>
      </c>
      <c r="F9" s="11" t="n">
        <v>242</v>
      </c>
    </row>
    <row r="10" customFormat="false" ht="15" hidden="false" customHeight="false" outlineLevel="0" collapsed="false">
      <c r="B10" s="8" t="str">
        <f aca="false">IF(Estimates!H59="","","("&amp;TEXT(Estimates!H59,"0.00")&amp;")")</f>
        <v>(0.69)</v>
      </c>
      <c r="C10" s="8" t="str">
        <f aca="false">IF(Estimates!H60="","","("&amp;TEXT(Estimates!H60,"0.00")&amp;")")</f>
        <v>(-0.30)</v>
      </c>
      <c r="D10" s="8" t="str">
        <f aca="false">IF(Estimates!H61="","","("&amp;TEXT(Estimates!H61,"0.00")&amp;")")</f>
        <v>(-0.35)</v>
      </c>
    </row>
    <row r="11" customFormat="false" ht="15" hidden="false" customHeight="false" outlineLevel="0" collapsed="false">
      <c r="A11" s="1" t="s">
        <v>12</v>
      </c>
    </row>
    <row r="12" customFormat="false" ht="15" hidden="false" customHeight="false" outlineLevel="0" collapsed="false">
      <c r="A12" s="7" t="s">
        <v>13</v>
      </c>
      <c r="B12" s="8" t="str">
        <f aca="false">IF(Estimates!I62="","",TEXT(Estimates!E62,"0.000")&amp;IF(Estimates!I62&lt;0.01,"***",IF(Estimates!I62&lt;0.05,"**",IF(Estimates!I62&lt;0.1,"*",""))))</f>
        <v>-0.086*</v>
      </c>
      <c r="C12" s="8" t="str">
        <f aca="false">IF(Estimates!I63="","",TEXT(Estimates!E63,"0.000")&amp;IF(Estimates!I63&lt;0.01,"***",IF(Estimates!I63&lt;0.05,"**",IF(Estimates!I63&lt;0.1,"*",""))))</f>
        <v>-0.068</v>
      </c>
      <c r="D12" s="8" t="str">
        <f aca="false">IF(Estimates!I64="","",TEXT(Estimates!E64,"0.000")&amp;IF(Estimates!I64&lt;0.01,"***",IF(Estimates!I64&lt;0.05,"**",IF(Estimates!I64&lt;0.1,"*",""))))</f>
        <v>-0.021</v>
      </c>
      <c r="E12" s="11" t="n">
        <v>251</v>
      </c>
      <c r="F12" s="11" t="n">
        <v>238</v>
      </c>
    </row>
    <row r="13" customFormat="false" ht="15" hidden="false" customHeight="false" outlineLevel="0" collapsed="false">
      <c r="B13" s="8" t="str">
        <f aca="false">IF(Estimates!H62="","","("&amp;TEXT(Estimates!H62,"0.00")&amp;")")</f>
        <v>(-1.83)</v>
      </c>
      <c r="C13" s="8" t="str">
        <f aca="false">IF(Estimates!H63="","","("&amp;TEXT(Estimates!H63,"0.00")&amp;")")</f>
        <v>(-1.12)</v>
      </c>
      <c r="D13" s="8" t="str">
        <f aca="false">IF(Estimates!H64="","","("&amp;TEXT(Estimates!H64,"0.00")&amp;")")</f>
        <v>(-0.27)</v>
      </c>
    </row>
    <row r="14" customFormat="false" ht="15" hidden="false" customHeight="false" outlineLevel="0" collapsed="false">
      <c r="A14" s="7" t="s">
        <v>14</v>
      </c>
      <c r="B14" s="8" t="str">
        <f aca="false">IF(Estimates!I65="","",TEXT(Estimates!E65,"0.000")&amp;IF(Estimates!I65&lt;0.01,"***",IF(Estimates!I65&lt;0.05,"**",IF(Estimates!I65&lt;0.1,"*",""))))</f>
        <v>0.006</v>
      </c>
      <c r="C14" s="8" t="str">
        <f aca="false">IF(Estimates!I66="","",TEXT(Estimates!E66,"0.000")&amp;IF(Estimates!I66&lt;0.01,"***",IF(Estimates!I66&lt;0.05,"**",IF(Estimates!I66&lt;0.1,"*",""))))</f>
        <v>0.014</v>
      </c>
      <c r="D14" s="8" t="str">
        <f aca="false">IF(Estimates!I67="","",TEXT(Estimates!E67,"0.000")&amp;IF(Estimates!I67&lt;0.01,"***",IF(Estimates!I67&lt;0.05,"**",IF(Estimates!I67&lt;0.1,"*",""))))</f>
        <v>0.032</v>
      </c>
      <c r="E14" s="11" t="n">
        <v>264</v>
      </c>
      <c r="F14" s="11" t="n">
        <v>250</v>
      </c>
    </row>
    <row r="15" customFormat="false" ht="15" hidden="false" customHeight="false" outlineLevel="0" collapsed="false">
      <c r="B15" s="8" t="str">
        <f aca="false">IF(Estimates!H65="","","("&amp;TEXT(Estimates!H65,"0.00")&amp;")")</f>
        <v>(0.18)</v>
      </c>
      <c r="C15" s="8" t="str">
        <f aca="false">IF(Estimates!H66="","","("&amp;TEXT(Estimates!H66,"0.00")&amp;")")</f>
        <v>(0.54)</v>
      </c>
      <c r="D15" s="8" t="str">
        <f aca="false">IF(Estimates!H67="","","("&amp;TEXT(Estimates!H67,"0.00")&amp;")")</f>
        <v>(0.90)</v>
      </c>
    </row>
    <row r="16" customFormat="false" ht="15" hidden="false" customHeight="false" outlineLevel="0" collapsed="false">
      <c r="A16" s="1" t="s">
        <v>15</v>
      </c>
    </row>
    <row r="17" customFormat="false" ht="15" hidden="false" customHeight="false" outlineLevel="0" collapsed="false">
      <c r="A17" s="7" t="s">
        <v>16</v>
      </c>
      <c r="B17" s="8" t="str">
        <f aca="false">IF(Estimates!I68="","",TEXT(Estimates!E68,"0.000")&amp;IF(Estimates!I68&lt;0.01,"***",IF(Estimates!I68&lt;0.05,"**",IF(Estimates!I68&lt;0.1,"*",""))))</f>
        <v>-0.013</v>
      </c>
      <c r="C17" s="8" t="str">
        <f aca="false">IF(Estimates!I69="","",TEXT(Estimates!E69,"0.000")&amp;IF(Estimates!I69&lt;0.01,"***",IF(Estimates!I69&lt;0.05,"**",IF(Estimates!I69&lt;0.1,"*",""))))</f>
        <v>0.012</v>
      </c>
      <c r="D17" s="8" t="str">
        <f aca="false">IF(Estimates!I70="","",TEXT(Estimates!E70,"0.000")&amp;IF(Estimates!I70&lt;0.01,"***",IF(Estimates!I70&lt;0.05,"**",IF(Estimates!I70&lt;0.1,"*",""))))</f>
        <v>0.039**</v>
      </c>
      <c r="E17" s="11" t="n">
        <v>229</v>
      </c>
      <c r="F17" s="11" t="n">
        <v>218</v>
      </c>
    </row>
    <row r="18" customFormat="false" ht="15" hidden="false" customHeight="false" outlineLevel="0" collapsed="false">
      <c r="B18" s="8" t="str">
        <f aca="false">IF(Estimates!H68="","","("&amp;TEXT(Estimates!H68,"0.00")&amp;")")</f>
        <v>(-0.85)</v>
      </c>
      <c r="C18" s="8" t="str">
        <f aca="false">IF(Estimates!H69="","","("&amp;TEXT(Estimates!H69,"0.00")&amp;")")</f>
        <v>(0.85)</v>
      </c>
      <c r="D18" s="8" t="str">
        <f aca="false">IF(Estimates!H70="","","("&amp;TEXT(Estimates!H70,"0.00")&amp;")")</f>
        <v>(2.35)</v>
      </c>
    </row>
    <row r="19" customFormat="false" ht="15" hidden="false" customHeight="false" outlineLevel="0" collapsed="false">
      <c r="A19" s="7" t="s">
        <v>17</v>
      </c>
      <c r="B19" s="8" t="str">
        <f aca="false">IF(Estimates!I71="","",TEXT(Estimates!E71,"0.000")&amp;IF(Estimates!I71&lt;0.01,"***",IF(Estimates!I71&lt;0.05,"**",IF(Estimates!I71&lt;0.1,"*",""))))</f>
        <v>-0.089</v>
      </c>
      <c r="C19" s="8" t="str">
        <f aca="false">IF(Estimates!I72="","",TEXT(Estimates!E72,"0.000")&amp;IF(Estimates!I72&lt;0.01,"***",IF(Estimates!I72&lt;0.05,"**",IF(Estimates!I72&lt;0.1,"*",""))))</f>
        <v>-0.062</v>
      </c>
      <c r="D19" s="8" t="str">
        <f aca="false">IF(Estimates!I73="","",TEXT(Estimates!E73,"0.000")&amp;IF(Estimates!I73&lt;0.01,"***",IF(Estimates!I73&lt;0.05,"**",IF(Estimates!I73&lt;0.1,"*",""))))</f>
        <v>0.007</v>
      </c>
      <c r="E19" s="11" t="n">
        <v>229</v>
      </c>
      <c r="F19" s="11" t="n">
        <v>218</v>
      </c>
    </row>
    <row r="20" customFormat="false" ht="15" hidden="false" customHeight="false" outlineLevel="0" collapsed="false">
      <c r="B20" s="8" t="str">
        <f aca="false">IF(Estimates!H71="","","("&amp;TEXT(Estimates!H71,"0.00")&amp;")")</f>
        <v>(-1.70)</v>
      </c>
      <c r="C20" s="8" t="str">
        <f aca="false">IF(Estimates!H72="","","("&amp;TEXT(Estimates!H72,"0.00")&amp;")")</f>
        <v>(-1.13)</v>
      </c>
      <c r="D20" s="8" t="str">
        <f aca="false">IF(Estimates!H73="","","("&amp;TEXT(Estimates!H73,"0.00")&amp;")")</f>
        <v>(0.09)</v>
      </c>
    </row>
    <row r="21" customFormat="false" ht="15" hidden="false" customHeight="false" outlineLevel="0" collapsed="false">
      <c r="A21" s="7" t="s">
        <v>18</v>
      </c>
      <c r="B21" s="8" t="str">
        <f aca="false">IF(Estimates!I74="","",TEXT(Estimates!E74,"0.000")&amp;IF(Estimates!I74&lt;0.01,"***",IF(Estimates!I74&lt;0.05,"**",IF(Estimates!I74&lt;0.1,"*",""))))</f>
        <v>-0.278**</v>
      </c>
      <c r="C21" s="8" t="str">
        <f aca="false">IF(Estimates!I75="","",TEXT(Estimates!E75,"0.000")&amp;IF(Estimates!I75&lt;0.01,"***",IF(Estimates!I75&lt;0.05,"**",IF(Estimates!I75&lt;0.1,"*",""))))</f>
        <v>-0.243**</v>
      </c>
      <c r="D21" s="8" t="str">
        <f aca="false">IF(Estimates!I76="","",TEXT(Estimates!E76,"0.000")&amp;IF(Estimates!I76&lt;0.01,"***",IF(Estimates!I76&lt;0.05,"**",IF(Estimates!I76&lt;0.1,"*",""))))</f>
        <v>-0.255</v>
      </c>
      <c r="E21" s="11" t="n">
        <v>252</v>
      </c>
      <c r="F21" s="11" t="n">
        <v>241</v>
      </c>
    </row>
    <row r="22" customFormat="false" ht="15" hidden="false" customHeight="false" outlineLevel="0" collapsed="false">
      <c r="B22" s="8" t="str">
        <f aca="false">IF(Estimates!H74="","","("&amp;TEXT(Estimates!H74,"0.00")&amp;")")</f>
        <v>(-2.40)</v>
      </c>
      <c r="C22" s="8" t="str">
        <f aca="false">IF(Estimates!H75="","","("&amp;TEXT(Estimates!H75,"0.00")&amp;")")</f>
        <v>(-2.17)</v>
      </c>
      <c r="D22" s="8" t="str">
        <f aca="false">IF(Estimates!H76="","","("&amp;TEXT(Estimates!H76,"0.00")&amp;")")</f>
        <v>(-1.23)</v>
      </c>
    </row>
    <row r="23" customFormat="false" ht="15" hidden="false" customHeight="false" outlineLevel="0" collapsed="false">
      <c r="A23" s="7" t="s">
        <v>19</v>
      </c>
      <c r="B23" s="8" t="str">
        <f aca="false">IF(Estimates!I77="","",TEXT(Estimates!E77,"0.000")&amp;IF(Estimates!I77&lt;0.01,"***",IF(Estimates!I77&lt;0.05,"**",IF(Estimates!I77&lt;0.1,"*",""))))</f>
        <v>-0.676*</v>
      </c>
      <c r="C23" s="8" t="str">
        <f aca="false">IF(Estimates!I78="","",TEXT(Estimates!E78,"0.000")&amp;IF(Estimates!I78&lt;0.01,"***",IF(Estimates!I78&lt;0.05,"**",IF(Estimates!I78&lt;0.1,"*",""))))</f>
        <v>-0.853**</v>
      </c>
      <c r="D23" s="8" t="str">
        <f aca="false">IF(Estimates!I79="","",TEXT(Estimates!E79,"0.000")&amp;IF(Estimates!I79&lt;0.01,"***",IF(Estimates!I79&lt;0.05,"**",IF(Estimates!I79&lt;0.1,"*",""))))</f>
        <v>-1.760*</v>
      </c>
      <c r="E23" s="11" t="n">
        <v>248</v>
      </c>
      <c r="F23" s="11" t="n">
        <v>237</v>
      </c>
    </row>
    <row r="24" customFormat="false" ht="15" hidden="false" customHeight="false" outlineLevel="0" collapsed="false">
      <c r="B24" s="8" t="str">
        <f aca="false">IF(Estimates!H77="","","("&amp;TEXT(Estimates!H77,"0.00")&amp;")")</f>
        <v>(-1.97)</v>
      </c>
      <c r="C24" s="8" t="str">
        <f aca="false">IF(Estimates!H78="","","("&amp;TEXT(Estimates!H78,"0.00")&amp;")")</f>
        <v>(-2.22)</v>
      </c>
      <c r="D24" s="8" t="str">
        <f aca="false">IF(Estimates!H79="","","("&amp;TEXT(Estimates!H79,"0.00")&amp;")")</f>
        <v>(-1.82)</v>
      </c>
    </row>
    <row r="25" customFormat="false" ht="15" hidden="false" customHeight="false" outlineLevel="0" collapsed="false">
      <c r="A25" s="7" t="s">
        <v>20</v>
      </c>
      <c r="B25" s="8" t="str">
        <f aca="false">IF(Estimates!I80="","",TEXT(Estimates!E80,"0.000")&amp;IF(Estimates!I80&lt;0.01,"***",IF(Estimates!I80&lt;0.05,"**",IF(Estimates!I80&lt;0.1,"*",""))))</f>
        <v>-0.216</v>
      </c>
      <c r="C25" s="8" t="str">
        <f aca="false">IF(Estimates!I81="","",TEXT(Estimates!E81,"0.000")&amp;IF(Estimates!I81&lt;0.01,"***",IF(Estimates!I81&lt;0.05,"**",IF(Estimates!I81&lt;0.1,"*",""))))</f>
        <v>-0.119</v>
      </c>
      <c r="D25" s="8" t="str">
        <f aca="false">IF(Estimates!I82="","",TEXT(Estimates!E82,"0.000")&amp;IF(Estimates!I82&lt;0.01,"***",IF(Estimates!I82&lt;0.05,"**",IF(Estimates!I82&lt;0.1,"*",""))))</f>
        <v>-0.184</v>
      </c>
      <c r="E25" s="11" t="n">
        <v>270</v>
      </c>
      <c r="F25" s="11" t="n">
        <v>257</v>
      </c>
    </row>
    <row r="26" customFormat="false" ht="15" hidden="false" customHeight="false" outlineLevel="0" collapsed="false">
      <c r="B26" s="8" t="str">
        <f aca="false">IF(Estimates!H80="","","("&amp;TEXT(Estimates!H80,"0.00")&amp;")")</f>
        <v>(-1.50)</v>
      </c>
      <c r="C26" s="8" t="str">
        <f aca="false">IF(Estimates!H81="","","("&amp;TEXT(Estimates!H81,"0.00")&amp;")")</f>
        <v>(-0.53)</v>
      </c>
      <c r="D26" s="8" t="str">
        <f aca="false">IF(Estimates!H82="","","("&amp;TEXT(Estimates!H82,"0.00")&amp;")")</f>
        <v>(-1.01)</v>
      </c>
    </row>
    <row r="27" customFormat="false" ht="15" hidden="false" customHeight="false" outlineLevel="0" collapsed="false">
      <c r="A27" s="7" t="s">
        <v>21</v>
      </c>
      <c r="B27" s="8" t="str">
        <f aca="false">IF(Estimates!I83="","",TEXT(Estimates!E83,"0.000")&amp;IF(Estimates!I83&lt;0.01,"***",IF(Estimates!I83&lt;0.05,"**",IF(Estimates!I83&lt;0.1,"*",""))))</f>
        <v>-4.381</v>
      </c>
      <c r="C27" s="8" t="str">
        <f aca="false">IF(Estimates!I84="","",TEXT(Estimates!E84,"0.000")&amp;IF(Estimates!I84&lt;0.01,"***",IF(Estimates!I84&lt;0.05,"**",IF(Estimates!I84&lt;0.1,"*",""))))</f>
        <v>-5.616</v>
      </c>
      <c r="D27" s="8" t="str">
        <f aca="false">IF(Estimates!I85="","",TEXT(Estimates!E85,"0.000")&amp;IF(Estimates!I85&lt;0.01,"***",IF(Estimates!I85&lt;0.05,"**",IF(Estimates!I85&lt;0.1,"*",""))))</f>
        <v>-16.568</v>
      </c>
      <c r="E27" s="11" t="n">
        <v>230</v>
      </c>
      <c r="F27" s="11" t="n">
        <v>218</v>
      </c>
    </row>
    <row r="28" customFormat="false" ht="15" hidden="false" customHeight="false" outlineLevel="0" collapsed="false">
      <c r="B28" s="8" t="str">
        <f aca="false">IF(Estimates!H83="","","("&amp;TEXT(Estimates!H83,"0.00")&amp;")")</f>
        <v>(-1.05)</v>
      </c>
      <c r="C28" s="8" t="str">
        <f aca="false">IF(Estimates!H84="","","("&amp;TEXT(Estimates!H84,"0.00")&amp;")")</f>
        <v>(-1.24)</v>
      </c>
      <c r="D28" s="8" t="str">
        <f aca="false">IF(Estimates!H85="","","("&amp;TEXT(Estimates!H85,"0.00")&amp;")")</f>
        <v>(-1.56)</v>
      </c>
    </row>
    <row r="29" customFormat="false" ht="15" hidden="false" customHeight="false" outlineLevel="0" collapsed="false">
      <c r="A29" s="1" t="s">
        <v>22</v>
      </c>
    </row>
    <row r="30" customFormat="false" ht="15" hidden="false" customHeight="false" outlineLevel="0" collapsed="false">
      <c r="A30" s="7" t="s">
        <v>23</v>
      </c>
      <c r="B30" s="8" t="str">
        <f aca="false">IF(Estimates!I86="","",TEXT(Estimates!E86,"0.000")&amp;IF(Estimates!I86&lt;0.01,"***",IF(Estimates!I86&lt;0.05,"**",IF(Estimates!I86&lt;0.1,"*",""))))</f>
        <v>0.416</v>
      </c>
      <c r="C30" s="8" t="str">
        <f aca="false">IF(Estimates!I87="","",TEXT(Estimates!E87,"0.000")&amp;IF(Estimates!I87&lt;0.01,"***",IF(Estimates!I87&lt;0.05,"**",IF(Estimates!I87&lt;0.1,"*",""))))</f>
        <v>-2.229*</v>
      </c>
      <c r="D30" s="8" t="str">
        <f aca="false">IF(Estimates!I88="","",TEXT(Estimates!E88,"0.000")&amp;IF(Estimates!I88&lt;0.01,"***",IF(Estimates!I88&lt;0.05,"**",IF(Estimates!I88&lt;0.1,"*",""))))</f>
        <v>-3.528**</v>
      </c>
      <c r="E30" s="11" t="n">
        <v>277</v>
      </c>
      <c r="F30" s="11" t="n">
        <v>266</v>
      </c>
    </row>
    <row r="31" customFormat="false" ht="15" hidden="false" customHeight="false" outlineLevel="0" collapsed="false">
      <c r="B31" s="8" t="str">
        <f aca="false">IF(Estimates!H86="","","("&amp;TEXT(Estimates!H86,"0.00")&amp;")")</f>
        <v>(0.29)</v>
      </c>
      <c r="C31" s="8" t="str">
        <f aca="false">IF(Estimates!H87="","","("&amp;TEXT(Estimates!H87,"0.00")&amp;")")</f>
        <v>(-2.06)</v>
      </c>
      <c r="D31" s="8" t="str">
        <f aca="false">IF(Estimates!H88="","","("&amp;TEXT(Estimates!H88,"0.00")&amp;")")</f>
        <v>(-2.39)</v>
      </c>
    </row>
    <row r="32" customFormat="false" ht="15" hidden="false" customHeight="false" outlineLevel="0" collapsed="false">
      <c r="A32" s="7" t="s">
        <v>24</v>
      </c>
      <c r="B32" s="8" t="str">
        <f aca="false">IF(Estimates!I89="","",TEXT(Estimates!E89,"0.000")&amp;IF(Estimates!I89&lt;0.01,"***",IF(Estimates!I89&lt;0.05,"**",IF(Estimates!I89&lt;0.1,"*",""))))</f>
        <v>0.214</v>
      </c>
      <c r="C32" s="8" t="str">
        <f aca="false">IF(Estimates!I90="","",TEXT(Estimates!E90,"0.000")&amp;IF(Estimates!I90&lt;0.01,"***",IF(Estimates!I90&lt;0.05,"**",IF(Estimates!I90&lt;0.1,"*",""))))</f>
        <v>-0.819*</v>
      </c>
      <c r="D32" s="8" t="str">
        <f aca="false">IF(Estimates!I91="","",TEXT(Estimates!E91,"0.000")&amp;IF(Estimates!I91&lt;0.01,"***",IF(Estimates!I91&lt;0.05,"**",IF(Estimates!I91&lt;0.1,"*",""))))</f>
        <v>-1.242*</v>
      </c>
      <c r="E32" s="11" t="n">
        <v>277</v>
      </c>
      <c r="F32" s="11" t="n">
        <v>266</v>
      </c>
    </row>
    <row r="33" customFormat="false" ht="15" hidden="false" customHeight="false" outlineLevel="0" collapsed="false">
      <c r="B33" s="8" t="str">
        <f aca="false">IF(Estimates!H89="","","("&amp;TEXT(Estimates!H89,"0.00")&amp;")")</f>
        <v>(0.40)</v>
      </c>
      <c r="C33" s="8" t="str">
        <f aca="false">IF(Estimates!H90="","","("&amp;TEXT(Estimates!H90,"0.00")&amp;")")</f>
        <v>(-1.99)</v>
      </c>
      <c r="D33" s="8" t="str">
        <f aca="false">IF(Estimates!H91="","","("&amp;TEXT(Estimates!H91,"0.00")&amp;")")</f>
        <v>(-1.80)</v>
      </c>
    </row>
    <row r="34" customFormat="false" ht="15" hidden="false" customHeight="false" outlineLevel="0" collapsed="false">
      <c r="A34" s="7" t="s">
        <v>25</v>
      </c>
      <c r="B34" s="8" t="str">
        <f aca="false">IF(Estimates!I92="","",TEXT(Estimates!E92,"0.000")&amp;IF(Estimates!I92&lt;0.01,"***",IF(Estimates!I92&lt;0.05,"**",IF(Estimates!I92&lt;0.1,"*",""))))</f>
        <v>-0.321</v>
      </c>
      <c r="C34" s="8" t="str">
        <f aca="false">IF(Estimates!I93="","",TEXT(Estimates!E93,"0.000")&amp;IF(Estimates!I93&lt;0.01,"***",IF(Estimates!I93&lt;0.05,"**",IF(Estimates!I93&lt;0.1,"*",""))))</f>
        <v>-0.802</v>
      </c>
      <c r="D34" s="8" t="str">
        <f aca="false">IF(Estimates!I94="","",TEXT(Estimates!E94,"0.000")&amp;IF(Estimates!I94&lt;0.01,"***",IF(Estimates!I94&lt;0.05,"**",IF(Estimates!I94&lt;0.1,"*",""))))</f>
        <v>-1.481*</v>
      </c>
      <c r="E34" s="11" t="n">
        <v>277</v>
      </c>
      <c r="F34" s="11" t="n">
        <v>266</v>
      </c>
    </row>
    <row r="35" customFormat="false" ht="15" hidden="false" customHeight="false" outlineLevel="0" collapsed="false">
      <c r="A35" s="5"/>
      <c r="B35" s="12" t="str">
        <f aca="false">IF(Estimates!H92="","","("&amp;TEXT(Estimates!H92,"0.00")&amp;")")</f>
        <v>(-0.55)</v>
      </c>
      <c r="C35" s="12" t="str">
        <f aca="false">IF(Estimates!H93="","","("&amp;TEXT(Estimates!H93,"0.00")&amp;")")</f>
        <v>(-1.25)</v>
      </c>
      <c r="D35" s="12" t="str">
        <f aca="false">IF(Estimates!H94="","","("&amp;TEXT(Estimates!H94,"0.00")&amp;")")</f>
        <v>(-1.74)</v>
      </c>
      <c r="E35" s="5"/>
      <c r="F35" s="5"/>
    </row>
  </sheetData>
  <mergeCells count="3">
    <mergeCell ref="A2:F2"/>
    <mergeCell ref="B4:D4"/>
    <mergeCell ref="E4:F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4" min="3" style="0" width="13"/>
    <col collapsed="false" customWidth="true" hidden="false" outlineLevel="0" max="8" min="5" style="0" width="12"/>
  </cols>
  <sheetData>
    <row r="1" customFormat="false" ht="15" hidden="false" customHeight="false" outlineLevel="0" collapsed="false">
      <c r="A1" s="1" t="s">
        <v>33</v>
      </c>
    </row>
    <row r="2" customFormat="false" ht="126" hidden="false" customHeight="true" outlineLevel="0" collapsed="false">
      <c r="A2" s="2" t="s">
        <v>34</v>
      </c>
      <c r="B2" s="2"/>
      <c r="C2" s="2"/>
      <c r="D2" s="2"/>
      <c r="E2" s="2"/>
      <c r="F2" s="2"/>
      <c r="G2" s="2"/>
      <c r="H2" s="2"/>
    </row>
    <row r="4" customFormat="false" ht="15" hidden="false" customHeight="false" outlineLevel="0" collapsed="false">
      <c r="A4" s="3"/>
      <c r="B4" s="4"/>
      <c r="C4" s="3"/>
      <c r="D4" s="3"/>
      <c r="E4" s="3"/>
      <c r="F4" s="3"/>
      <c r="G4" s="3"/>
      <c r="H4" s="3"/>
    </row>
    <row r="5" customFormat="false" ht="43.5" hidden="false" customHeight="true" outlineLevel="0" collapsed="false">
      <c r="A5" s="5"/>
      <c r="B5" s="6" t="s">
        <v>35</v>
      </c>
      <c r="C5" s="6" t="s">
        <v>36</v>
      </c>
      <c r="D5" s="6" t="s">
        <v>37</v>
      </c>
      <c r="E5" s="6" t="s">
        <v>38</v>
      </c>
      <c r="F5" s="6" t="s">
        <v>39</v>
      </c>
      <c r="G5" s="6" t="s">
        <v>40</v>
      </c>
      <c r="H5" s="6" t="s">
        <v>41</v>
      </c>
    </row>
    <row r="6" customFormat="false" ht="15" hidden="false" customHeight="false" outlineLevel="0" collapsed="false">
      <c r="A6" s="1" t="s">
        <v>9</v>
      </c>
    </row>
    <row r="7" customFormat="false" ht="15" hidden="false" customHeight="false" outlineLevel="0" collapsed="false">
      <c r="A7" s="7" t="s">
        <v>10</v>
      </c>
      <c r="B7" s="14" t="n">
        <v>37</v>
      </c>
      <c r="C7" s="10" t="n">
        <v>-0.496722508589676</v>
      </c>
      <c r="D7" s="10" t="n">
        <v>-0.235469095488781</v>
      </c>
      <c r="E7" s="10" t="n">
        <v>0.261253413100895</v>
      </c>
      <c r="F7" s="15" t="n">
        <v>0.5578454174364</v>
      </c>
      <c r="G7" s="15" t="n">
        <v>0.377726926206378</v>
      </c>
      <c r="H7" s="16" t="n">
        <v>0.621621621621622</v>
      </c>
    </row>
    <row r="8" customFormat="false" ht="15" hidden="false" customHeight="false" outlineLevel="0" collapsed="false">
      <c r="A8" s="7" t="s">
        <v>11</v>
      </c>
      <c r="B8" s="14" t="n">
        <v>30</v>
      </c>
      <c r="C8" s="10" t="n">
        <v>0.0449248677248678</v>
      </c>
      <c r="D8" s="10" t="n">
        <v>0.181985185185185</v>
      </c>
      <c r="E8" s="10" t="n">
        <v>0.137060317460317</v>
      </c>
      <c r="F8" s="15" t="n">
        <v>0.774038460529598</v>
      </c>
      <c r="G8" s="15" t="n">
        <v>1</v>
      </c>
      <c r="H8" s="16" t="n">
        <v>0.5</v>
      </c>
    </row>
    <row r="9" customFormat="false" ht="15" hidden="false" customHeight="false" outlineLevel="0" collapsed="false">
      <c r="A9" s="1" t="s">
        <v>12</v>
      </c>
    </row>
    <row r="10" customFormat="false" ht="15" hidden="false" customHeight="false" outlineLevel="0" collapsed="false">
      <c r="A10" s="7" t="s">
        <v>13</v>
      </c>
      <c r="B10" s="14" t="n">
        <v>35</v>
      </c>
      <c r="C10" s="10" t="n">
        <v>0.293334538583011</v>
      </c>
      <c r="D10" s="10" t="n">
        <v>0.356888088432329</v>
      </c>
      <c r="E10" s="10" t="n">
        <v>0.0635535498493185</v>
      </c>
      <c r="F10" s="15" t="n">
        <v>0.0319755049821881</v>
      </c>
      <c r="G10" s="15" t="n">
        <v>0.0300070070079528</v>
      </c>
      <c r="H10" s="16" t="n">
        <v>0.657142857142857</v>
      </c>
    </row>
    <row r="11" customFormat="false" ht="15" hidden="false" customHeight="false" outlineLevel="0" collapsed="false">
      <c r="A11" s="7" t="s">
        <v>14</v>
      </c>
      <c r="B11" s="14" t="n">
        <v>36</v>
      </c>
      <c r="C11" s="10" t="n">
        <v>0.287009287909529</v>
      </c>
      <c r="D11" s="10" t="n">
        <v>0.329577081539148</v>
      </c>
      <c r="E11" s="10" t="n">
        <v>0.0425677936296193</v>
      </c>
      <c r="F11" s="15" t="n">
        <v>0.0687003406452377</v>
      </c>
      <c r="G11" s="15" t="n">
        <v>0.0692398267856333</v>
      </c>
      <c r="H11" s="16" t="n">
        <v>0.666666666666667</v>
      </c>
    </row>
    <row r="12" customFormat="false" ht="15" hidden="false" customHeight="false" outlineLevel="0" collapsed="false">
      <c r="A12" s="1" t="s">
        <v>15</v>
      </c>
    </row>
    <row r="13" customFormat="false" ht="15" hidden="false" customHeight="false" outlineLevel="0" collapsed="false">
      <c r="A13" s="7" t="s">
        <v>16</v>
      </c>
      <c r="B13" s="14" t="n">
        <v>28</v>
      </c>
      <c r="C13" s="10" t="n">
        <v>0.286066328695648</v>
      </c>
      <c r="D13" s="10" t="n">
        <v>0.328246742895866</v>
      </c>
      <c r="E13" s="10" t="n">
        <v>0.0421804142002175</v>
      </c>
      <c r="F13" s="15" t="n">
        <v>0.404941424342334</v>
      </c>
      <c r="G13" s="15" t="n">
        <v>0.884175762534142</v>
      </c>
      <c r="H13" s="16" t="n">
        <v>0.535714285714286</v>
      </c>
    </row>
    <row r="14" customFormat="false" ht="15" hidden="false" customHeight="false" outlineLevel="0" collapsed="false">
      <c r="A14" s="7" t="s">
        <v>17</v>
      </c>
      <c r="B14" s="14" t="n">
        <v>28</v>
      </c>
      <c r="C14" s="10" t="n">
        <v>0.242401047001226</v>
      </c>
      <c r="D14" s="10" t="n">
        <v>0.261268735471029</v>
      </c>
      <c r="E14" s="10" t="n">
        <v>0.0188676884698033</v>
      </c>
      <c r="F14" s="15" t="n">
        <v>0.600197434517517</v>
      </c>
      <c r="G14" s="15" t="n">
        <v>0.301568821749512</v>
      </c>
      <c r="H14" s="16" t="n">
        <v>0.571428571428571</v>
      </c>
    </row>
    <row r="15" customFormat="false" ht="15" hidden="false" customHeight="false" outlineLevel="0" collapsed="false">
      <c r="A15" s="7" t="s">
        <v>18</v>
      </c>
      <c r="B15" s="14" t="n">
        <v>32</v>
      </c>
      <c r="C15" s="10" t="n">
        <v>0.517026955886557</v>
      </c>
      <c r="D15" s="10" t="n">
        <v>0.62188098469042</v>
      </c>
      <c r="E15" s="10" t="n">
        <v>0.104854028803864</v>
      </c>
      <c r="F15" s="15" t="n">
        <v>0.344210318551196</v>
      </c>
      <c r="G15" s="15" t="n">
        <v>0.252812901016408</v>
      </c>
      <c r="H15" s="16" t="n">
        <v>0.46875</v>
      </c>
    </row>
    <row r="16" customFormat="false" ht="15" hidden="false" customHeight="false" outlineLevel="0" collapsed="false">
      <c r="A16" s="7" t="s">
        <v>19</v>
      </c>
      <c r="B16" s="14" t="n">
        <v>29</v>
      </c>
      <c r="C16" s="10" t="n">
        <v>0.876782354995187</v>
      </c>
      <c r="D16" s="10" t="n">
        <v>1.06785157945779</v>
      </c>
      <c r="E16" s="10" t="n">
        <v>0.191069224462605</v>
      </c>
      <c r="F16" s="15" t="n">
        <v>0.224743710593204</v>
      </c>
      <c r="G16" s="15" t="n">
        <v>0.390532870033518</v>
      </c>
      <c r="H16" s="16" t="n">
        <v>0.379310344827586</v>
      </c>
    </row>
    <row r="17" customFormat="false" ht="15" hidden="false" customHeight="false" outlineLevel="0" collapsed="false">
      <c r="A17" s="7" t="s">
        <v>20</v>
      </c>
      <c r="B17" s="14" t="n">
        <v>34</v>
      </c>
      <c r="C17" s="10" t="n">
        <v>0.155902849181792</v>
      </c>
      <c r="D17" s="10" t="n">
        <v>0.465636092803156</v>
      </c>
      <c r="E17" s="10" t="n">
        <v>0.309733243621364</v>
      </c>
      <c r="F17" s="15" t="n">
        <v>0.05847757606182</v>
      </c>
      <c r="G17" s="15" t="n">
        <v>0.00351036367150414</v>
      </c>
      <c r="H17" s="16" t="n">
        <v>0.382352941176471</v>
      </c>
    </row>
    <row r="18" customFormat="false" ht="15" hidden="false" customHeight="false" outlineLevel="0" collapsed="false">
      <c r="A18" s="7" t="s">
        <v>21</v>
      </c>
      <c r="B18" s="14" t="n">
        <v>29</v>
      </c>
      <c r="C18" s="10" t="n">
        <v>33.3516037602215</v>
      </c>
      <c r="D18" s="10" t="n">
        <v>41.5260912069057</v>
      </c>
      <c r="E18" s="10" t="n">
        <v>8.1744874466842</v>
      </c>
      <c r="F18" s="15" t="n">
        <v>0.0580944406591874</v>
      </c>
      <c r="G18" s="15" t="n">
        <v>0.00152736157178879</v>
      </c>
      <c r="H18" s="16" t="n">
        <v>0.827586206896552</v>
      </c>
    </row>
    <row r="19" customFormat="false" ht="15" hidden="false" customHeight="false" outlineLevel="0" collapsed="false">
      <c r="A19" s="1" t="s">
        <v>22</v>
      </c>
    </row>
    <row r="20" customFormat="false" ht="15" hidden="false" customHeight="false" outlineLevel="0" collapsed="false">
      <c r="A20" s="7" t="s">
        <v>23</v>
      </c>
      <c r="B20" s="14" t="n">
        <v>34</v>
      </c>
      <c r="C20" s="10" t="n">
        <v>15.0147470588235</v>
      </c>
      <c r="D20" s="10" t="n">
        <v>18.9042843137255</v>
      </c>
      <c r="E20" s="10" t="n">
        <v>3.88953725490196</v>
      </c>
      <c r="F20" s="15" t="n">
        <v>0.00433965142470186</v>
      </c>
      <c r="G20" s="15" t="n">
        <v>0.0120584228470165</v>
      </c>
      <c r="H20" s="16" t="n">
        <v>0.647058823529412</v>
      </c>
    </row>
    <row r="21" customFormat="false" ht="15" hidden="false" customHeight="false" outlineLevel="0" collapsed="false">
      <c r="A21" s="7" t="s">
        <v>24</v>
      </c>
      <c r="B21" s="14" t="n">
        <v>34</v>
      </c>
      <c r="C21" s="10" t="n">
        <v>5.4248331232493</v>
      </c>
      <c r="D21" s="10" t="n">
        <v>6.23830294117647</v>
      </c>
      <c r="E21" s="10" t="n">
        <v>0.81346981792717</v>
      </c>
      <c r="F21" s="15" t="n">
        <v>0.136006083731315</v>
      </c>
      <c r="G21" s="15" t="n">
        <v>0.198610209945546</v>
      </c>
      <c r="H21" s="16" t="n">
        <v>0.558823529411765</v>
      </c>
    </row>
    <row r="22" customFormat="false" ht="15" hidden="false" customHeight="false" outlineLevel="0" collapsed="false">
      <c r="A22" s="17" t="s">
        <v>25</v>
      </c>
      <c r="B22" s="18" t="n">
        <v>34</v>
      </c>
      <c r="C22" s="19" t="n">
        <v>3.28150910364146</v>
      </c>
      <c r="D22" s="19" t="n">
        <v>4.34427818627451</v>
      </c>
      <c r="E22" s="19" t="n">
        <v>1.06276908263305</v>
      </c>
      <c r="F22" s="20" t="n">
        <v>0.146166909717303</v>
      </c>
      <c r="G22" s="20" t="n">
        <v>0.156955188622627</v>
      </c>
      <c r="H22" s="21" t="n">
        <v>0.352941176470588</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3" min="3" style="0" width="30"/>
    <col collapsed="false" customWidth="true" hidden="false" outlineLevel="0" max="4" min="4" style="0" width="20"/>
  </cols>
  <sheetData>
    <row r="1" customFormat="false" ht="15" hidden="false" customHeight="false" outlineLevel="0" collapsed="false">
      <c r="A1" s="22" t="s">
        <v>42</v>
      </c>
    </row>
    <row r="3" customFormat="false" ht="15" hidden="false" customHeight="false" outlineLevel="0" collapsed="false">
      <c r="A3" s="1" t="s">
        <v>43</v>
      </c>
      <c r="B3" s="1" t="s">
        <v>44</v>
      </c>
      <c r="C3" s="1" t="s">
        <v>45</v>
      </c>
      <c r="D3" s="1" t="s">
        <v>46</v>
      </c>
      <c r="E3" s="1" t="s">
        <v>47</v>
      </c>
      <c r="F3" s="1" t="s">
        <v>48</v>
      </c>
      <c r="G3" s="1" t="s">
        <v>49</v>
      </c>
      <c r="H3" s="1" t="s">
        <v>50</v>
      </c>
      <c r="I3" s="1" t="s">
        <v>51</v>
      </c>
    </row>
    <row r="4" customFormat="false" ht="15" hidden="false" customHeight="false" outlineLevel="0" collapsed="false">
      <c r="A4" s="7" t="s">
        <v>52</v>
      </c>
      <c r="B4" s="7" t="s">
        <v>10</v>
      </c>
      <c r="C4" s="7" t="s">
        <v>53</v>
      </c>
      <c r="D4" s="7" t="s">
        <v>54</v>
      </c>
      <c r="E4" s="23" t="n">
        <v>-0.648012354668406</v>
      </c>
      <c r="F4" s="23" t="n">
        <v>0.218670224675043</v>
      </c>
      <c r="G4" s="24" t="n">
        <v>19</v>
      </c>
      <c r="H4" s="25" t="n">
        <f aca="false">IF(AND(ISNUMBER(E4),F4&gt;0),E4/F4,"")</f>
        <v>-2.96342291517462</v>
      </c>
      <c r="I4" s="25" t="n">
        <f aca="false">IF(H4="","",TDIST(ABS(H4),G4-1,2))</f>
        <v>0.00832089765173173</v>
      </c>
    </row>
    <row r="5" customFormat="false" ht="15" hidden="false" customHeight="false" outlineLevel="0" collapsed="false">
      <c r="A5" s="7" t="s">
        <v>52</v>
      </c>
      <c r="B5" s="7" t="s">
        <v>10</v>
      </c>
      <c r="C5" s="7" t="s">
        <v>53</v>
      </c>
      <c r="D5" s="7" t="s">
        <v>55</v>
      </c>
      <c r="E5" s="23" t="n">
        <v>-0.529488326862772</v>
      </c>
      <c r="F5" s="23" t="n">
        <v>0.227896932267507</v>
      </c>
      <c r="G5" s="24" t="n">
        <v>19</v>
      </c>
      <c r="H5" s="25" t="n">
        <f aca="false">IF(AND(ISNUMBER(E5),F5&gt;0),E5/F5,"")</f>
        <v>-2.32336750475103</v>
      </c>
      <c r="I5" s="25" t="n">
        <f aca="false">IF(H5="","",TDIST(ABS(H5),G5-1,2))</f>
        <v>0.0320721839982955</v>
      </c>
    </row>
    <row r="6" customFormat="false" ht="15" hidden="false" customHeight="false" outlineLevel="0" collapsed="false">
      <c r="A6" s="7" t="s">
        <v>52</v>
      </c>
      <c r="B6" s="7" t="s">
        <v>10</v>
      </c>
      <c r="C6" s="7" t="s">
        <v>53</v>
      </c>
      <c r="D6" s="7" t="s">
        <v>56</v>
      </c>
      <c r="E6" s="23" t="n">
        <v>0.118524027805634</v>
      </c>
      <c r="F6" s="23" t="n">
        <v>0.203207106950267</v>
      </c>
      <c r="G6" s="24" t="n">
        <v>19</v>
      </c>
      <c r="H6" s="25" t="n">
        <f aca="false">IF(AND(ISNUMBER(E6),F6&gt;0),E6/F6,"")</f>
        <v>0.583267138558504</v>
      </c>
      <c r="I6" s="25" t="n">
        <f aca="false">IF(H6="","",TDIST(ABS(H6),G6-1,2))</f>
        <v>0.566950395842391</v>
      </c>
    </row>
    <row r="7" customFormat="false" ht="15" hidden="false" customHeight="false" outlineLevel="0" collapsed="false">
      <c r="A7" s="7" t="s">
        <v>52</v>
      </c>
      <c r="B7" s="7" t="s">
        <v>10</v>
      </c>
      <c r="C7" s="7" t="s">
        <v>57</v>
      </c>
      <c r="D7" s="7" t="s">
        <v>56</v>
      </c>
      <c r="E7" s="23" t="n">
        <v>0.284774458437187</v>
      </c>
      <c r="F7" s="23" t="n">
        <v>0.201924115681347</v>
      </c>
      <c r="G7" s="24" t="n">
        <v>19</v>
      </c>
      <c r="H7" s="25" t="n">
        <f aca="false">IF(AND(ISNUMBER(E7),F7&gt;0),E7/F7,"")</f>
        <v>1.41030434862265</v>
      </c>
      <c r="I7" s="25" t="n">
        <f aca="false">IF(H7="","",TDIST(ABS(H7),G7-1,2))</f>
        <v>0.17549704879805</v>
      </c>
    </row>
    <row r="8" customFormat="false" ht="15" hidden="false" customHeight="false" outlineLevel="0" collapsed="false">
      <c r="A8" s="7" t="s">
        <v>52</v>
      </c>
      <c r="B8" s="7" t="s">
        <v>11</v>
      </c>
      <c r="C8" s="7" t="s">
        <v>53</v>
      </c>
      <c r="D8" s="7" t="s">
        <v>54</v>
      </c>
      <c r="E8" s="23" t="n">
        <v>-0.68125819776548</v>
      </c>
      <c r="F8" s="23" t="n">
        <v>0.231925251130818</v>
      </c>
      <c r="G8" s="24" t="n">
        <v>19</v>
      </c>
      <c r="H8" s="25" t="n">
        <f aca="false">IF(AND(ISNUMBER(E8),F8&gt;0),E8/F8,"")</f>
        <v>-2.93740416122785</v>
      </c>
      <c r="I8" s="25" t="n">
        <f aca="false">IF(H8="","",TDIST(ABS(H8),G8-1,2))</f>
        <v>0.00880364206135571</v>
      </c>
    </row>
    <row r="9" customFormat="false" ht="15" hidden="false" customHeight="false" outlineLevel="0" collapsed="false">
      <c r="A9" s="7" t="s">
        <v>52</v>
      </c>
      <c r="B9" s="7" t="s">
        <v>11</v>
      </c>
      <c r="C9" s="7" t="s">
        <v>53</v>
      </c>
      <c r="D9" s="7" t="s">
        <v>55</v>
      </c>
      <c r="E9" s="23" t="n">
        <v>-0.307088325366586</v>
      </c>
      <c r="F9" s="23" t="n">
        <v>0.174284790705904</v>
      </c>
      <c r="G9" s="24" t="n">
        <v>19</v>
      </c>
      <c r="H9" s="25" t="n">
        <f aca="false">IF(AND(ISNUMBER(E9),F9&gt;0),E9/F9,"")</f>
        <v>-1.76199153192191</v>
      </c>
      <c r="I9" s="25" t="n">
        <f aca="false">IF(H9="","",TDIST(ABS(H9),G9-1,2))</f>
        <v>0.0950446725974446</v>
      </c>
    </row>
    <row r="10" customFormat="false" ht="15" hidden="false" customHeight="false" outlineLevel="0" collapsed="false">
      <c r="A10" s="7" t="s">
        <v>52</v>
      </c>
      <c r="B10" s="7" t="s">
        <v>11</v>
      </c>
      <c r="C10" s="7" t="s">
        <v>53</v>
      </c>
      <c r="D10" s="7" t="s">
        <v>56</v>
      </c>
      <c r="E10" s="23" t="n">
        <v>0.374169872398893</v>
      </c>
      <c r="F10" s="23" t="n">
        <v>0.180676627742915</v>
      </c>
      <c r="G10" s="24" t="n">
        <v>19</v>
      </c>
      <c r="H10" s="25" t="n">
        <f aca="false">IF(AND(ISNUMBER(E10),F10&gt;0),E10/F10,"")</f>
        <v>2.07093677291398</v>
      </c>
      <c r="I10" s="25" t="n">
        <f aca="false">IF(H10="","",TDIST(ABS(H10),G10-1,2))</f>
        <v>0.053017247084242</v>
      </c>
    </row>
    <row r="11" customFormat="false" ht="15" hidden="false" customHeight="false" outlineLevel="0" collapsed="false">
      <c r="A11" s="7" t="s">
        <v>52</v>
      </c>
      <c r="B11" s="7" t="s">
        <v>11</v>
      </c>
      <c r="C11" s="7" t="s">
        <v>57</v>
      </c>
      <c r="D11" s="7" t="s">
        <v>56</v>
      </c>
      <c r="E11" s="23" t="n">
        <v>0.445622177278171</v>
      </c>
      <c r="F11" s="23" t="n">
        <v>0.221233534129053</v>
      </c>
      <c r="G11" s="24" t="n">
        <v>19</v>
      </c>
      <c r="H11" s="25" t="n">
        <f aca="false">IF(AND(ISNUMBER(E11),F11&gt;0),E11/F11,"")</f>
        <v>2.0142614411169</v>
      </c>
      <c r="I11" s="25" t="n">
        <f aca="false">IF(H11="","",TDIST(ABS(H11),G11-1,2))</f>
        <v>0.0591740548555222</v>
      </c>
    </row>
    <row r="12" customFormat="false" ht="15" hidden="false" customHeight="false" outlineLevel="0" collapsed="false">
      <c r="A12" s="7" t="s">
        <v>52</v>
      </c>
      <c r="B12" s="7" t="s">
        <v>13</v>
      </c>
      <c r="C12" s="7" t="s">
        <v>53</v>
      </c>
      <c r="D12" s="7" t="s">
        <v>54</v>
      </c>
      <c r="E12" s="23" t="n">
        <v>-0.0287157403445411</v>
      </c>
      <c r="F12" s="23" t="n">
        <v>0.0517603521473158</v>
      </c>
      <c r="G12" s="24" t="n">
        <v>19</v>
      </c>
      <c r="H12" s="25" t="n">
        <f aca="false">IF(AND(ISNUMBER(E12),F12&gt;0),E12/F12,"")</f>
        <v>-0.554782553696947</v>
      </c>
      <c r="I12" s="25" t="n">
        <f aca="false">IF(H12="","",TDIST(ABS(H12),G12-1,2))</f>
        <v>0.585871878339794</v>
      </c>
    </row>
    <row r="13" customFormat="false" ht="15" hidden="false" customHeight="false" outlineLevel="0" collapsed="false">
      <c r="A13" s="7" t="s">
        <v>52</v>
      </c>
      <c r="B13" s="7" t="s">
        <v>13</v>
      </c>
      <c r="C13" s="7" t="s">
        <v>53</v>
      </c>
      <c r="D13" s="7" t="s">
        <v>55</v>
      </c>
      <c r="E13" s="23" t="n">
        <v>-0.0433114067551132</v>
      </c>
      <c r="F13" s="23" t="n">
        <v>0.0443321793811139</v>
      </c>
      <c r="G13" s="24" t="n">
        <v>19</v>
      </c>
      <c r="H13" s="25" t="n">
        <f aca="false">IF(AND(ISNUMBER(E13),F13&gt;0),E13/F13,"")</f>
        <v>-0.976974454216985</v>
      </c>
      <c r="I13" s="25" t="n">
        <f aca="false">IF(H13="","",TDIST(ABS(H13),G13-1,2))</f>
        <v>0.3415303630651</v>
      </c>
    </row>
    <row r="14" customFormat="false" ht="15" hidden="false" customHeight="false" outlineLevel="0" collapsed="false">
      <c r="A14" s="7" t="s">
        <v>52</v>
      </c>
      <c r="B14" s="7" t="s">
        <v>13</v>
      </c>
      <c r="C14" s="7" t="s">
        <v>53</v>
      </c>
      <c r="D14" s="7" t="s">
        <v>56</v>
      </c>
      <c r="E14" s="23" t="n">
        <v>-0.0145956664105721</v>
      </c>
      <c r="F14" s="23" t="n">
        <v>0.0413025804070126</v>
      </c>
      <c r="G14" s="24" t="n">
        <v>19</v>
      </c>
      <c r="H14" s="25" t="n">
        <f aca="false">IF(AND(ISNUMBER(E14),F14&gt;0),E14/F14,"")</f>
        <v>-0.353383887077767</v>
      </c>
      <c r="I14" s="25" t="n">
        <f aca="false">IF(H14="","",TDIST(ABS(H14),G14-1,2))</f>
        <v>0.727905650598924</v>
      </c>
    </row>
    <row r="15" customFormat="false" ht="15" hidden="false" customHeight="false" outlineLevel="0" collapsed="false">
      <c r="A15" s="7" t="s">
        <v>52</v>
      </c>
      <c r="B15" s="7" t="s">
        <v>13</v>
      </c>
      <c r="C15" s="7" t="s">
        <v>57</v>
      </c>
      <c r="D15" s="7" t="s">
        <v>56</v>
      </c>
      <c r="E15" s="23" t="n">
        <v>0.00377019399309305</v>
      </c>
      <c r="F15" s="23" t="n">
        <v>0.0380770033688015</v>
      </c>
      <c r="G15" s="24" t="n">
        <v>19</v>
      </c>
      <c r="H15" s="25" t="n">
        <f aca="false">IF(AND(ISNUMBER(E15),F15&gt;0),E15/F15,"")</f>
        <v>0.0990149869877148</v>
      </c>
      <c r="I15" s="25" t="n">
        <f aca="false">IF(H15="","",TDIST(ABS(H15),G15-1,2))</f>
        <v>0.922220741312971</v>
      </c>
    </row>
    <row r="16" customFormat="false" ht="15" hidden="false" customHeight="false" outlineLevel="0" collapsed="false">
      <c r="A16" s="7" t="s">
        <v>52</v>
      </c>
      <c r="B16" s="7" t="s">
        <v>14</v>
      </c>
      <c r="C16" s="7" t="s">
        <v>53</v>
      </c>
      <c r="D16" s="7" t="s">
        <v>54</v>
      </c>
      <c r="E16" s="23" t="n">
        <v>-0.0843091127522395</v>
      </c>
      <c r="F16" s="23" t="n">
        <v>0.0495739217675393</v>
      </c>
      <c r="G16" s="24" t="n">
        <v>19</v>
      </c>
      <c r="H16" s="25" t="n">
        <f aca="false">IF(AND(ISNUMBER(E16),F16&gt;0),E16/F16,"")</f>
        <v>-1.70067466414256</v>
      </c>
      <c r="I16" s="25" t="n">
        <f aca="false">IF(H16="","",TDIST(ABS(H16),G16-1,2))</f>
        <v>0.106216085263739</v>
      </c>
    </row>
    <row r="17" customFormat="false" ht="15" hidden="false" customHeight="false" outlineLevel="0" collapsed="false">
      <c r="A17" s="7" t="s">
        <v>52</v>
      </c>
      <c r="B17" s="7" t="s">
        <v>14</v>
      </c>
      <c r="C17" s="7" t="s">
        <v>53</v>
      </c>
      <c r="D17" s="7" t="s">
        <v>55</v>
      </c>
      <c r="E17" s="23" t="n">
        <v>-0.102081939761814</v>
      </c>
      <c r="F17" s="23" t="n">
        <v>0.0412101281883255</v>
      </c>
      <c r="G17" s="24" t="n">
        <v>19</v>
      </c>
      <c r="H17" s="25" t="n">
        <f aca="false">IF(AND(ISNUMBER(E17),F17&gt;0),E17/F17,"")</f>
        <v>-2.4771080375026</v>
      </c>
      <c r="I17" s="25" t="n">
        <f aca="false">IF(H17="","",TDIST(ABS(H17),G17-1,2))</f>
        <v>0.0233936460644898</v>
      </c>
    </row>
    <row r="18" customFormat="false" ht="15" hidden="false" customHeight="false" outlineLevel="0" collapsed="false">
      <c r="A18" s="7" t="s">
        <v>52</v>
      </c>
      <c r="B18" s="7" t="s">
        <v>14</v>
      </c>
      <c r="C18" s="7" t="s">
        <v>53</v>
      </c>
      <c r="D18" s="7" t="s">
        <v>56</v>
      </c>
      <c r="E18" s="23" t="n">
        <v>-0.017772827009574</v>
      </c>
      <c r="F18" s="23" t="n">
        <v>0.0355847040451631</v>
      </c>
      <c r="G18" s="24" t="n">
        <v>19</v>
      </c>
      <c r="H18" s="25" t="n">
        <f aca="false">IF(AND(ISNUMBER(E18),F18&gt;0),E18/F18,"")</f>
        <v>-0.499451308826884</v>
      </c>
      <c r="I18" s="25" t="n">
        <f aca="false">IF(H18="","",TDIST(ABS(H18),G18-1,2))</f>
        <v>0.623511242324745</v>
      </c>
    </row>
    <row r="19" customFormat="false" ht="15" hidden="false" customHeight="false" outlineLevel="0" collapsed="false">
      <c r="A19" s="7" t="s">
        <v>52</v>
      </c>
      <c r="B19" s="7" t="s">
        <v>14</v>
      </c>
      <c r="C19" s="7" t="s">
        <v>57</v>
      </c>
      <c r="D19" s="7" t="s">
        <v>56</v>
      </c>
      <c r="E19" s="23" t="n">
        <v>0.0189735201718125</v>
      </c>
      <c r="F19" s="23" t="n">
        <v>0.0331761008438884</v>
      </c>
      <c r="G19" s="24" t="n">
        <v>19</v>
      </c>
      <c r="H19" s="25" t="n">
        <f aca="false">IF(AND(ISNUMBER(E19),F19&gt;0),E19/F19,"")</f>
        <v>0.571903258345313</v>
      </c>
      <c r="I19" s="25" t="n">
        <f aca="false">IF(H19="","",TDIST(ABS(H19),G19-1,2))</f>
        <v>0.574460925127577</v>
      </c>
    </row>
    <row r="20" customFormat="false" ht="15" hidden="false" customHeight="false" outlineLevel="0" collapsed="false">
      <c r="A20" s="7" t="s">
        <v>52</v>
      </c>
      <c r="B20" s="7" t="s">
        <v>16</v>
      </c>
      <c r="C20" s="7" t="s">
        <v>53</v>
      </c>
      <c r="D20" s="7" t="s">
        <v>54</v>
      </c>
      <c r="E20" s="23" t="n">
        <v>-0.0300667287707187</v>
      </c>
      <c r="F20" s="23" t="n">
        <v>0.0510787592253258</v>
      </c>
      <c r="G20" s="24" t="n">
        <v>19</v>
      </c>
      <c r="H20" s="25" t="n">
        <f aca="false">IF(AND(ISNUMBER(E20),F20&gt;0),E20/F20,"")</f>
        <v>-0.588634673721891</v>
      </c>
      <c r="I20" s="25" t="n">
        <f aca="false">IF(H20="","",TDIST(ABS(H20),G20-1,2))</f>
        <v>0.563420758803602</v>
      </c>
    </row>
    <row r="21" customFormat="false" ht="15" hidden="false" customHeight="false" outlineLevel="0" collapsed="false">
      <c r="A21" s="7" t="s">
        <v>52</v>
      </c>
      <c r="B21" s="7" t="s">
        <v>16</v>
      </c>
      <c r="C21" s="7" t="s">
        <v>53</v>
      </c>
      <c r="D21" s="7" t="s">
        <v>55</v>
      </c>
      <c r="E21" s="23" t="n">
        <v>-0.0353253780265495</v>
      </c>
      <c r="F21" s="23" t="n">
        <v>0.0531291923679767</v>
      </c>
      <c r="G21" s="24" t="n">
        <v>19</v>
      </c>
      <c r="H21" s="25" t="n">
        <f aca="false">IF(AND(ISNUMBER(E21),F21&gt;0),E21/F21,"")</f>
        <v>-0.66489582190302</v>
      </c>
      <c r="I21" s="25" t="n">
        <f aca="false">IF(H21="","",TDIST(ABS(H21),G21-1,2))</f>
        <v>0.514546393576444</v>
      </c>
    </row>
    <row r="22" customFormat="false" ht="15" hidden="false" customHeight="false" outlineLevel="0" collapsed="false">
      <c r="A22" s="7" t="s">
        <v>52</v>
      </c>
      <c r="B22" s="7" t="s">
        <v>16</v>
      </c>
      <c r="C22" s="7" t="s">
        <v>53</v>
      </c>
      <c r="D22" s="7" t="s">
        <v>56</v>
      </c>
      <c r="E22" s="23" t="n">
        <v>-0.00525864925583086</v>
      </c>
      <c r="F22" s="23" t="n">
        <v>0.0176741790055916</v>
      </c>
      <c r="G22" s="24" t="n">
        <v>19</v>
      </c>
      <c r="H22" s="25" t="n">
        <f aca="false">IF(AND(ISNUMBER(E22),F22&gt;0),E22/F22,"")</f>
        <v>-0.297532872908393</v>
      </c>
      <c r="I22" s="25" t="n">
        <f aca="false">IF(H22="","",TDIST(ABS(H22),G22-1,2))</f>
        <v>0.769466345591858</v>
      </c>
    </row>
    <row r="23" customFormat="false" ht="15" hidden="false" customHeight="false" outlineLevel="0" collapsed="false">
      <c r="A23" s="7" t="s">
        <v>52</v>
      </c>
      <c r="B23" s="7" t="s">
        <v>16</v>
      </c>
      <c r="C23" s="7" t="s">
        <v>57</v>
      </c>
      <c r="D23" s="7" t="s">
        <v>56</v>
      </c>
      <c r="E23" s="23" t="n">
        <v>-0.0193061619840694</v>
      </c>
      <c r="F23" s="23" t="n">
        <v>0.0185657475444261</v>
      </c>
      <c r="G23" s="24" t="n">
        <v>19</v>
      </c>
      <c r="H23" s="25" t="n">
        <f aca="false">IF(AND(ISNUMBER(E23),F23&gt;0),E23/F23,"")</f>
        <v>-1.0398806693817</v>
      </c>
      <c r="I23" s="25" t="n">
        <f aca="false">IF(H23="","",TDIST(ABS(H23),G23-1,2))</f>
        <v>0.312162700084963</v>
      </c>
    </row>
    <row r="24" customFormat="false" ht="15" hidden="false" customHeight="false" outlineLevel="0" collapsed="false">
      <c r="A24" s="7" t="s">
        <v>52</v>
      </c>
      <c r="B24" s="7" t="s">
        <v>17</v>
      </c>
      <c r="C24" s="7" t="s">
        <v>53</v>
      </c>
      <c r="D24" s="7" t="s">
        <v>54</v>
      </c>
      <c r="E24" s="23" t="n">
        <v>0.0610694247197579</v>
      </c>
      <c r="F24" s="23" t="n">
        <v>0.0467406539757573</v>
      </c>
      <c r="G24" s="24" t="n">
        <v>19</v>
      </c>
      <c r="H24" s="25" t="n">
        <f aca="false">IF(AND(ISNUMBER(E24),F24&gt;0),E24/F24,"")</f>
        <v>1.3065590556656</v>
      </c>
      <c r="I24" s="25" t="n">
        <f aca="false">IF(H24="","",TDIST(ABS(H24),G24-1,2))</f>
        <v>0.207811031675129</v>
      </c>
    </row>
    <row r="25" customFormat="false" ht="15" hidden="false" customHeight="false" outlineLevel="0" collapsed="false">
      <c r="A25" s="7" t="s">
        <v>52</v>
      </c>
      <c r="B25" s="7" t="s">
        <v>17</v>
      </c>
      <c r="C25" s="7" t="s">
        <v>53</v>
      </c>
      <c r="D25" s="7" t="s">
        <v>55</v>
      </c>
      <c r="E25" s="23" t="n">
        <v>0.0212213918260511</v>
      </c>
      <c r="F25" s="23" t="n">
        <v>0.0430802923747392</v>
      </c>
      <c r="G25" s="24" t="n">
        <v>19</v>
      </c>
      <c r="H25" s="25" t="n">
        <f aca="false">IF(AND(ISNUMBER(E25),F25&gt;0),E25/F25,"")</f>
        <v>0.492600923908647</v>
      </c>
      <c r="I25" s="25" t="n">
        <f aca="false">IF(H25="","",TDIST(ABS(H25),G25-1,2))</f>
        <v>0.628249428031476</v>
      </c>
    </row>
    <row r="26" customFormat="false" ht="15" hidden="false" customHeight="false" outlineLevel="0" collapsed="false">
      <c r="A26" s="7" t="s">
        <v>52</v>
      </c>
      <c r="B26" s="7" t="s">
        <v>17</v>
      </c>
      <c r="C26" s="7" t="s">
        <v>53</v>
      </c>
      <c r="D26" s="7" t="s">
        <v>56</v>
      </c>
      <c r="E26" s="23" t="n">
        <v>-0.0398480328937068</v>
      </c>
      <c r="F26" s="23" t="n">
        <v>0.0312241077661383</v>
      </c>
      <c r="G26" s="24" t="n">
        <v>19</v>
      </c>
      <c r="H26" s="25" t="n">
        <f aca="false">IF(AND(ISNUMBER(E26),F26&gt;0),E26/F26,"")</f>
        <v>-1.27619444539968</v>
      </c>
      <c r="I26" s="25" t="n">
        <f aca="false">IF(H26="","",TDIST(ABS(H26),G26-1,2))</f>
        <v>0.218108514582578</v>
      </c>
    </row>
    <row r="27" customFormat="false" ht="15" hidden="false" customHeight="false" outlineLevel="0" collapsed="false">
      <c r="A27" s="7" t="s">
        <v>52</v>
      </c>
      <c r="B27" s="7" t="s">
        <v>17</v>
      </c>
      <c r="C27" s="7" t="s">
        <v>57</v>
      </c>
      <c r="D27" s="7" t="s">
        <v>56</v>
      </c>
      <c r="E27" s="23" t="n">
        <v>-0.0253418218120641</v>
      </c>
      <c r="F27" s="23" t="n">
        <v>0.0316888668894689</v>
      </c>
      <c r="G27" s="24" t="n">
        <v>19</v>
      </c>
      <c r="H27" s="25" t="n">
        <f aca="false">IF(AND(ISNUMBER(E27),F27&gt;0),E27/F27,"")</f>
        <v>-0.799707414608942</v>
      </c>
      <c r="I27" s="25" t="n">
        <f aca="false">IF(H27="","",TDIST(ABS(H27),G27-1,2))</f>
        <v>0.434307739892419</v>
      </c>
    </row>
    <row r="28" customFormat="false" ht="15" hidden="false" customHeight="false" outlineLevel="0" collapsed="false">
      <c r="A28" s="7" t="s">
        <v>52</v>
      </c>
      <c r="B28" s="7" t="s">
        <v>18</v>
      </c>
      <c r="C28" s="7" t="s">
        <v>53</v>
      </c>
      <c r="D28" s="7" t="s">
        <v>54</v>
      </c>
      <c r="E28" s="23" t="n">
        <v>-0.210702531952861</v>
      </c>
      <c r="F28" s="23" t="n">
        <v>0.177601570787788</v>
      </c>
      <c r="G28" s="24" t="n">
        <v>19</v>
      </c>
      <c r="H28" s="25" t="n">
        <f aca="false">IF(AND(ISNUMBER(E28),F28&gt;0),E28/F28,"")</f>
        <v>-1.18637763741755</v>
      </c>
      <c r="I28" s="25" t="n">
        <f aca="false">IF(H28="","",TDIST(ABS(H28),G28-1,2))</f>
        <v>0.250896962001117</v>
      </c>
    </row>
    <row r="29" customFormat="false" ht="15" hidden="false" customHeight="false" outlineLevel="0" collapsed="false">
      <c r="A29" s="7" t="s">
        <v>52</v>
      </c>
      <c r="B29" s="7" t="s">
        <v>18</v>
      </c>
      <c r="C29" s="7" t="s">
        <v>53</v>
      </c>
      <c r="D29" s="7" t="s">
        <v>55</v>
      </c>
      <c r="E29" s="23" t="n">
        <v>-0.146468897617654</v>
      </c>
      <c r="F29" s="23" t="n">
        <v>0.174472408997217</v>
      </c>
      <c r="G29" s="24" t="n">
        <v>19</v>
      </c>
      <c r="H29" s="25" t="n">
        <f aca="false">IF(AND(ISNUMBER(E29),F29&gt;0),E29/F29,"")</f>
        <v>-0.839496046735904</v>
      </c>
      <c r="I29" s="25" t="n">
        <f aca="false">IF(H29="","",TDIST(ABS(H29),G29-1,2))</f>
        <v>0.412202516853952</v>
      </c>
    </row>
    <row r="30" customFormat="false" ht="15" hidden="false" customHeight="false" outlineLevel="0" collapsed="false">
      <c r="A30" s="7" t="s">
        <v>52</v>
      </c>
      <c r="B30" s="7" t="s">
        <v>18</v>
      </c>
      <c r="C30" s="7" t="s">
        <v>53</v>
      </c>
      <c r="D30" s="7" t="s">
        <v>56</v>
      </c>
      <c r="E30" s="23" t="n">
        <v>0.0642336343352077</v>
      </c>
      <c r="F30" s="23" t="n">
        <v>0.128329515639077</v>
      </c>
      <c r="G30" s="24" t="n">
        <v>19</v>
      </c>
      <c r="H30" s="25" t="n">
        <f aca="false">IF(AND(ISNUMBER(E30),F30&gt;0),E30/F30,"")</f>
        <v>0.500536716088471</v>
      </c>
      <c r="I30" s="25" t="n">
        <f aca="false">IF(H30="","",TDIST(ABS(H30),G30-1,2))</f>
        <v>0.622762043839521</v>
      </c>
    </row>
    <row r="31" customFormat="false" ht="15" hidden="false" customHeight="false" outlineLevel="0" collapsed="false">
      <c r="A31" s="7" t="s">
        <v>52</v>
      </c>
      <c r="B31" s="7" t="s">
        <v>18</v>
      </c>
      <c r="C31" s="7" t="s">
        <v>57</v>
      </c>
      <c r="D31" s="7" t="s">
        <v>56</v>
      </c>
      <c r="E31" s="23" t="n">
        <v>0.0542028233143514</v>
      </c>
      <c r="F31" s="23" t="n">
        <v>0.127476651865425</v>
      </c>
      <c r="G31" s="24" t="n">
        <v>19</v>
      </c>
      <c r="H31" s="25" t="n">
        <f aca="false">IF(AND(ISNUMBER(E31),F31&gt;0),E31/F31,"")</f>
        <v>0.425198046239654</v>
      </c>
      <c r="I31" s="25" t="n">
        <f aca="false">IF(H31="","",TDIST(ABS(H31),G31-1,2))</f>
        <v>0.675732161145113</v>
      </c>
    </row>
    <row r="32" customFormat="false" ht="15" hidden="false" customHeight="false" outlineLevel="0" collapsed="false">
      <c r="A32" s="7" t="s">
        <v>52</v>
      </c>
      <c r="B32" s="7" t="s">
        <v>19</v>
      </c>
      <c r="C32" s="7" t="s">
        <v>53</v>
      </c>
      <c r="D32" s="7" t="s">
        <v>54</v>
      </c>
      <c r="E32" s="23" t="n">
        <v>0.0226334602876612</v>
      </c>
      <c r="F32" s="23" t="n">
        <v>0.261002157874441</v>
      </c>
      <c r="G32" s="24" t="n">
        <v>19</v>
      </c>
      <c r="H32" s="25" t="n">
        <f aca="false">IF(AND(ISNUMBER(E32),F32&gt;0),E32/F32,"")</f>
        <v>0.0867175216940133</v>
      </c>
      <c r="I32" s="25" t="n">
        <f aca="false">IF(H32="","",TDIST(ABS(H32),G32-1,2))</f>
        <v>0.93185343517372</v>
      </c>
    </row>
    <row r="33" customFormat="false" ht="15" hidden="false" customHeight="false" outlineLevel="0" collapsed="false">
      <c r="A33" s="7" t="s">
        <v>52</v>
      </c>
      <c r="B33" s="7" t="s">
        <v>19</v>
      </c>
      <c r="C33" s="7" t="s">
        <v>53</v>
      </c>
      <c r="D33" s="7" t="s">
        <v>55</v>
      </c>
      <c r="E33" s="23" t="n">
        <v>-0.192833173350811</v>
      </c>
      <c r="F33" s="23" t="n">
        <v>0.300792238492253</v>
      </c>
      <c r="G33" s="24" t="n">
        <v>19</v>
      </c>
      <c r="H33" s="25" t="n">
        <f aca="false">IF(AND(ISNUMBER(E33),F33&gt;0),E33/F33,"")</f>
        <v>-0.641084272378184</v>
      </c>
      <c r="I33" s="25" t="n">
        <f aca="false">IF(H33="","",TDIST(ABS(H33),G33-1,2))</f>
        <v>0.529546643662424</v>
      </c>
    </row>
    <row r="34" customFormat="false" ht="15" hidden="false" customHeight="false" outlineLevel="0" collapsed="false">
      <c r="A34" s="7" t="s">
        <v>52</v>
      </c>
      <c r="B34" s="7" t="s">
        <v>19</v>
      </c>
      <c r="C34" s="7" t="s">
        <v>53</v>
      </c>
      <c r="D34" s="7" t="s">
        <v>56</v>
      </c>
      <c r="E34" s="23" t="n">
        <v>-0.215466633638472</v>
      </c>
      <c r="F34" s="23" t="n">
        <v>0.234186811076785</v>
      </c>
      <c r="G34" s="24" t="n">
        <v>19</v>
      </c>
      <c r="H34" s="25" t="n">
        <f aca="false">IF(AND(ISNUMBER(E34),F34&gt;0),E34/F34,"")</f>
        <v>-0.920063058409488</v>
      </c>
      <c r="I34" s="25" t="n">
        <f aca="false">IF(H34="","",TDIST(ABS(H34),G34-1,2))</f>
        <v>0.369706425537579</v>
      </c>
    </row>
    <row r="35" customFormat="false" ht="15" hidden="false" customHeight="false" outlineLevel="0" collapsed="false">
      <c r="A35" s="7" t="s">
        <v>52</v>
      </c>
      <c r="B35" s="7" t="s">
        <v>19</v>
      </c>
      <c r="C35" s="7" t="s">
        <v>57</v>
      </c>
      <c r="D35" s="7" t="s">
        <v>56</v>
      </c>
      <c r="E35" s="23" t="n">
        <v>-0.224936690470324</v>
      </c>
      <c r="F35" s="23" t="n">
        <v>0.24496033676937</v>
      </c>
      <c r="G35" s="24" t="n">
        <v>19</v>
      </c>
      <c r="H35" s="25" t="n">
        <f aca="false">IF(AND(ISNUMBER(E35),F35&gt;0),E35/F35,"")</f>
        <v>-0.918257598094755</v>
      </c>
      <c r="I35" s="25" t="n">
        <f aca="false">IF(H35="","",TDIST(ABS(H35),G35-1,2))</f>
        <v>0.370625300187155</v>
      </c>
    </row>
    <row r="36" customFormat="false" ht="15" hidden="false" customHeight="false" outlineLevel="0" collapsed="false">
      <c r="A36" s="7" t="s">
        <v>52</v>
      </c>
      <c r="B36" s="7" t="s">
        <v>20</v>
      </c>
      <c r="C36" s="7" t="s">
        <v>53</v>
      </c>
      <c r="D36" s="7" t="s">
        <v>54</v>
      </c>
      <c r="E36" s="23" t="n">
        <v>-0.244160810333085</v>
      </c>
      <c r="F36" s="23" t="n">
        <v>0.303361499920934</v>
      </c>
      <c r="G36" s="24" t="n">
        <v>19</v>
      </c>
      <c r="H36" s="25" t="n">
        <f aca="false">IF(AND(ISNUMBER(E36),F36&gt;0),E36/F36,"")</f>
        <v>-0.804851012395183</v>
      </c>
      <c r="I36" s="25" t="n">
        <f aca="false">IF(H36="","",TDIST(ABS(H36),G36-1,2))</f>
        <v>0.431408911010808</v>
      </c>
    </row>
    <row r="37" customFormat="false" ht="15" hidden="false" customHeight="false" outlineLevel="0" collapsed="false">
      <c r="A37" s="7" t="s">
        <v>52</v>
      </c>
      <c r="B37" s="7" t="s">
        <v>20</v>
      </c>
      <c r="C37" s="7" t="s">
        <v>53</v>
      </c>
      <c r="D37" s="7" t="s">
        <v>55</v>
      </c>
      <c r="E37" s="23" t="n">
        <v>-0.146004284026498</v>
      </c>
      <c r="F37" s="23" t="n">
        <v>0.307465656075781</v>
      </c>
      <c r="G37" s="24" t="n">
        <v>19</v>
      </c>
      <c r="H37" s="25" t="n">
        <f aca="false">IF(AND(ISNUMBER(E37),F37&gt;0),E37/F37,"")</f>
        <v>-0.474863716130013</v>
      </c>
      <c r="I37" s="25" t="n">
        <f aca="false">IF(H37="","",TDIST(ABS(H37),G37-1,2))</f>
        <v>0.640594771084487</v>
      </c>
    </row>
    <row r="38" customFormat="false" ht="15" hidden="false" customHeight="false" outlineLevel="0" collapsed="false">
      <c r="A38" s="7" t="s">
        <v>52</v>
      </c>
      <c r="B38" s="7" t="s">
        <v>20</v>
      </c>
      <c r="C38" s="7" t="s">
        <v>53</v>
      </c>
      <c r="D38" s="7" t="s">
        <v>56</v>
      </c>
      <c r="E38" s="23" t="n">
        <v>0.0981565263065873</v>
      </c>
      <c r="F38" s="23" t="n">
        <v>0.168450119001719</v>
      </c>
      <c r="G38" s="24" t="n">
        <v>19</v>
      </c>
      <c r="H38" s="25" t="n">
        <f aca="false">IF(AND(ISNUMBER(E38),F38&gt;0),E38/F38,"")</f>
        <v>0.582703811005236</v>
      </c>
      <c r="I38" s="25" t="n">
        <f aca="false">IF(H38="","",TDIST(ABS(H38),G38-1,2))</f>
        <v>0.567321500330695</v>
      </c>
    </row>
    <row r="39" customFormat="false" ht="15" hidden="false" customHeight="false" outlineLevel="0" collapsed="false">
      <c r="A39" s="7" t="s">
        <v>52</v>
      </c>
      <c r="B39" s="7" t="s">
        <v>20</v>
      </c>
      <c r="C39" s="7" t="s">
        <v>57</v>
      </c>
      <c r="D39" s="7" t="s">
        <v>56</v>
      </c>
      <c r="E39" s="23" t="n">
        <v>0.303139046271984</v>
      </c>
      <c r="F39" s="23" t="n">
        <v>0.181973162437284</v>
      </c>
      <c r="G39" s="24" t="n">
        <v>19</v>
      </c>
      <c r="H39" s="25" t="n">
        <f aca="false">IF(AND(ISNUMBER(E39),F39&gt;0),E39/F39,"")</f>
        <v>1.66584479937507</v>
      </c>
      <c r="I39" s="25" t="n">
        <f aca="false">IF(H39="","",TDIST(ABS(H39),G39-1,2))</f>
        <v>0.113051656955445</v>
      </c>
    </row>
    <row r="40" customFormat="false" ht="15" hidden="false" customHeight="false" outlineLevel="0" collapsed="false">
      <c r="A40" s="7" t="s">
        <v>52</v>
      </c>
      <c r="B40" s="7" t="s">
        <v>21</v>
      </c>
      <c r="C40" s="7" t="s">
        <v>53</v>
      </c>
      <c r="D40" s="7" t="s">
        <v>54</v>
      </c>
      <c r="E40" s="23" t="n">
        <v>5.26219959762771</v>
      </c>
      <c r="F40" s="23" t="n">
        <v>4.35197593255684</v>
      </c>
      <c r="G40" s="24" t="n">
        <v>19</v>
      </c>
      <c r="H40" s="25" t="n">
        <f aca="false">IF(AND(ISNUMBER(E40),F40&gt;0),E40/F40,"")</f>
        <v>1.20915181498628</v>
      </c>
      <c r="I40" s="25" t="n">
        <f aca="false">IF(H40="","",TDIST(ABS(H40),G40-1,2))</f>
        <v>0.242247860197835</v>
      </c>
    </row>
    <row r="41" customFormat="false" ht="15" hidden="false" customHeight="false" outlineLevel="0" collapsed="false">
      <c r="A41" s="7" t="s">
        <v>52</v>
      </c>
      <c r="B41" s="7" t="s">
        <v>21</v>
      </c>
      <c r="C41" s="7" t="s">
        <v>53</v>
      </c>
      <c r="D41" s="7" t="s">
        <v>55</v>
      </c>
      <c r="E41" s="23" t="n">
        <v>5.40589213074798</v>
      </c>
      <c r="F41" s="23" t="n">
        <v>5.03713719776722</v>
      </c>
      <c r="G41" s="24" t="n">
        <v>19</v>
      </c>
      <c r="H41" s="25" t="n">
        <f aca="false">IF(AND(ISNUMBER(E41),F41&gt;0),E41/F41,"")</f>
        <v>1.07320724421487</v>
      </c>
      <c r="I41" s="25" t="n">
        <f aca="false">IF(H41="","",TDIST(ABS(H41),G41-1,2))</f>
        <v>0.297355871910936</v>
      </c>
    </row>
    <row r="42" customFormat="false" ht="15" hidden="false" customHeight="false" outlineLevel="0" collapsed="false">
      <c r="A42" s="7" t="s">
        <v>52</v>
      </c>
      <c r="B42" s="7" t="s">
        <v>21</v>
      </c>
      <c r="C42" s="7" t="s">
        <v>53</v>
      </c>
      <c r="D42" s="7" t="s">
        <v>56</v>
      </c>
      <c r="E42" s="23" t="n">
        <v>0.143692533120265</v>
      </c>
      <c r="F42" s="23" t="n">
        <v>3.26127160629214</v>
      </c>
      <c r="G42" s="24" t="n">
        <v>19</v>
      </c>
      <c r="H42" s="25" t="n">
        <f aca="false">IF(AND(ISNUMBER(E42),F42&gt;0),E42/F42,"")</f>
        <v>0.0440602778508333</v>
      </c>
      <c r="I42" s="25" t="n">
        <f aca="false">IF(H42="","",TDIST(ABS(H42),G42-1,2))</f>
        <v>0.965341463616735</v>
      </c>
    </row>
    <row r="43" customFormat="false" ht="15" hidden="false" customHeight="false" outlineLevel="0" collapsed="false">
      <c r="A43" s="7" t="s">
        <v>52</v>
      </c>
      <c r="B43" s="7" t="s">
        <v>21</v>
      </c>
      <c r="C43" s="7" t="s">
        <v>57</v>
      </c>
      <c r="D43" s="7" t="s">
        <v>56</v>
      </c>
      <c r="E43" s="23" t="n">
        <v>1.03395290810096</v>
      </c>
      <c r="F43" s="23" t="n">
        <v>3.64295008613024</v>
      </c>
      <c r="G43" s="24" t="n">
        <v>19</v>
      </c>
      <c r="H43" s="25" t="n">
        <f aca="false">IF(AND(ISNUMBER(E43),F43&gt;0),E43/F43,"")</f>
        <v>0.283822968653211</v>
      </c>
      <c r="I43" s="25" t="n">
        <f aca="false">IF(H43="","",TDIST(ABS(H43),G43-1,2))</f>
        <v>0.779784949086241</v>
      </c>
    </row>
    <row r="44" customFormat="false" ht="15" hidden="false" customHeight="false" outlineLevel="0" collapsed="false">
      <c r="A44" s="7" t="s">
        <v>52</v>
      </c>
      <c r="B44" s="7" t="s">
        <v>23</v>
      </c>
      <c r="C44" s="7" t="s">
        <v>53</v>
      </c>
      <c r="D44" s="7" t="s">
        <v>54</v>
      </c>
      <c r="E44" s="23" t="n">
        <v>-3.91423033396503</v>
      </c>
      <c r="F44" s="23" t="n">
        <v>1.68689242597251</v>
      </c>
      <c r="G44" s="24" t="n">
        <v>19</v>
      </c>
      <c r="H44" s="25" t="n">
        <f aca="false">IF(AND(ISNUMBER(E44),F44&gt;0),E44/F44,"")</f>
        <v>-2.32037933996202</v>
      </c>
      <c r="I44" s="25" t="n">
        <f aca="false">IF(H44="","",TDIST(ABS(H44),G44-1,2))</f>
        <v>0.0322673592150457</v>
      </c>
    </row>
    <row r="45" customFormat="false" ht="15" hidden="false" customHeight="false" outlineLevel="0" collapsed="false">
      <c r="A45" s="7" t="s">
        <v>52</v>
      </c>
      <c r="B45" s="7" t="s">
        <v>23</v>
      </c>
      <c r="C45" s="7" t="s">
        <v>53</v>
      </c>
      <c r="D45" s="7" t="s">
        <v>55</v>
      </c>
      <c r="E45" s="23" t="n">
        <v>-2.74523057595558</v>
      </c>
      <c r="F45" s="23" t="n">
        <v>1.74541360138038</v>
      </c>
      <c r="G45" s="24" t="n">
        <v>19</v>
      </c>
      <c r="H45" s="25" t="n">
        <f aca="false">IF(AND(ISNUMBER(E45),F45&gt;0),E45/F45,"")</f>
        <v>-1.57282524542291</v>
      </c>
      <c r="I45" s="25" t="n">
        <f aca="false">IF(H45="","",TDIST(ABS(H45),G45-1,2))</f>
        <v>0.133171449741171</v>
      </c>
    </row>
    <row r="46" customFormat="false" ht="15" hidden="false" customHeight="false" outlineLevel="0" collapsed="false">
      <c r="A46" s="7" t="s">
        <v>52</v>
      </c>
      <c r="B46" s="7" t="s">
        <v>23</v>
      </c>
      <c r="C46" s="7" t="s">
        <v>53</v>
      </c>
      <c r="D46" s="7" t="s">
        <v>56</v>
      </c>
      <c r="E46" s="23" t="n">
        <v>1.16899975800945</v>
      </c>
      <c r="F46" s="23" t="n">
        <v>1.74980199542222</v>
      </c>
      <c r="G46" s="24" t="n">
        <v>19</v>
      </c>
      <c r="H46" s="25" t="n">
        <f aca="false">IF(AND(ISNUMBER(E46),F46&gt;0),E46/F46,"")</f>
        <v>0.668075451432649</v>
      </c>
      <c r="I46" s="25" t="n">
        <f aca="false">IF(H46="","",TDIST(ABS(H46),G46-1,2))</f>
        <v>0.512561635852595</v>
      </c>
    </row>
    <row r="47" customFormat="false" ht="15" hidden="false" customHeight="false" outlineLevel="0" collapsed="false">
      <c r="A47" s="7" t="s">
        <v>52</v>
      </c>
      <c r="B47" s="7" t="s">
        <v>23</v>
      </c>
      <c r="C47" s="7" t="s">
        <v>57</v>
      </c>
      <c r="D47" s="7" t="s">
        <v>56</v>
      </c>
      <c r="E47" s="23" t="n">
        <v>0.423887141895983</v>
      </c>
      <c r="F47" s="23" t="n">
        <v>1.93740789933519</v>
      </c>
      <c r="G47" s="24" t="n">
        <v>19</v>
      </c>
      <c r="H47" s="25" t="n">
        <f aca="false">IF(AND(ISNUMBER(E47),F47&gt;0),E47/F47,"")</f>
        <v>0.218790860737916</v>
      </c>
      <c r="I47" s="25" t="n">
        <f aca="false">IF(H47="","",TDIST(ABS(H47),G47-1,2))</f>
        <v>0.82927455698973</v>
      </c>
    </row>
    <row r="48" customFormat="false" ht="15" hidden="false" customHeight="false" outlineLevel="0" collapsed="false">
      <c r="A48" s="7" t="s">
        <v>52</v>
      </c>
      <c r="B48" s="7" t="s">
        <v>24</v>
      </c>
      <c r="C48" s="7" t="s">
        <v>53</v>
      </c>
      <c r="D48" s="7" t="s">
        <v>54</v>
      </c>
      <c r="E48" s="23" t="n">
        <v>0.529947361743455</v>
      </c>
      <c r="F48" s="23" t="n">
        <v>0.899739562840938</v>
      </c>
      <c r="G48" s="24" t="n">
        <v>19</v>
      </c>
      <c r="H48" s="25" t="n">
        <f aca="false">IF(AND(ISNUMBER(E48),F48&gt;0),E48/F48,"")</f>
        <v>0.589000843833231</v>
      </c>
      <c r="I48" s="25" t="n">
        <f aca="false">IF(H48="","",TDIST(ABS(H48),G48-1,2))</f>
        <v>0.563180388434869</v>
      </c>
    </row>
    <row r="49" customFormat="false" ht="15" hidden="false" customHeight="false" outlineLevel="0" collapsed="false">
      <c r="A49" s="7" t="s">
        <v>52</v>
      </c>
      <c r="B49" s="7" t="s">
        <v>24</v>
      </c>
      <c r="C49" s="7" t="s">
        <v>53</v>
      </c>
      <c r="D49" s="7" t="s">
        <v>55</v>
      </c>
      <c r="E49" s="23" t="n">
        <v>0.325744098171658</v>
      </c>
      <c r="F49" s="23" t="n">
        <v>0.78639205190891</v>
      </c>
      <c r="G49" s="24" t="n">
        <v>19</v>
      </c>
      <c r="H49" s="25" t="n">
        <f aca="false">IF(AND(ISNUMBER(E49),F49&gt;0),E49/F49,"")</f>
        <v>0.414226081483069</v>
      </c>
      <c r="I49" s="25" t="n">
        <f aca="false">IF(H49="","",TDIST(ABS(H49),G49-1,2))</f>
        <v>0.683602850592945</v>
      </c>
    </row>
    <row r="50" customFormat="false" ht="15" hidden="false" customHeight="false" outlineLevel="0" collapsed="false">
      <c r="A50" s="7" t="s">
        <v>52</v>
      </c>
      <c r="B50" s="7" t="s">
        <v>24</v>
      </c>
      <c r="C50" s="7" t="s">
        <v>53</v>
      </c>
      <c r="D50" s="7" t="s">
        <v>56</v>
      </c>
      <c r="E50" s="23" t="n">
        <v>-0.204203263571797</v>
      </c>
      <c r="F50" s="23" t="n">
        <v>0.715517563251543</v>
      </c>
      <c r="G50" s="24" t="n">
        <v>19</v>
      </c>
      <c r="H50" s="25" t="n">
        <f aca="false">IF(AND(ISNUMBER(E50),F50&gt;0),E50/F50,"")</f>
        <v>-0.285392384561228</v>
      </c>
      <c r="I50" s="25" t="n">
        <f aca="false">IF(H50="","",TDIST(ABS(H50),G50-1,2))</f>
        <v>0.778601568326923</v>
      </c>
    </row>
    <row r="51" customFormat="false" ht="15" hidden="false" customHeight="false" outlineLevel="0" collapsed="false">
      <c r="A51" s="7" t="s">
        <v>52</v>
      </c>
      <c r="B51" s="7" t="s">
        <v>24</v>
      </c>
      <c r="C51" s="7" t="s">
        <v>57</v>
      </c>
      <c r="D51" s="7" t="s">
        <v>56</v>
      </c>
      <c r="E51" s="23" t="n">
        <v>0.260500089294516</v>
      </c>
      <c r="F51" s="23" t="n">
        <v>0.645749191213531</v>
      </c>
      <c r="G51" s="24" t="n">
        <v>19</v>
      </c>
      <c r="H51" s="25" t="n">
        <f aca="false">IF(AND(ISNUMBER(E51),F51&gt;0),E51/F51,"")</f>
        <v>0.403407534750401</v>
      </c>
      <c r="I51" s="25" t="n">
        <f aca="false">IF(H51="","",TDIST(ABS(H51),G51-1,2))</f>
        <v>0.691400197851137</v>
      </c>
    </row>
    <row r="52" customFormat="false" ht="15" hidden="false" customHeight="false" outlineLevel="0" collapsed="false">
      <c r="A52" s="7" t="s">
        <v>52</v>
      </c>
      <c r="B52" s="7" t="s">
        <v>25</v>
      </c>
      <c r="C52" s="7" t="s">
        <v>53</v>
      </c>
      <c r="D52" s="7" t="s">
        <v>54</v>
      </c>
      <c r="E52" s="23" t="n">
        <v>-0.992362115362556</v>
      </c>
      <c r="F52" s="23" t="n">
        <v>0.831101015112729</v>
      </c>
      <c r="G52" s="24" t="n">
        <v>19</v>
      </c>
      <c r="H52" s="25" t="n">
        <f aca="false">IF(AND(ISNUMBER(E52),F52&gt;0),E52/F52,"")</f>
        <v>-1.19403309262948</v>
      </c>
      <c r="I52" s="25" t="n">
        <f aca="false">IF(H52="","",TDIST(ABS(H52),G52-1,2))</f>
        <v>0.247963849054279</v>
      </c>
    </row>
    <row r="53" customFormat="false" ht="15" hidden="false" customHeight="false" outlineLevel="0" collapsed="false">
      <c r="A53" s="7" t="s">
        <v>52</v>
      </c>
      <c r="B53" s="7" t="s">
        <v>25</v>
      </c>
      <c r="C53" s="7" t="s">
        <v>53</v>
      </c>
      <c r="D53" s="7" t="s">
        <v>55</v>
      </c>
      <c r="E53" s="23" t="n">
        <v>-0.864684827613294</v>
      </c>
      <c r="F53" s="23" t="n">
        <v>0.863046413807338</v>
      </c>
      <c r="G53" s="24" t="n">
        <v>19</v>
      </c>
      <c r="H53" s="25" t="n">
        <f aca="false">IF(AND(ISNUMBER(E53),F53&gt;0),E53/F53,"")</f>
        <v>-1.00189840752449</v>
      </c>
      <c r="I53" s="25" t="n">
        <f aca="false">IF(H53="","",TDIST(ABS(H53),G53-1,2))</f>
        <v>0.329672000240292</v>
      </c>
    </row>
    <row r="54" customFormat="false" ht="15" hidden="false" customHeight="false" outlineLevel="0" collapsed="false">
      <c r="A54" s="7" t="s">
        <v>52</v>
      </c>
      <c r="B54" s="7" t="s">
        <v>25</v>
      </c>
      <c r="C54" s="7" t="s">
        <v>53</v>
      </c>
      <c r="D54" s="7" t="s">
        <v>56</v>
      </c>
      <c r="E54" s="23" t="n">
        <v>0.127677287749262</v>
      </c>
      <c r="F54" s="23" t="n">
        <v>0.620557227708671</v>
      </c>
      <c r="G54" s="24" t="n">
        <v>19</v>
      </c>
      <c r="H54" s="25" t="n">
        <f aca="false">IF(AND(ISNUMBER(E54),F54&gt;0),E54/F54,"")</f>
        <v>0.205746193982293</v>
      </c>
      <c r="I54" s="25" t="n">
        <f aca="false">IF(H54="","",TDIST(ABS(H54),G54-1,2))</f>
        <v>0.839298217174184</v>
      </c>
    </row>
    <row r="55" customFormat="false" ht="15" hidden="false" customHeight="false" outlineLevel="0" collapsed="false">
      <c r="A55" s="7" t="s">
        <v>52</v>
      </c>
      <c r="B55" s="7" t="s">
        <v>25</v>
      </c>
      <c r="C55" s="7" t="s">
        <v>57</v>
      </c>
      <c r="D55" s="7" t="s">
        <v>56</v>
      </c>
      <c r="E55" s="23" t="n">
        <v>-0.457555162236282</v>
      </c>
      <c r="F55" s="23" t="n">
        <v>0.838250998818103</v>
      </c>
      <c r="G55" s="24" t="n">
        <v>19</v>
      </c>
      <c r="H55" s="25" t="n">
        <f aca="false">IF(AND(ISNUMBER(E55),F55&gt;0),E55/F55,"")</f>
        <v>-0.545845054621366</v>
      </c>
      <c r="I55" s="25" t="n">
        <f aca="false">IF(H55="","",TDIST(ABS(H55),G55-1,2))</f>
        <v>0.591873772504839</v>
      </c>
    </row>
    <row r="56" customFormat="false" ht="15" hidden="false" customHeight="false" outlineLevel="0" collapsed="false">
      <c r="A56" s="7" t="s">
        <v>58</v>
      </c>
      <c r="B56" s="7" t="s">
        <v>10</v>
      </c>
      <c r="C56" s="7" t="s">
        <v>53</v>
      </c>
      <c r="D56" s="7" t="s">
        <v>55</v>
      </c>
      <c r="E56" s="23" t="n">
        <v>-0.0590343887949449</v>
      </c>
      <c r="F56" s="23" t="n">
        <v>0.180036381386724</v>
      </c>
      <c r="G56" s="24" t="n">
        <v>18</v>
      </c>
      <c r="H56" s="25" t="n">
        <f aca="false">IF(AND(ISNUMBER(E56),F56&gt;0),E56/F56,"")</f>
        <v>-0.327902551363422</v>
      </c>
      <c r="I56" s="25" t="n">
        <f aca="false">IF(H56="","",TDIST(ABS(H56),G56-1,2))</f>
        <v>0.746989206471056</v>
      </c>
    </row>
    <row r="57" customFormat="false" ht="15" hidden="false" customHeight="false" outlineLevel="0" collapsed="false">
      <c r="A57" s="7" t="s">
        <v>58</v>
      </c>
      <c r="B57" s="7" t="s">
        <v>10</v>
      </c>
      <c r="C57" s="7" t="s">
        <v>59</v>
      </c>
      <c r="D57" s="7" t="s">
        <v>55</v>
      </c>
      <c r="E57" s="23" t="n">
        <v>-0.776226333862059</v>
      </c>
      <c r="F57" s="23" t="n">
        <v>0.550990661577573</v>
      </c>
      <c r="G57" s="24" t="n">
        <v>18</v>
      </c>
      <c r="H57" s="25" t="n">
        <f aca="false">IF(AND(ISNUMBER(E57),F57&gt;0),E57/F57,"")</f>
        <v>-1.40878310285623</v>
      </c>
      <c r="I57" s="25" t="n">
        <f aca="false">IF(H57="","",TDIST(ABS(H57),G57-1,2))</f>
        <v>0.176927345533843</v>
      </c>
    </row>
    <row r="58" customFormat="false" ht="15" hidden="false" customHeight="false" outlineLevel="0" collapsed="false">
      <c r="A58" s="7" t="s">
        <v>58</v>
      </c>
      <c r="B58" s="7" t="s">
        <v>10</v>
      </c>
      <c r="C58" s="7" t="s">
        <v>60</v>
      </c>
      <c r="D58" s="7" t="s">
        <v>55</v>
      </c>
      <c r="E58" s="23" t="n">
        <v>-0.237597523353472</v>
      </c>
      <c r="F58" s="23" t="n">
        <v>1.00643719572834</v>
      </c>
      <c r="G58" s="24" t="n">
        <v>18</v>
      </c>
      <c r="H58" s="25" t="n">
        <f aca="false">IF(AND(ISNUMBER(E58),F58&gt;0),E58/F58,"")</f>
        <v>-0.236077844064107</v>
      </c>
      <c r="I58" s="25" t="n">
        <f aca="false">IF(H58="","",TDIST(ABS(H58),G58-1,2))</f>
        <v>0.816193092980092</v>
      </c>
    </row>
    <row r="59" customFormat="false" ht="15" hidden="false" customHeight="false" outlineLevel="0" collapsed="false">
      <c r="A59" s="7" t="s">
        <v>58</v>
      </c>
      <c r="B59" s="7" t="s">
        <v>11</v>
      </c>
      <c r="C59" s="7" t="s">
        <v>53</v>
      </c>
      <c r="D59" s="7" t="s">
        <v>55</v>
      </c>
      <c r="E59" s="23" t="n">
        <v>0.197178960082694</v>
      </c>
      <c r="F59" s="23" t="n">
        <v>0.286090687276297</v>
      </c>
      <c r="G59" s="24" t="n">
        <v>18</v>
      </c>
      <c r="H59" s="25" t="n">
        <f aca="false">IF(AND(ISNUMBER(E59),F59&gt;0),E59/F59,"")</f>
        <v>0.689218380227333</v>
      </c>
      <c r="I59" s="25" t="n">
        <f aca="false">IF(H59="","",TDIST(ABS(H59),G59-1,2))</f>
        <v>0.499985701455512</v>
      </c>
    </row>
    <row r="60" customFormat="false" ht="15" hidden="false" customHeight="false" outlineLevel="0" collapsed="false">
      <c r="A60" s="7" t="s">
        <v>58</v>
      </c>
      <c r="B60" s="7" t="s">
        <v>11</v>
      </c>
      <c r="C60" s="7" t="s">
        <v>59</v>
      </c>
      <c r="D60" s="7" t="s">
        <v>55</v>
      </c>
      <c r="E60" s="23" t="n">
        <v>-0.126426524203011</v>
      </c>
      <c r="F60" s="23" t="n">
        <v>0.420415809083846</v>
      </c>
      <c r="G60" s="24" t="n">
        <v>18</v>
      </c>
      <c r="H60" s="25" t="n">
        <f aca="false">IF(AND(ISNUMBER(E60),F60&gt;0),E60/F60,"")</f>
        <v>-0.300717816674198</v>
      </c>
      <c r="I60" s="25" t="n">
        <f aca="false">IF(H60="","",TDIST(ABS(H60),G60-1,2))</f>
        <v>0.767276372146198</v>
      </c>
    </row>
    <row r="61" customFormat="false" ht="15" hidden="false" customHeight="false" outlineLevel="0" collapsed="false">
      <c r="A61" s="7" t="s">
        <v>58</v>
      </c>
      <c r="B61" s="7" t="s">
        <v>11</v>
      </c>
      <c r="C61" s="7" t="s">
        <v>60</v>
      </c>
      <c r="D61" s="7" t="s">
        <v>55</v>
      </c>
      <c r="E61" s="23" t="n">
        <v>-0.169924042491104</v>
      </c>
      <c r="F61" s="23" t="n">
        <v>0.480632277037485</v>
      </c>
      <c r="G61" s="24" t="n">
        <v>18</v>
      </c>
      <c r="H61" s="25" t="n">
        <f aca="false">IF(AND(ISNUMBER(E61),F61&gt;0),E61/F61,"")</f>
        <v>-0.353542719890724</v>
      </c>
      <c r="I61" s="25" t="n">
        <f aca="false">IF(H61="","",TDIST(ABS(H61),G61-1,2))</f>
        <v>0.728028002493128</v>
      </c>
    </row>
    <row r="62" customFormat="false" ht="15" hidden="false" customHeight="false" outlineLevel="0" collapsed="false">
      <c r="A62" s="7" t="s">
        <v>58</v>
      </c>
      <c r="B62" s="7" t="s">
        <v>13</v>
      </c>
      <c r="C62" s="7" t="s">
        <v>53</v>
      </c>
      <c r="D62" s="7" t="s">
        <v>55</v>
      </c>
      <c r="E62" s="23" t="n">
        <v>-0.0858675986033069</v>
      </c>
      <c r="F62" s="23" t="n">
        <v>0.0468079765832473</v>
      </c>
      <c r="G62" s="24" t="n">
        <v>18</v>
      </c>
      <c r="H62" s="25" t="n">
        <f aca="false">IF(AND(ISNUMBER(E62),F62&gt;0),E62/F62,"")</f>
        <v>-1.83446508204841</v>
      </c>
      <c r="I62" s="25" t="n">
        <f aca="false">IF(H62="","",TDIST(ABS(H62),G62-1,2))</f>
        <v>0.0841480463384471</v>
      </c>
    </row>
    <row r="63" customFormat="false" ht="15" hidden="false" customHeight="false" outlineLevel="0" collapsed="false">
      <c r="A63" s="7" t="s">
        <v>58</v>
      </c>
      <c r="B63" s="7" t="s">
        <v>13</v>
      </c>
      <c r="C63" s="7" t="s">
        <v>59</v>
      </c>
      <c r="D63" s="7" t="s">
        <v>55</v>
      </c>
      <c r="E63" s="23" t="n">
        <v>-0.0683590213133047</v>
      </c>
      <c r="F63" s="23" t="n">
        <v>0.0609784963547415</v>
      </c>
      <c r="G63" s="24" t="n">
        <v>18</v>
      </c>
      <c r="H63" s="25" t="n">
        <f aca="false">IF(AND(ISNUMBER(E63),F63&gt;0),E63/F63,"")</f>
        <v>-1.12103487950288</v>
      </c>
      <c r="I63" s="25" t="n">
        <f aca="false">IF(H63="","",TDIST(ABS(H63),G63-1,2))</f>
        <v>0.277859789604727</v>
      </c>
    </row>
    <row r="64" customFormat="false" ht="15" hidden="false" customHeight="false" outlineLevel="0" collapsed="false">
      <c r="A64" s="7" t="s">
        <v>58</v>
      </c>
      <c r="B64" s="7" t="s">
        <v>13</v>
      </c>
      <c r="C64" s="7" t="s">
        <v>60</v>
      </c>
      <c r="D64" s="7" t="s">
        <v>55</v>
      </c>
      <c r="E64" s="23" t="n">
        <v>-0.0213802146883361</v>
      </c>
      <c r="F64" s="23" t="n">
        <v>0.0787113241125033</v>
      </c>
      <c r="G64" s="24" t="n">
        <v>18</v>
      </c>
      <c r="H64" s="25" t="n">
        <f aca="false">IF(AND(ISNUMBER(E64),F64&gt;0),E64/F64,"")</f>
        <v>-0.27162819237772</v>
      </c>
      <c r="I64" s="25" t="n">
        <f aca="false">IF(H64="","",TDIST(ABS(H64),G64-1,2))</f>
        <v>0.789179010536958</v>
      </c>
    </row>
    <row r="65" customFormat="false" ht="15" hidden="false" customHeight="false" outlineLevel="0" collapsed="false">
      <c r="A65" s="7" t="s">
        <v>58</v>
      </c>
      <c r="B65" s="7" t="s">
        <v>14</v>
      </c>
      <c r="C65" s="7" t="s">
        <v>53</v>
      </c>
      <c r="D65" s="7" t="s">
        <v>55</v>
      </c>
      <c r="E65" s="23" t="n">
        <v>0.00565025319993721</v>
      </c>
      <c r="F65" s="23" t="n">
        <v>0.0312613619498564</v>
      </c>
      <c r="G65" s="24" t="n">
        <v>18</v>
      </c>
      <c r="H65" s="25" t="n">
        <f aca="false">IF(AND(ISNUMBER(E65),F65&gt;0),E65/F65,"")</f>
        <v>0.180742387647739</v>
      </c>
      <c r="I65" s="25" t="n">
        <f aca="false">IF(H65="","",TDIST(ABS(H65),G65-1,2))</f>
        <v>0.858707017350896</v>
      </c>
    </row>
    <row r="66" customFormat="false" ht="15" hidden="false" customHeight="false" outlineLevel="0" collapsed="false">
      <c r="A66" s="7" t="s">
        <v>58</v>
      </c>
      <c r="B66" s="7" t="s">
        <v>14</v>
      </c>
      <c r="C66" s="7" t="s">
        <v>59</v>
      </c>
      <c r="D66" s="7" t="s">
        <v>55</v>
      </c>
      <c r="E66" s="23" t="n">
        <v>0.0144703315200791</v>
      </c>
      <c r="F66" s="23" t="n">
        <v>0.0265849928604401</v>
      </c>
      <c r="G66" s="24" t="n">
        <v>18</v>
      </c>
      <c r="H66" s="25" t="n">
        <f aca="false">IF(AND(ISNUMBER(E66),F66&gt;0),E66/F66,"")</f>
        <v>0.544304510294292</v>
      </c>
      <c r="I66" s="25" t="n">
        <f aca="false">IF(H66="","",TDIST(ABS(H66),G66-1,2))</f>
        <v>0.593300234204344</v>
      </c>
    </row>
    <row r="67" customFormat="false" ht="15" hidden="false" customHeight="false" outlineLevel="0" collapsed="false">
      <c r="A67" s="7" t="s">
        <v>58</v>
      </c>
      <c r="B67" s="7" t="s">
        <v>14</v>
      </c>
      <c r="C67" s="7" t="s">
        <v>60</v>
      </c>
      <c r="D67" s="7" t="s">
        <v>55</v>
      </c>
      <c r="E67" s="23" t="n">
        <v>0.0322224994756246</v>
      </c>
      <c r="F67" s="23" t="n">
        <v>0.0356627718936177</v>
      </c>
      <c r="G67" s="24" t="n">
        <v>18</v>
      </c>
      <c r="H67" s="25" t="n">
        <f aca="false">IF(AND(ISNUMBER(E67),F67&gt;0),E67/F67,"")</f>
        <v>0.903533229883101</v>
      </c>
      <c r="I67" s="25" t="n">
        <f aca="false">IF(H67="","",TDIST(ABS(H67),G67-1,2))</f>
        <v>0.37886852071759</v>
      </c>
    </row>
    <row r="68" customFormat="false" ht="15" hidden="false" customHeight="false" outlineLevel="0" collapsed="false">
      <c r="A68" s="7" t="s">
        <v>58</v>
      </c>
      <c r="B68" s="7" t="s">
        <v>16</v>
      </c>
      <c r="C68" s="7" t="s">
        <v>53</v>
      </c>
      <c r="D68" s="7" t="s">
        <v>55</v>
      </c>
      <c r="E68" s="23" t="n">
        <v>-0.0130566349784037</v>
      </c>
      <c r="F68" s="23" t="n">
        <v>0.0153046016954277</v>
      </c>
      <c r="G68" s="24" t="n">
        <v>18</v>
      </c>
      <c r="H68" s="25" t="n">
        <f aca="false">IF(AND(ISNUMBER(E68),F68&gt;0),E68/F68,"")</f>
        <v>-0.853118247585917</v>
      </c>
      <c r="I68" s="25" t="n">
        <f aca="false">IF(H68="","",TDIST(ABS(H68),G68-1,2))</f>
        <v>0.405453951144569</v>
      </c>
    </row>
    <row r="69" customFormat="false" ht="15" hidden="false" customHeight="false" outlineLevel="0" collapsed="false">
      <c r="A69" s="7" t="s">
        <v>58</v>
      </c>
      <c r="B69" s="7" t="s">
        <v>16</v>
      </c>
      <c r="C69" s="7" t="s">
        <v>59</v>
      </c>
      <c r="D69" s="7" t="s">
        <v>55</v>
      </c>
      <c r="E69" s="23" t="n">
        <v>0.0116608349814366</v>
      </c>
      <c r="F69" s="23" t="n">
        <v>0.0137893341352584</v>
      </c>
      <c r="G69" s="24" t="n">
        <v>18</v>
      </c>
      <c r="H69" s="25" t="n">
        <f aca="false">IF(AND(ISNUMBER(E69),F69&gt;0),E69/F69,"")</f>
        <v>0.845641629034185</v>
      </c>
      <c r="I69" s="25" t="n">
        <f aca="false">IF(H69="","",TDIST(ABS(H69),G69-1,2))</f>
        <v>0.409497939612486</v>
      </c>
    </row>
    <row r="70" customFormat="false" ht="15" hidden="false" customHeight="false" outlineLevel="0" collapsed="false">
      <c r="A70" s="7" t="s">
        <v>58</v>
      </c>
      <c r="B70" s="7" t="s">
        <v>16</v>
      </c>
      <c r="C70" s="7" t="s">
        <v>60</v>
      </c>
      <c r="D70" s="7" t="s">
        <v>55</v>
      </c>
      <c r="E70" s="23" t="n">
        <v>0.0392679030971658</v>
      </c>
      <c r="F70" s="23" t="n">
        <v>0.0166924581230307</v>
      </c>
      <c r="G70" s="24" t="n">
        <v>18</v>
      </c>
      <c r="H70" s="25" t="n">
        <f aca="false">IF(AND(ISNUMBER(E70),F70&gt;0),E70/F70,"")</f>
        <v>2.35243382417043</v>
      </c>
      <c r="I70" s="25" t="n">
        <f aca="false">IF(H70="","",TDIST(ABS(H70),G70-1,2))</f>
        <v>0.0309580845103133</v>
      </c>
    </row>
    <row r="71" customFormat="false" ht="15" hidden="false" customHeight="false" outlineLevel="0" collapsed="false">
      <c r="A71" s="7" t="s">
        <v>58</v>
      </c>
      <c r="B71" s="7" t="s">
        <v>17</v>
      </c>
      <c r="C71" s="7" t="s">
        <v>53</v>
      </c>
      <c r="D71" s="7" t="s">
        <v>55</v>
      </c>
      <c r="E71" s="23" t="n">
        <v>-0.089234472757686</v>
      </c>
      <c r="F71" s="23" t="n">
        <v>0.0524849185892395</v>
      </c>
      <c r="G71" s="24" t="n">
        <v>18</v>
      </c>
      <c r="H71" s="25" t="n">
        <f aca="false">IF(AND(ISNUMBER(E71),F71&gt;0),E71/F71,"")</f>
        <v>-1.70019264878846</v>
      </c>
      <c r="I71" s="25" t="n">
        <f aca="false">IF(H71="","",TDIST(ABS(H71),G71-1,2))</f>
        <v>0.107315340977871</v>
      </c>
    </row>
    <row r="72" customFormat="false" ht="15" hidden="false" customHeight="false" outlineLevel="0" collapsed="false">
      <c r="A72" s="7" t="s">
        <v>58</v>
      </c>
      <c r="B72" s="7" t="s">
        <v>17</v>
      </c>
      <c r="C72" s="7" t="s">
        <v>59</v>
      </c>
      <c r="D72" s="7" t="s">
        <v>55</v>
      </c>
      <c r="E72" s="23" t="n">
        <v>-0.0617512501917922</v>
      </c>
      <c r="F72" s="23" t="n">
        <v>0.0544662104083352</v>
      </c>
      <c r="G72" s="24" t="n">
        <v>18</v>
      </c>
      <c r="H72" s="25" t="n">
        <f aca="false">IF(AND(ISNUMBER(E72),F72&gt;0),E72/F72,"")</f>
        <v>-1.13375338083632</v>
      </c>
      <c r="I72" s="25" t="n">
        <f aca="false">IF(H72="","",TDIST(ABS(H72),G72-1,2))</f>
        <v>0.272633784866774</v>
      </c>
    </row>
    <row r="73" customFormat="false" ht="15" hidden="false" customHeight="false" outlineLevel="0" collapsed="false">
      <c r="A73" s="7" t="s">
        <v>58</v>
      </c>
      <c r="B73" s="7" t="s">
        <v>17</v>
      </c>
      <c r="C73" s="7" t="s">
        <v>60</v>
      </c>
      <c r="D73" s="7" t="s">
        <v>55</v>
      </c>
      <c r="E73" s="23" t="n">
        <v>0.00698491151112327</v>
      </c>
      <c r="F73" s="23" t="n">
        <v>0.07950046593689</v>
      </c>
      <c r="G73" s="24" t="n">
        <v>18</v>
      </c>
      <c r="H73" s="25" t="n">
        <f aca="false">IF(AND(ISNUMBER(E73),F73&gt;0),E73/F73,"")</f>
        <v>0.0878600072189277</v>
      </c>
      <c r="I73" s="25" t="n">
        <f aca="false">IF(H73="","",TDIST(ABS(H73),G73-1,2))</f>
        <v>0.931014618804879</v>
      </c>
    </row>
    <row r="74" customFormat="false" ht="15" hidden="false" customHeight="false" outlineLevel="0" collapsed="false">
      <c r="A74" s="7" t="s">
        <v>58</v>
      </c>
      <c r="B74" s="7" t="s">
        <v>18</v>
      </c>
      <c r="C74" s="7" t="s">
        <v>53</v>
      </c>
      <c r="D74" s="7" t="s">
        <v>55</v>
      </c>
      <c r="E74" s="23" t="n">
        <v>-0.278277055022518</v>
      </c>
      <c r="F74" s="23" t="n">
        <v>0.116173782611888</v>
      </c>
      <c r="G74" s="24" t="n">
        <v>18</v>
      </c>
      <c r="H74" s="25" t="n">
        <f aca="false">IF(AND(ISNUMBER(E74),F74&gt;0),E74/F74,"")</f>
        <v>-2.39535159109162</v>
      </c>
      <c r="I74" s="25" t="n">
        <f aca="false">IF(H74="","",TDIST(ABS(H74),G74-1,2))</f>
        <v>0.0283921112671855</v>
      </c>
    </row>
    <row r="75" customFormat="false" ht="15" hidden="false" customHeight="false" outlineLevel="0" collapsed="false">
      <c r="A75" s="7" t="s">
        <v>58</v>
      </c>
      <c r="B75" s="7" t="s">
        <v>18</v>
      </c>
      <c r="C75" s="7" t="s">
        <v>59</v>
      </c>
      <c r="D75" s="7" t="s">
        <v>55</v>
      </c>
      <c r="E75" s="23" t="n">
        <v>-0.243276266086654</v>
      </c>
      <c r="F75" s="23" t="n">
        <v>0.112290831083715</v>
      </c>
      <c r="G75" s="24" t="n">
        <v>18</v>
      </c>
      <c r="H75" s="25" t="n">
        <f aca="false">IF(AND(ISNUMBER(E75),F75&gt;0),E75/F75,"")</f>
        <v>-2.16648379692984</v>
      </c>
      <c r="I75" s="25" t="n">
        <f aca="false">IF(H75="","",TDIST(ABS(H75),G75-1,2))</f>
        <v>0.044774384584869</v>
      </c>
    </row>
    <row r="76" customFormat="false" ht="15" hidden="false" customHeight="false" outlineLevel="0" collapsed="false">
      <c r="A76" s="7" t="s">
        <v>58</v>
      </c>
      <c r="B76" s="7" t="s">
        <v>18</v>
      </c>
      <c r="C76" s="7" t="s">
        <v>60</v>
      </c>
      <c r="D76" s="7" t="s">
        <v>55</v>
      </c>
      <c r="E76" s="23" t="n">
        <v>-0.255116816896125</v>
      </c>
      <c r="F76" s="23" t="n">
        <v>0.207921431615959</v>
      </c>
      <c r="G76" s="24" t="n">
        <v>18</v>
      </c>
      <c r="H76" s="25" t="n">
        <f aca="false">IF(AND(ISNUMBER(E76),F76&gt;0),E76/F76,"")</f>
        <v>-1.22698663102387</v>
      </c>
      <c r="I76" s="25" t="n">
        <f aca="false">IF(H76="","",TDIST(ABS(H76),G76-1,2))</f>
        <v>0.236549663984063</v>
      </c>
    </row>
    <row r="77" customFormat="false" ht="15" hidden="false" customHeight="false" outlineLevel="0" collapsed="false">
      <c r="A77" s="7" t="s">
        <v>58</v>
      </c>
      <c r="B77" s="7" t="s">
        <v>19</v>
      </c>
      <c r="C77" s="7" t="s">
        <v>53</v>
      </c>
      <c r="D77" s="7" t="s">
        <v>55</v>
      </c>
      <c r="E77" s="23" t="n">
        <v>-0.676258190341358</v>
      </c>
      <c r="F77" s="23" t="n">
        <v>0.342832178564697</v>
      </c>
      <c r="G77" s="24" t="n">
        <v>18</v>
      </c>
      <c r="H77" s="25" t="n">
        <f aca="false">IF(AND(ISNUMBER(E77),F77&gt;0),E77/F77,"")</f>
        <v>-1.97256334913655</v>
      </c>
      <c r="I77" s="25" t="n">
        <f aca="false">IF(H77="","",TDIST(ABS(H77),G77-1,2))</f>
        <v>0.0650360608120552</v>
      </c>
    </row>
    <row r="78" customFormat="false" ht="15" hidden="false" customHeight="false" outlineLevel="0" collapsed="false">
      <c r="A78" s="7" t="s">
        <v>58</v>
      </c>
      <c r="B78" s="7" t="s">
        <v>19</v>
      </c>
      <c r="C78" s="7" t="s">
        <v>59</v>
      </c>
      <c r="D78" s="7" t="s">
        <v>55</v>
      </c>
      <c r="E78" s="23" t="n">
        <v>-0.852711882297717</v>
      </c>
      <c r="F78" s="23" t="n">
        <v>0.384290493970108</v>
      </c>
      <c r="G78" s="24" t="n">
        <v>18</v>
      </c>
      <c r="H78" s="25" t="n">
        <f aca="false">IF(AND(ISNUMBER(E78),F78&gt;0),E78/F78,"")</f>
        <v>-2.21892525492459</v>
      </c>
      <c r="I78" s="25" t="n">
        <f aca="false">IF(H78="","",TDIST(ABS(H78),G78-1,2))</f>
        <v>0.0403903096803027</v>
      </c>
    </row>
    <row r="79" customFormat="false" ht="15" hidden="false" customHeight="false" outlineLevel="0" collapsed="false">
      <c r="A79" s="7" t="s">
        <v>58</v>
      </c>
      <c r="B79" s="7" t="s">
        <v>19</v>
      </c>
      <c r="C79" s="7" t="s">
        <v>60</v>
      </c>
      <c r="D79" s="7" t="s">
        <v>55</v>
      </c>
      <c r="E79" s="23" t="n">
        <v>-1.75975973657033</v>
      </c>
      <c r="F79" s="23" t="n">
        <v>0.967572780624344</v>
      </c>
      <c r="G79" s="24" t="n">
        <v>18</v>
      </c>
      <c r="H79" s="25" t="n">
        <f aca="false">IF(AND(ISNUMBER(E79),F79&gt;0),E79/F79,"")</f>
        <v>-1.81873629747502</v>
      </c>
      <c r="I79" s="25" t="n">
        <f aca="false">IF(H79="","",TDIST(ABS(H79),G79-1,2))</f>
        <v>0.0866130717062094</v>
      </c>
    </row>
    <row r="80" customFormat="false" ht="15" hidden="false" customHeight="false" outlineLevel="0" collapsed="false">
      <c r="A80" s="7" t="s">
        <v>58</v>
      </c>
      <c r="B80" s="7" t="s">
        <v>20</v>
      </c>
      <c r="C80" s="7" t="s">
        <v>53</v>
      </c>
      <c r="D80" s="7" t="s">
        <v>55</v>
      </c>
      <c r="E80" s="23" t="n">
        <v>-0.216319159991474</v>
      </c>
      <c r="F80" s="23" t="n">
        <v>0.144487663962707</v>
      </c>
      <c r="G80" s="24" t="n">
        <v>18</v>
      </c>
      <c r="H80" s="25" t="n">
        <f aca="false">IF(AND(ISNUMBER(E80),F80&gt;0),E80/F80,"")</f>
        <v>-1.49714622036735</v>
      </c>
      <c r="I80" s="25" t="n">
        <f aca="false">IF(H80="","",TDIST(ABS(H80),G80-1,2))</f>
        <v>0.152691579967101</v>
      </c>
    </row>
    <row r="81" customFormat="false" ht="15" hidden="false" customHeight="false" outlineLevel="0" collapsed="false">
      <c r="A81" s="7" t="s">
        <v>58</v>
      </c>
      <c r="B81" s="7" t="s">
        <v>20</v>
      </c>
      <c r="C81" s="7" t="s">
        <v>59</v>
      </c>
      <c r="D81" s="7" t="s">
        <v>55</v>
      </c>
      <c r="E81" s="23" t="n">
        <v>-0.118586160890207</v>
      </c>
      <c r="F81" s="23" t="n">
        <v>0.225698563132066</v>
      </c>
      <c r="G81" s="24" t="n">
        <v>18</v>
      </c>
      <c r="H81" s="25" t="n">
        <f aca="false">IF(AND(ISNUMBER(E81),F81&gt;0),E81/F81,"")</f>
        <v>-0.525418324532341</v>
      </c>
      <c r="I81" s="25" t="n">
        <f aca="false">IF(H81="","",TDIST(ABS(H81),G81-1,2))</f>
        <v>0.606078419155763</v>
      </c>
    </row>
    <row r="82" customFormat="false" ht="15" hidden="false" customHeight="false" outlineLevel="0" collapsed="false">
      <c r="A82" s="7" t="s">
        <v>58</v>
      </c>
      <c r="B82" s="7" t="s">
        <v>20</v>
      </c>
      <c r="C82" s="7" t="s">
        <v>60</v>
      </c>
      <c r="D82" s="7" t="s">
        <v>55</v>
      </c>
      <c r="E82" s="23" t="n">
        <v>-0.184270395979152</v>
      </c>
      <c r="F82" s="23" t="n">
        <v>0.181802453444942</v>
      </c>
      <c r="G82" s="24" t="n">
        <v>18</v>
      </c>
      <c r="H82" s="25" t="n">
        <f aca="false">IF(AND(ISNUMBER(E82),F82&gt;0),E82/F82,"")</f>
        <v>-1.01357485824556</v>
      </c>
      <c r="I82" s="25" t="n">
        <f aca="false">IF(H82="","",TDIST(ABS(H82),G82-1,2))</f>
        <v>0.324995175754154</v>
      </c>
    </row>
    <row r="83" customFormat="false" ht="15" hidden="false" customHeight="false" outlineLevel="0" collapsed="false">
      <c r="A83" s="7" t="s">
        <v>58</v>
      </c>
      <c r="B83" s="7" t="s">
        <v>21</v>
      </c>
      <c r="C83" s="7" t="s">
        <v>53</v>
      </c>
      <c r="D83" s="7" t="s">
        <v>55</v>
      </c>
      <c r="E83" s="23" t="n">
        <v>-4.38084454502801</v>
      </c>
      <c r="F83" s="23" t="n">
        <v>4.16365258390162</v>
      </c>
      <c r="G83" s="24" t="n">
        <v>18</v>
      </c>
      <c r="H83" s="25" t="n">
        <f aca="false">IF(AND(ISNUMBER(E83),F83&gt;0),E83/F83,"")</f>
        <v>-1.05216380491642</v>
      </c>
      <c r="I83" s="25" t="n">
        <f aca="false">IF(H83="","",TDIST(ABS(H83),G83-1,2))</f>
        <v>0.307451125435221</v>
      </c>
    </row>
    <row r="84" customFormat="false" ht="15" hidden="false" customHeight="false" outlineLevel="0" collapsed="false">
      <c r="A84" s="7" t="s">
        <v>58</v>
      </c>
      <c r="B84" s="7" t="s">
        <v>21</v>
      </c>
      <c r="C84" s="7" t="s">
        <v>59</v>
      </c>
      <c r="D84" s="7" t="s">
        <v>55</v>
      </c>
      <c r="E84" s="23" t="n">
        <v>-5.61632346438907</v>
      </c>
      <c r="F84" s="23" t="n">
        <v>4.53452780240727</v>
      </c>
      <c r="G84" s="24" t="n">
        <v>18</v>
      </c>
      <c r="H84" s="25" t="n">
        <f aca="false">IF(AND(ISNUMBER(E84),F84&gt;0),E84/F84,"")</f>
        <v>-1.23856853659768</v>
      </c>
      <c r="I84" s="25" t="n">
        <f aca="false">IF(H84="","",TDIST(ABS(H84),G84-1,2))</f>
        <v>0.232335952626476</v>
      </c>
    </row>
    <row r="85" customFormat="false" ht="15" hidden="false" customHeight="false" outlineLevel="0" collapsed="false">
      <c r="A85" s="7" t="s">
        <v>58</v>
      </c>
      <c r="B85" s="7" t="s">
        <v>21</v>
      </c>
      <c r="C85" s="7" t="s">
        <v>60</v>
      </c>
      <c r="D85" s="7" t="s">
        <v>55</v>
      </c>
      <c r="E85" s="23" t="n">
        <v>-16.568276304233</v>
      </c>
      <c r="F85" s="23" t="n">
        <v>10.5999448802532</v>
      </c>
      <c r="G85" s="24" t="n">
        <v>18</v>
      </c>
      <c r="H85" s="25" t="n">
        <f aca="false">IF(AND(ISNUMBER(E85),F85&gt;0),E85/F85,"")</f>
        <v>-1.56305306220019</v>
      </c>
      <c r="I85" s="25" t="n">
        <f aca="false">IF(H85="","",TDIST(ABS(H85),G85-1,2))</f>
        <v>0.136463018857297</v>
      </c>
    </row>
    <row r="86" customFormat="false" ht="15" hidden="false" customHeight="false" outlineLevel="0" collapsed="false">
      <c r="A86" s="7" t="s">
        <v>58</v>
      </c>
      <c r="B86" s="7" t="s">
        <v>23</v>
      </c>
      <c r="C86" s="7" t="s">
        <v>53</v>
      </c>
      <c r="D86" s="7" t="s">
        <v>55</v>
      </c>
      <c r="E86" s="23" t="n">
        <v>0.41616482910578</v>
      </c>
      <c r="F86" s="23" t="n">
        <v>1.43365063685175</v>
      </c>
      <c r="G86" s="24" t="n">
        <v>18</v>
      </c>
      <c r="H86" s="25" t="n">
        <f aca="false">IF(AND(ISNUMBER(E86),F86&gt;0),E86/F86,"")</f>
        <v>0.290283293857187</v>
      </c>
      <c r="I86" s="25" t="n">
        <f aca="false">IF(H86="","",TDIST(ABS(H86),G86-1,2))</f>
        <v>0.775110711176755</v>
      </c>
    </row>
    <row r="87" customFormat="false" ht="15" hidden="false" customHeight="false" outlineLevel="0" collapsed="false">
      <c r="A87" s="7" t="s">
        <v>58</v>
      </c>
      <c r="B87" s="7" t="s">
        <v>23</v>
      </c>
      <c r="C87" s="7" t="s">
        <v>59</v>
      </c>
      <c r="D87" s="7" t="s">
        <v>55</v>
      </c>
      <c r="E87" s="23" t="n">
        <v>-2.22942815226495</v>
      </c>
      <c r="F87" s="23" t="n">
        <v>1.0798916654374</v>
      </c>
      <c r="G87" s="24" t="n">
        <v>18</v>
      </c>
      <c r="H87" s="25" t="n">
        <f aca="false">IF(AND(ISNUMBER(E87),F87&gt;0),E87/F87,"")</f>
        <v>-2.06449241495159</v>
      </c>
      <c r="I87" s="25" t="n">
        <f aca="false">IF(H87="","",TDIST(ABS(H87),G87-1,2))</f>
        <v>0.0545739987794338</v>
      </c>
    </row>
    <row r="88" customFormat="false" ht="15" hidden="false" customHeight="false" outlineLevel="0" collapsed="false">
      <c r="A88" s="7" t="s">
        <v>58</v>
      </c>
      <c r="B88" s="7" t="s">
        <v>23</v>
      </c>
      <c r="C88" s="7" t="s">
        <v>60</v>
      </c>
      <c r="D88" s="7" t="s">
        <v>55</v>
      </c>
      <c r="E88" s="23" t="n">
        <v>-3.52818248759927</v>
      </c>
      <c r="F88" s="23" t="n">
        <v>1.47574953158156</v>
      </c>
      <c r="G88" s="24" t="n">
        <v>18</v>
      </c>
      <c r="H88" s="25" t="n">
        <f aca="false">IF(AND(ISNUMBER(E88),F88&gt;0),E88/F88,"")</f>
        <v>-2.39077323901849</v>
      </c>
      <c r="I88" s="25" t="n">
        <f aca="false">IF(H88="","",TDIST(ABS(H88),G88-1,2))</f>
        <v>0.028656031155494</v>
      </c>
    </row>
    <row r="89" customFormat="false" ht="15" hidden="false" customHeight="false" outlineLevel="0" collapsed="false">
      <c r="A89" s="7" t="s">
        <v>58</v>
      </c>
      <c r="B89" s="7" t="s">
        <v>24</v>
      </c>
      <c r="C89" s="7" t="s">
        <v>53</v>
      </c>
      <c r="D89" s="7" t="s">
        <v>55</v>
      </c>
      <c r="E89" s="23" t="n">
        <v>0.214496506026879</v>
      </c>
      <c r="F89" s="23" t="n">
        <v>0.531859492385962</v>
      </c>
      <c r="G89" s="24" t="n">
        <v>18</v>
      </c>
      <c r="H89" s="25" t="n">
        <f aca="false">IF(AND(ISNUMBER(E89),F89&gt;0),E89/F89,"")</f>
        <v>0.403295436290197</v>
      </c>
      <c r="I89" s="25" t="n">
        <f aca="false">IF(H89="","",TDIST(ABS(H89),G89-1,2))</f>
        <v>0.691757989681879</v>
      </c>
    </row>
    <row r="90" customFormat="false" ht="15" hidden="false" customHeight="false" outlineLevel="0" collapsed="false">
      <c r="A90" s="7" t="s">
        <v>58</v>
      </c>
      <c r="B90" s="7" t="s">
        <v>24</v>
      </c>
      <c r="C90" s="7" t="s">
        <v>59</v>
      </c>
      <c r="D90" s="7" t="s">
        <v>55</v>
      </c>
      <c r="E90" s="23" t="n">
        <v>-0.819449012236956</v>
      </c>
      <c r="F90" s="23" t="n">
        <v>0.412383213000028</v>
      </c>
      <c r="G90" s="24" t="n">
        <v>18</v>
      </c>
      <c r="H90" s="25" t="n">
        <f aca="false">IF(AND(ISNUMBER(E90),F90&gt;0),E90/F90,"")</f>
        <v>-1.98710564931968</v>
      </c>
      <c r="I90" s="25" t="n">
        <f aca="false">IF(H90="","",TDIST(ABS(H90),G90-1,2))</f>
        <v>0.0632690790027685</v>
      </c>
    </row>
    <row r="91" customFormat="false" ht="15" hidden="false" customHeight="false" outlineLevel="0" collapsed="false">
      <c r="A91" s="7" t="s">
        <v>58</v>
      </c>
      <c r="B91" s="7" t="s">
        <v>24</v>
      </c>
      <c r="C91" s="7" t="s">
        <v>60</v>
      </c>
      <c r="D91" s="7" t="s">
        <v>55</v>
      </c>
      <c r="E91" s="23" t="n">
        <v>-1.24159252675818</v>
      </c>
      <c r="F91" s="23" t="n">
        <v>0.689388800509172</v>
      </c>
      <c r="G91" s="24" t="n">
        <v>18</v>
      </c>
      <c r="H91" s="25" t="n">
        <f aca="false">IF(AND(ISNUMBER(E91),F91&gt;0),E91/F91,"")</f>
        <v>-1.8010047825569</v>
      </c>
      <c r="I91" s="25" t="n">
        <f aca="false">IF(H91="","",TDIST(ABS(H91),G91-1,2))</f>
        <v>0.0894679327068063</v>
      </c>
    </row>
    <row r="92" customFormat="false" ht="15" hidden="false" customHeight="false" outlineLevel="0" collapsed="false">
      <c r="A92" s="7" t="s">
        <v>58</v>
      </c>
      <c r="B92" s="7" t="s">
        <v>25</v>
      </c>
      <c r="C92" s="7" t="s">
        <v>53</v>
      </c>
      <c r="D92" s="7" t="s">
        <v>55</v>
      </c>
      <c r="E92" s="23" t="n">
        <v>-0.320500671289929</v>
      </c>
      <c r="F92" s="23" t="n">
        <v>0.58055005455681</v>
      </c>
      <c r="G92" s="24" t="n">
        <v>18</v>
      </c>
      <c r="H92" s="25" t="n">
        <f aca="false">IF(AND(ISNUMBER(E92),F92&gt;0),E92/F92,"")</f>
        <v>-0.552063803584684</v>
      </c>
      <c r="I92" s="25" t="n">
        <f aca="false">IF(H92="","",TDIST(ABS(H92),G92-1,2))</f>
        <v>0.588089612464805</v>
      </c>
    </row>
    <row r="93" customFormat="false" ht="15" hidden="false" customHeight="false" outlineLevel="0" collapsed="false">
      <c r="A93" s="7" t="s">
        <v>58</v>
      </c>
      <c r="B93" s="7" t="s">
        <v>25</v>
      </c>
      <c r="C93" s="7" t="s">
        <v>59</v>
      </c>
      <c r="D93" s="7" t="s">
        <v>55</v>
      </c>
      <c r="E93" s="23" t="n">
        <v>-0.801647064628888</v>
      </c>
      <c r="F93" s="23" t="n">
        <v>0.640675197279037</v>
      </c>
      <c r="G93" s="24" t="n">
        <v>18</v>
      </c>
      <c r="H93" s="25" t="n">
        <f aca="false">IF(AND(ISNUMBER(E93),F93&gt;0),E93/F93,"")</f>
        <v>-1.25125347139003</v>
      </c>
      <c r="I93" s="25" t="n">
        <f aca="false">IF(H93="","",TDIST(ABS(H93),G93-1,2))</f>
        <v>0.227787814229197</v>
      </c>
    </row>
    <row r="94" customFormat="false" ht="15" hidden="false" customHeight="false" outlineLevel="0" collapsed="false">
      <c r="A94" s="7" t="s">
        <v>58</v>
      </c>
      <c r="B94" s="7" t="s">
        <v>25</v>
      </c>
      <c r="C94" s="7" t="s">
        <v>60</v>
      </c>
      <c r="D94" s="7" t="s">
        <v>55</v>
      </c>
      <c r="E94" s="23" t="n">
        <v>-1.48099549837624</v>
      </c>
      <c r="F94" s="23" t="n">
        <v>0.848875153272068</v>
      </c>
      <c r="G94" s="24" t="n">
        <v>18</v>
      </c>
      <c r="H94" s="25" t="n">
        <f aca="false">IF(AND(ISNUMBER(E94),F94&gt;0),E94/F94,"")</f>
        <v>-1.74465643465662</v>
      </c>
      <c r="I94" s="25" t="n">
        <f aca="false">IF(H94="","",TDIST(ABS(H94),G94-1,2))</f>
        <v>0.0990947761326099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2026-10-20T14:00:39Z</dcterms:created>
  <dc:creator>openpyxl</dc:creator>
  <dc:description/>
  <dc:language>en-US</dc:language>
  <cp:lastModifiedBy/>
  <dcterms:modified xsi:type="dcterms:W3CDTF">2026-10-20T14:00:39Z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