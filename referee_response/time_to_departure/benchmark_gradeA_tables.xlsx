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III Panel B" sheetId="1" state="visible" r:id="rId3"/>
    <sheet name="Interactions Panel B" sheetId="2" state="visible" r:id="rId4"/>
    <sheet name="Correlations" sheetId="3" state="visible" r:id="rId5"/>
    <sheet name="Estima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<sst xmlns="http://schemas.openxmlformats.org/spreadsheetml/2006/main" count="665" uniqueCount="72">
  <si>
    <t xml:space="preserve">Table III, Panel B: Benchmark-Adjusted Returns by Benchmark Confidence</t>
  </si>
  <si>
    <t xml:space="preserve">This table re-estimates Table III, Panel B for three versions of the policy benchmark.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Columns follow Table III: (1) base controls with year fixed effects; (2) all controls with year fixed effects; (3) plan fixed effects; (4) plan and year fixed effects; (5) and (6) code Conflicted CIO as 1 only in the last 5 or 10 years before the CIO departs. The standard errors are double clustered by plan and year. Coefficients marked with ***, **, and * are significant at the 1%, 5%, and 10% level, respectively.</t>
  </si>
  <si>
    <t xml:space="preserve">(1)</t>
  </si>
  <si>
    <t xml:space="preserve">(2)</t>
  </si>
  <si>
    <t xml:space="preserve">(3)</t>
  </si>
  <si>
    <t xml:space="preserve">(4)</t>
  </si>
  <si>
    <t xml:space="preserve">(5)</t>
  </si>
  <si>
    <t xml:space="preserve">(6)</t>
  </si>
  <si>
    <t xml:space="preserve">Reported + inferred grade A/B (as before)</t>
  </si>
  <si>
    <t xml:space="preserve">Conflicted CIO (0/1)</t>
  </si>
  <si>
    <t xml:space="preserve">Observations</t>
  </si>
  <si>
    <t xml:space="preserve">Conflicted plan-years</t>
  </si>
  <si>
    <t xml:space="preserve">Adjusted R-squared</t>
  </si>
  <si>
    <t xml:space="preserve">Reported + inferred grade A only</t>
  </si>
  <si>
    <t xml:space="preserve">Reported benchmarks only</t>
  </si>
  <si>
    <t xml:space="preserve">Controls</t>
  </si>
  <si>
    <t xml:space="preserve">Base</t>
  </si>
  <si>
    <t xml:space="preserve">All</t>
  </si>
  <si>
    <t xml:space="preserve">Plan FE</t>
  </si>
  <si>
    <t xml:space="preserve">No</t>
  </si>
  <si>
    <t xml:space="preserve">Yes</t>
  </si>
  <si>
    <t xml:space="preserve">Year FE</t>
  </si>
  <si>
    <t xml:space="preserve">Last n years</t>
  </si>
  <si>
    <t xml:space="preserve">5</t>
  </si>
  <si>
    <t xml:space="preserve">10</t>
  </si>
  <si>
    <t xml:space="preserve">Interaction Specification, Benchmark-Adjusted Returns by Benchmark Confidence</t>
  </si>
  <si>
    <t xml:space="preserve">This table repeats Panel B of the Interactions sheet in xsec_interactions_fye1.xlsx (all Table III controls, fiscal-year-end date fixed effects, Conflicted CIO interacted with X) for the three benchmark versions.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For binary X, Conflicted CIO is the effect when X = 0 and the italic row gives the effect when X = 1. Continuous X (log pay, relative pay filled within spell, CIO age) is centered at its regression-sample mean, so Conflicted CIO is the effect at average X, and the italic rows give the effect at the 25th and 75th percentiles. The CIO Age column drops the lagged log CIO age control. The standard errors are double clustered by plan and year. Coefficients marked with ***, **, and * are significant at the 1%, 5%, and 10% level, respectively.</t>
  </si>
  <si>
    <t xml:space="preserve">X = Underpaid</t>
  </si>
  <si>
    <t xml:space="preserve">X = Young CIO</t>
  </si>
  <si>
    <t xml:space="preserve">X = Prior Private Exp.</t>
  </si>
  <si>
    <t xml:space="preserve">X = Financial Center</t>
  </si>
  <si>
    <t xml:space="preserve">X = High Discount Rate</t>
  </si>
  <si>
    <t xml:space="preserve">X = High Funding</t>
  </si>
  <si>
    <t xml:space="preserve">X = Log CIO Total Comp.</t>
  </si>
  <si>
    <t xml:space="preserve">X = Relative CIO Pay (filled)</t>
  </si>
  <si>
    <t xml:space="preserve">X = CIO Age</t>
  </si>
  <si>
    <t xml:space="preserve">Conflicted CIO x X</t>
  </si>
  <si>
    <t xml:space="preserve">X</t>
  </si>
  <si>
    <t xml:space="preserve">Conflicted CIO effect when X = 1</t>
  </si>
  <si>
    <t xml:space="preserve">Conflicted CIO effect, 25th pct. of X</t>
  </si>
  <si>
    <t xml:space="preserve">Conflicted CIO effect, 75th pct. of X</t>
  </si>
  <si>
    <t xml:space="preserve">Correlation of Benchmark-Adjusted and Peer-Adjusted Returns</t>
  </si>
  <si>
    <t xml:space="preserve">Correlations are computed over Table III sample plan-years (cio_dum = 1, fy &lt;= 2020, curr1 = 0) where both returns are available. 'Within fiscal-year-end' demeans both returns by fiscal-year-end date (fye1) before correlating.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t>
  </si>
  <si>
    <t xml:space="preserve">Benchmark version</t>
  </si>
  <si>
    <t xml:space="preserve">Plan-years</t>
  </si>
  <si>
    <t xml:space="preserve">Pearson</t>
  </si>
  <si>
    <t xml:space="preserve">Spearman</t>
  </si>
  <si>
    <t xml:space="preserve">Pearson, within fiscal-year-end</t>
  </si>
  <si>
    <t xml:space="preserve">Pearson, conflicted plan-years</t>
  </si>
  <si>
    <t xml:space="preserve">Pearson, other plan-years</t>
  </si>
  <si>
    <t xml:space="preserve">Estimates behind the tables. Blue = regression output (coefficient, SE, minimum cluster count). t and p are formulas; p uses the t distribution with (min clusters - 1) df. SE double clustered by plan and year, with the eigenvalue fix.</t>
  </si>
  <si>
    <t xml:space="preserve">Table</t>
  </si>
  <si>
    <t xml:space="preserve">Benchmark</t>
  </si>
  <si>
    <t xml:space="preserve">Column / X</t>
  </si>
  <si>
    <t xml:space="preserve">Term</t>
  </si>
  <si>
    <t xml:space="preserve">Coefficient</t>
  </si>
  <si>
    <t xml:space="preserve">SE</t>
  </si>
  <si>
    <t xml:space="preserve">Clusters (min)</t>
  </si>
  <si>
    <t xml:space="preserve">t</t>
  </si>
  <si>
    <t xml:space="preserve">p</t>
  </si>
  <si>
    <t xml:space="preserve">Table III B</t>
  </si>
  <si>
    <t xml:space="preserve">Conflicted CIO</t>
  </si>
  <si>
    <t xml:space="preserve">Interactions B</t>
  </si>
  <si>
    <t xml:space="preserve">Underpaid</t>
  </si>
  <si>
    <t xml:space="preserve">Young CIO</t>
  </si>
  <si>
    <t xml:space="preserve">Prior Private Exp.</t>
  </si>
  <si>
    <t xml:space="preserve">Financial Center</t>
  </si>
  <si>
    <t xml:space="preserve">High Discount Rate</t>
  </si>
  <si>
    <t xml:space="preserve">High Funding</t>
  </si>
  <si>
    <t xml:space="preserve">Log CIO Total Comp.</t>
  </si>
  <si>
    <t xml:space="preserve">Relative CIO Pay (filled)</t>
  </si>
  <si>
    <t xml:space="preserve">CIO Age</t>
  </si>
</sst>
</file>

<file path=xl/styles.xml><?xml version="1.0" encoding="utf-8"?>
<styleSheet xmlns="http://schemas.openxmlformats.org/spreadsheetml/2006/main">
  <numFmts count="4">
    <numFmt numFmtId="164" formatCode="General"/>
    <numFmt numFmtId="165" formatCode="#,##0"/>
    <numFmt numFmtId="166" formatCode="0.000"/>
    <numFmt numFmtId="167"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3">
    <border diagonalUp="false" diagonalDown="false">
      <left/>
      <right/>
      <top/>
      <bottom/>
      <diagonal/>
    </border>
    <border diagonalUp="false" diagonalDown="false">
      <left/>
      <right/>
      <top style="thin"/>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5" fontId="5" fillId="0" borderId="2" xfId="0" applyFont="true" applyBorder="true" applyAlignment="true" applyProtection="false">
      <alignment horizontal="left" vertical="bottom" textRotation="0" wrapText="false" indent="0" shrinkToFit="false"/>
      <protection locked="true" hidden="false"/>
    </xf>
    <xf numFmtId="165" fontId="7" fillId="0" borderId="2" xfId="0" applyFont="true" applyBorder="true" applyAlignment="true" applyProtection="false">
      <alignment horizontal="right" vertical="bottom" textRotation="0" wrapText="false" indent="0" shrinkToFit="false"/>
      <protection locked="true" hidden="false"/>
    </xf>
    <xf numFmtId="166" fontId="7" fillId="0" borderId="2" xfId="0" applyFont="true" applyBorder="true" applyAlignment="true" applyProtection="false">
      <alignment horizontal="right"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3"/>
  </cols>
  <sheetData>
    <row r="1" customFormat="false" ht="15" hidden="false" customHeight="false" outlineLevel="0" collapsed="false">
      <c r="A1" s="1" t="s">
        <v>0</v>
      </c>
    </row>
    <row r="2" customFormat="false" ht="139.5" hidden="false" customHeight="true" outlineLevel="0" collapsed="false">
      <c r="A2" s="2" t="s">
        <v>1</v>
      </c>
      <c r="B2" s="2"/>
      <c r="C2" s="2"/>
      <c r="D2" s="2"/>
      <c r="E2" s="2"/>
      <c r="F2" s="2"/>
      <c r="G2" s="2"/>
    </row>
    <row r="4" customFormat="false" ht="15" hidden="false" customHeight="false" outlineLevel="0" collapsed="false">
      <c r="A4" s="3"/>
      <c r="B4" s="4" t="s">
        <v>2</v>
      </c>
      <c r="C4" s="4" t="s">
        <v>3</v>
      </c>
      <c r="D4" s="4" t="s">
        <v>4</v>
      </c>
      <c r="E4" s="4" t="s">
        <v>5</v>
      </c>
      <c r="F4" s="4" t="s">
        <v>6</v>
      </c>
      <c r="G4" s="4" t="s">
        <v>7</v>
      </c>
    </row>
    <row r="5" customFormat="false" ht="15" hidden="false" customHeight="false" outlineLevel="0" collapsed="false">
      <c r="A5" s="1" t="s">
        <v>8</v>
      </c>
    </row>
    <row r="6" customFormat="false" ht="15" hidden="false" customHeight="false" outlineLevel="0" collapsed="false">
      <c r="A6" s="5" t="s">
        <v>9</v>
      </c>
      <c r="B6" s="6" t="str">
        <f aca="false">IF(Estimates!I4="","",TEXT(Estimates!E4,"0.000")&amp;IF(Estimates!I4&lt;0.01,"***",IF(Estimates!I4&lt;0.05,"**",IF(Estimates!I4&lt;0.1,"*",""))))</f>
        <v>-0.385**</v>
      </c>
      <c r="C6" s="6" t="str">
        <f aca="false">IF(Estimates!I5="","",TEXT(Estimates!E5,"0.000")&amp;IF(Estimates!I5&lt;0.01,"***",IF(Estimates!I5&lt;0.05,"**",IF(Estimates!I5&lt;0.1,"*",""))))</f>
        <v>-0.491***</v>
      </c>
      <c r="D6" s="6" t="str">
        <f aca="false">IF(Estimates!I6="","",TEXT(Estimates!E6,"0.000")&amp;IF(Estimates!I6&lt;0.01,"***",IF(Estimates!I6&lt;0.05,"**",IF(Estimates!I6&lt;0.1,"*",""))))</f>
        <v>-0.373**</v>
      </c>
      <c r="E6" s="6" t="str">
        <f aca="false">IF(Estimates!I7="","",TEXT(Estimates!E7,"0.000")&amp;IF(Estimates!I7&lt;0.01,"***",IF(Estimates!I7&lt;0.05,"**",IF(Estimates!I7&lt;0.1,"*",""))))</f>
        <v>-0.411**</v>
      </c>
      <c r="F6" s="6" t="str">
        <f aca="false">IF(Estimates!I8="","",TEXT(Estimates!E8,"0.000")&amp;IF(Estimates!I8&lt;0.01,"***",IF(Estimates!I8&lt;0.05,"**",IF(Estimates!I8&lt;0.1,"*",""))))</f>
        <v>-0.384*</v>
      </c>
      <c r="G6" s="6" t="str">
        <f aca="false">IF(Estimates!I9="","",TEXT(Estimates!E9,"0.000")&amp;IF(Estimates!I9&lt;0.01,"***",IF(Estimates!I9&lt;0.05,"**",IF(Estimates!I9&lt;0.1,"*",""))))</f>
        <v>-0.441**</v>
      </c>
    </row>
    <row r="7" customFormat="false" ht="15" hidden="false" customHeight="false" outlineLevel="0" collapsed="false">
      <c r="B7" s="6" t="str">
        <f aca="false">IF(Estimates!H4="","","("&amp;TEXT(Estimates!H4,"0.00")&amp;")")</f>
        <v>(-2.46)</v>
      </c>
      <c r="C7" s="6" t="str">
        <f aca="false">IF(Estimates!H5="","","("&amp;TEXT(Estimates!H5,"0.00")&amp;")")</f>
        <v>(-4.15)</v>
      </c>
      <c r="D7" s="6" t="str">
        <f aca="false">IF(Estimates!H6="","","("&amp;TEXT(Estimates!H6,"0.00")&amp;")")</f>
        <v>(-2.23)</v>
      </c>
      <c r="E7" s="6" t="str">
        <f aca="false">IF(Estimates!H7="","","("&amp;TEXT(Estimates!H7,"0.00")&amp;")")</f>
        <v>(-2.15)</v>
      </c>
      <c r="F7" s="6" t="str">
        <f aca="false">IF(Estimates!H8="","","("&amp;TEXT(Estimates!H8,"0.00")&amp;")")</f>
        <v>(-1.84)</v>
      </c>
      <c r="G7" s="6" t="str">
        <f aca="false">IF(Estimates!H9="","","("&amp;TEXT(Estimates!H9,"0.00")&amp;")")</f>
        <v>(-2.36)</v>
      </c>
    </row>
    <row r="8" customFormat="false" ht="15" hidden="false" customHeight="false" outlineLevel="0" collapsed="false">
      <c r="A8" s="5" t="s">
        <v>10</v>
      </c>
      <c r="B8" s="7" t="n">
        <v>1538</v>
      </c>
      <c r="C8" s="7" t="n">
        <v>1320</v>
      </c>
      <c r="D8" s="7" t="n">
        <v>1319</v>
      </c>
      <c r="E8" s="7" t="n">
        <v>1319</v>
      </c>
      <c r="F8" s="7" t="n">
        <v>1320</v>
      </c>
      <c r="G8" s="7" t="n">
        <v>1320</v>
      </c>
    </row>
    <row r="9" customFormat="false" ht="15" hidden="false" customHeight="false" outlineLevel="0" collapsed="false">
      <c r="A9" s="5" t="s">
        <v>11</v>
      </c>
      <c r="B9" s="7" t="n">
        <v>280</v>
      </c>
      <c r="C9" s="7" t="n">
        <v>258</v>
      </c>
      <c r="D9" s="7" t="n">
        <v>257</v>
      </c>
      <c r="E9" s="7" t="n">
        <v>257</v>
      </c>
      <c r="F9" s="7" t="n">
        <v>180</v>
      </c>
      <c r="G9" s="7" t="n">
        <v>203</v>
      </c>
    </row>
    <row r="10" customFormat="false" ht="15" hidden="false" customHeight="false" outlineLevel="0" collapsed="false">
      <c r="A10" s="5" t="s">
        <v>12</v>
      </c>
      <c r="B10" s="8" t="n">
        <v>0.118530271851865</v>
      </c>
      <c r="C10" s="8" t="n">
        <v>0.127654081106356</v>
      </c>
      <c r="D10" s="8" t="n">
        <v>0.0207392892531291</v>
      </c>
      <c r="E10" s="8" t="n">
        <v>0.122153932551764</v>
      </c>
      <c r="F10" s="8" t="n">
        <v>0.124841777309274</v>
      </c>
      <c r="G10" s="8" t="n">
        <v>0.126196521214728</v>
      </c>
    </row>
    <row r="12" customFormat="false" ht="15" hidden="false" customHeight="false" outlineLevel="0" collapsed="false">
      <c r="A12" s="1" t="s">
        <v>13</v>
      </c>
    </row>
    <row r="13" customFormat="false" ht="15" hidden="false" customHeight="false" outlineLevel="0" collapsed="false">
      <c r="A13" s="5" t="s">
        <v>9</v>
      </c>
      <c r="B13" s="6" t="str">
        <f aca="false">IF(Estimates!I10="","",TEXT(Estimates!E10,"0.000")&amp;IF(Estimates!I10&lt;0.01,"***",IF(Estimates!I10&lt;0.05,"**",IF(Estimates!I10&lt;0.1,"*",""))))</f>
        <v>-0.366**</v>
      </c>
      <c r="C13" s="6" t="str">
        <f aca="false">IF(Estimates!I11="","",TEXT(Estimates!E11,"0.000")&amp;IF(Estimates!I11&lt;0.01,"***",IF(Estimates!I11&lt;0.05,"**",IF(Estimates!I11&lt;0.1,"*",""))))</f>
        <v>-0.462***</v>
      </c>
      <c r="D13" s="6" t="str">
        <f aca="false">IF(Estimates!I12="","",TEXT(Estimates!E12,"0.000")&amp;IF(Estimates!I12&lt;0.01,"***",IF(Estimates!I12&lt;0.05,"**",IF(Estimates!I12&lt;0.1,"*",""))))</f>
        <v>-0.364**</v>
      </c>
      <c r="E13" s="6" t="str">
        <f aca="false">IF(Estimates!I13="","",TEXT(Estimates!E13,"0.000")&amp;IF(Estimates!I13&lt;0.01,"***",IF(Estimates!I13&lt;0.05,"**",IF(Estimates!I13&lt;0.1,"*",""))))</f>
        <v>-0.388*</v>
      </c>
      <c r="F13" s="6" t="str">
        <f aca="false">IF(Estimates!I14="","",TEXT(Estimates!E14,"0.000")&amp;IF(Estimates!I14&lt;0.01,"***",IF(Estimates!I14&lt;0.05,"**",IF(Estimates!I14&lt;0.1,"*",""))))</f>
        <v>-0.355</v>
      </c>
      <c r="G13" s="6" t="str">
        <f aca="false">IF(Estimates!I15="","",TEXT(Estimates!E15,"0.000")&amp;IF(Estimates!I15&lt;0.01,"***",IF(Estimates!I15&lt;0.05,"**",IF(Estimates!I15&lt;0.1,"*",""))))</f>
        <v>-0.414**</v>
      </c>
    </row>
    <row r="14" customFormat="false" ht="15" hidden="false" customHeight="false" outlineLevel="0" collapsed="false">
      <c r="B14" s="6" t="str">
        <f aca="false">IF(Estimates!H10="","","("&amp;TEXT(Estimates!H10,"0.00")&amp;")")</f>
        <v>(-2.27)</v>
      </c>
      <c r="C14" s="6" t="str">
        <f aca="false">IF(Estimates!H11="","","("&amp;TEXT(Estimates!H11,"0.00")&amp;")")</f>
        <v>(-3.91)</v>
      </c>
      <c r="D14" s="6" t="str">
        <f aca="false">IF(Estimates!H12="","","("&amp;TEXT(Estimates!H12,"0.00")&amp;")")</f>
        <v>(-2.25)</v>
      </c>
      <c r="E14" s="6" t="str">
        <f aca="false">IF(Estimates!H13="","","("&amp;TEXT(Estimates!H13,"0.00")&amp;")")</f>
        <v>(-2.09)</v>
      </c>
      <c r="F14" s="6" t="str">
        <f aca="false">IF(Estimates!H14="","","("&amp;TEXT(Estimates!H14,"0.00")&amp;")")</f>
        <v>(-1.72)</v>
      </c>
      <c r="G14" s="6" t="str">
        <f aca="false">IF(Estimates!H15="","","("&amp;TEXT(Estimates!H15,"0.00")&amp;")")</f>
        <v>(-2.22)</v>
      </c>
    </row>
    <row r="15" customFormat="false" ht="15" hidden="false" customHeight="false" outlineLevel="0" collapsed="false">
      <c r="A15" s="5" t="s">
        <v>10</v>
      </c>
      <c r="B15" s="7" t="n">
        <v>1516</v>
      </c>
      <c r="C15" s="7" t="n">
        <v>1306</v>
      </c>
      <c r="D15" s="7" t="n">
        <v>1305</v>
      </c>
      <c r="E15" s="7" t="n">
        <v>1305</v>
      </c>
      <c r="F15" s="7" t="n">
        <v>1306</v>
      </c>
      <c r="G15" s="7" t="n">
        <v>1306</v>
      </c>
    </row>
    <row r="16" customFormat="false" ht="15" hidden="false" customHeight="false" outlineLevel="0" collapsed="false">
      <c r="A16" s="5" t="s">
        <v>11</v>
      </c>
      <c r="B16" s="7" t="n">
        <v>272</v>
      </c>
      <c r="C16" s="7" t="n">
        <v>250</v>
      </c>
      <c r="D16" s="7" t="n">
        <v>249</v>
      </c>
      <c r="E16" s="7" t="n">
        <v>249</v>
      </c>
      <c r="F16" s="7" t="n">
        <v>174</v>
      </c>
      <c r="G16" s="7" t="n">
        <v>197</v>
      </c>
    </row>
    <row r="17" customFormat="false" ht="15" hidden="false" customHeight="false" outlineLevel="0" collapsed="false">
      <c r="A17" s="5" t="s">
        <v>12</v>
      </c>
      <c r="B17" s="8" t="n">
        <v>0.118973140449449</v>
      </c>
      <c r="C17" s="8" t="n">
        <v>0.12861100502287</v>
      </c>
      <c r="D17" s="8" t="n">
        <v>0.021627094632006</v>
      </c>
      <c r="E17" s="8" t="n">
        <v>0.121740184553309</v>
      </c>
      <c r="F17" s="8" t="n">
        <v>0.126079127494547</v>
      </c>
      <c r="G17" s="8" t="n">
        <v>0.127367111894814</v>
      </c>
    </row>
    <row r="19" customFormat="false" ht="15" hidden="false" customHeight="false" outlineLevel="0" collapsed="false">
      <c r="A19" s="1" t="s">
        <v>14</v>
      </c>
    </row>
    <row r="20" customFormat="false" ht="15" hidden="false" customHeight="false" outlineLevel="0" collapsed="false">
      <c r="A20" s="5" t="s">
        <v>9</v>
      </c>
      <c r="B20" s="6" t="str">
        <f aca="false">IF(Estimates!I16="","",TEXT(Estimates!E16,"0.000")&amp;IF(Estimates!I16&lt;0.01,"***",IF(Estimates!I16&lt;0.05,"**",IF(Estimates!I16&lt;0.1,"*",""))))</f>
        <v>-0.393**</v>
      </c>
      <c r="C20" s="6" t="str">
        <f aca="false">IF(Estimates!I17="","",TEXT(Estimates!E17,"0.000")&amp;IF(Estimates!I17&lt;0.01,"***",IF(Estimates!I17&lt;0.05,"**",IF(Estimates!I17&lt;0.1,"*",""))))</f>
        <v>-0.434***</v>
      </c>
      <c r="D20" s="6" t="str">
        <f aca="false">IF(Estimates!I18="","",TEXT(Estimates!E18,"0.000")&amp;IF(Estimates!I18&lt;0.01,"***",IF(Estimates!I18&lt;0.05,"**",IF(Estimates!I18&lt;0.1,"*",""))))</f>
        <v>-0.319*</v>
      </c>
      <c r="E20" s="6" t="str">
        <f aca="false">IF(Estimates!I19="","",TEXT(Estimates!E19,"0.000")&amp;IF(Estimates!I19&lt;0.01,"***",IF(Estimates!I19&lt;0.05,"**",IF(Estimates!I19&lt;0.1,"*",""))))</f>
        <v>-0.333**</v>
      </c>
      <c r="F20" s="6" t="str">
        <f aca="false">IF(Estimates!I20="","",TEXT(Estimates!E20,"0.000")&amp;IF(Estimates!I20&lt;0.01,"***",IF(Estimates!I20&lt;0.05,"**",IF(Estimates!I20&lt;0.1,"*",""))))</f>
        <v>-0.380*</v>
      </c>
      <c r="G20" s="6" t="str">
        <f aca="false">IF(Estimates!I21="","",TEXT(Estimates!E21,"0.000")&amp;IF(Estimates!I21&lt;0.01,"***",IF(Estimates!I21&lt;0.05,"**",IF(Estimates!I21&lt;0.1,"*",""))))</f>
        <v>-0.424**</v>
      </c>
    </row>
    <row r="21" customFormat="false" ht="15" hidden="false" customHeight="false" outlineLevel="0" collapsed="false">
      <c r="B21" s="6" t="str">
        <f aca="false">IF(Estimates!H16="","","("&amp;TEXT(Estimates!H16,"0.00")&amp;")")</f>
        <v>(-2.49)</v>
      </c>
      <c r="C21" s="6" t="str">
        <f aca="false">IF(Estimates!H17="","","("&amp;TEXT(Estimates!H17,"0.00")&amp;")")</f>
        <v>(-4.12)</v>
      </c>
      <c r="D21" s="6" t="str">
        <f aca="false">IF(Estimates!H18="","","("&amp;TEXT(Estimates!H18,"0.00")&amp;")")</f>
        <v>(-1.92)</v>
      </c>
      <c r="E21" s="6" t="str">
        <f aca="false">IF(Estimates!H19="","","("&amp;TEXT(Estimates!H19,"0.00")&amp;")")</f>
        <v>(-2.12)</v>
      </c>
      <c r="F21" s="6" t="str">
        <f aca="false">IF(Estimates!H20="","","("&amp;TEXT(Estimates!H20,"0.00")&amp;")")</f>
        <v>(-1.92)</v>
      </c>
      <c r="G21" s="6" t="str">
        <f aca="false">IF(Estimates!H21="","","("&amp;TEXT(Estimates!H21,"0.00")&amp;")")</f>
        <v>(-2.42)</v>
      </c>
    </row>
    <row r="22" customFormat="false" ht="15" hidden="false" customHeight="false" outlineLevel="0" collapsed="false">
      <c r="A22" s="5" t="s">
        <v>10</v>
      </c>
      <c r="B22" s="7" t="n">
        <v>1453</v>
      </c>
      <c r="C22" s="7" t="n">
        <v>1249</v>
      </c>
      <c r="D22" s="7" t="n">
        <v>1248</v>
      </c>
      <c r="E22" s="7" t="n">
        <v>1248</v>
      </c>
      <c r="F22" s="7" t="n">
        <v>1249</v>
      </c>
      <c r="G22" s="7" t="n">
        <v>1249</v>
      </c>
    </row>
    <row r="23" customFormat="false" ht="15" hidden="false" customHeight="false" outlineLevel="0" collapsed="false">
      <c r="A23" s="5" t="s">
        <v>11</v>
      </c>
      <c r="B23" s="7" t="n">
        <v>256</v>
      </c>
      <c r="C23" s="7" t="n">
        <v>234</v>
      </c>
      <c r="D23" s="7" t="n">
        <v>233</v>
      </c>
      <c r="E23" s="7" t="n">
        <v>233</v>
      </c>
      <c r="F23" s="7" t="n">
        <v>158</v>
      </c>
      <c r="G23" s="7" t="n">
        <v>180</v>
      </c>
    </row>
    <row r="24" customFormat="false" ht="15" hidden="false" customHeight="false" outlineLevel="0" collapsed="false">
      <c r="A24" s="5" t="s">
        <v>12</v>
      </c>
      <c r="B24" s="8" t="n">
        <v>0.118051223067758</v>
      </c>
      <c r="C24" s="8" t="n">
        <v>0.118802247462915</v>
      </c>
      <c r="D24" s="8" t="n">
        <v>0.0160513439245875</v>
      </c>
      <c r="E24" s="8" t="n">
        <v>0.108381335691557</v>
      </c>
      <c r="F24" s="8" t="n">
        <v>0.117176365151909</v>
      </c>
      <c r="G24" s="8" t="n">
        <v>0.118268531405924</v>
      </c>
    </row>
    <row r="26" customFormat="false" ht="15" hidden="false" customHeight="false" outlineLevel="0" collapsed="false">
      <c r="A26" s="5" t="s">
        <v>15</v>
      </c>
      <c r="B26" s="9" t="s">
        <v>16</v>
      </c>
      <c r="C26" s="9" t="s">
        <v>17</v>
      </c>
      <c r="D26" s="9" t="s">
        <v>17</v>
      </c>
      <c r="E26" s="9" t="s">
        <v>17</v>
      </c>
      <c r="F26" s="9" t="s">
        <v>17</v>
      </c>
      <c r="G26" s="9" t="s">
        <v>17</v>
      </c>
    </row>
    <row r="27" customFormat="false" ht="15" hidden="false" customHeight="false" outlineLevel="0" collapsed="false">
      <c r="A27" s="5" t="s">
        <v>18</v>
      </c>
      <c r="B27" s="9" t="s">
        <v>19</v>
      </c>
      <c r="C27" s="9" t="s">
        <v>19</v>
      </c>
      <c r="D27" s="9" t="s">
        <v>20</v>
      </c>
      <c r="E27" s="9" t="s">
        <v>20</v>
      </c>
      <c r="F27" s="9" t="s">
        <v>19</v>
      </c>
      <c r="G27" s="9" t="s">
        <v>19</v>
      </c>
    </row>
    <row r="28" customFormat="false" ht="15" hidden="false" customHeight="false" outlineLevel="0" collapsed="false">
      <c r="A28" s="5" t="s">
        <v>21</v>
      </c>
      <c r="B28" s="9" t="s">
        <v>20</v>
      </c>
      <c r="C28" s="9" t="s">
        <v>20</v>
      </c>
      <c r="D28" s="9" t="s">
        <v>19</v>
      </c>
      <c r="E28" s="9" t="s">
        <v>20</v>
      </c>
      <c r="F28" s="9" t="s">
        <v>20</v>
      </c>
      <c r="G28" s="9" t="s">
        <v>20</v>
      </c>
    </row>
    <row r="29" customFormat="false" ht="15" hidden="false" customHeight="false" outlineLevel="0" collapsed="false">
      <c r="A29" s="10" t="s">
        <v>22</v>
      </c>
      <c r="B29" s="11"/>
      <c r="C29" s="11"/>
      <c r="D29" s="11"/>
      <c r="E29" s="11"/>
      <c r="F29" s="11" t="s">
        <v>23</v>
      </c>
      <c r="G29" s="11" t="s">
        <v>24</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3"/>
  </cols>
  <sheetData>
    <row r="1" customFormat="false" ht="15" hidden="false" customHeight="false" outlineLevel="0" collapsed="false">
      <c r="A1" s="1" t="s">
        <v>25</v>
      </c>
    </row>
    <row r="2" customFormat="false" ht="139.5" hidden="false" customHeight="true" outlineLevel="0" collapsed="false">
      <c r="A2" s="2" t="s">
        <v>26</v>
      </c>
      <c r="B2" s="2"/>
      <c r="C2" s="2"/>
      <c r="D2" s="2"/>
      <c r="E2" s="2"/>
      <c r="F2" s="2"/>
      <c r="G2" s="2"/>
      <c r="H2" s="2"/>
      <c r="I2" s="2"/>
      <c r="J2" s="2"/>
    </row>
    <row r="4" customFormat="false" ht="15" hidden="false" customHeight="false" outlineLevel="0" collapsed="false">
      <c r="A4" s="1" t="s">
        <v>8</v>
      </c>
    </row>
    <row r="5" customFormat="false" ht="30" hidden="false" customHeight="true" outlineLevel="0" collapsed="false">
      <c r="A5" s="3"/>
      <c r="B5" s="4" t="s">
        <v>27</v>
      </c>
      <c r="C5" s="4" t="s">
        <v>28</v>
      </c>
      <c r="D5" s="4" t="s">
        <v>29</v>
      </c>
      <c r="E5" s="4" t="s">
        <v>30</v>
      </c>
      <c r="F5" s="4" t="s">
        <v>31</v>
      </c>
      <c r="G5" s="4" t="s">
        <v>32</v>
      </c>
      <c r="H5" s="4" t="s">
        <v>33</v>
      </c>
      <c r="I5" s="4" t="s">
        <v>34</v>
      </c>
      <c r="J5" s="4" t="s">
        <v>35</v>
      </c>
    </row>
    <row r="6" customFormat="false" ht="15" hidden="false" customHeight="false" outlineLevel="0" collapsed="false">
      <c r="A6" s="5" t="s">
        <v>9</v>
      </c>
      <c r="B6" s="6" t="str">
        <f aca="false">IF(Estimates!I22="","",TEXT(Estimates!E22,"0.000")&amp;IF(Estimates!I22&lt;0.01,"***",IF(Estimates!I22&lt;0.05,"**",IF(Estimates!I22&lt;0.1,"*",""))))</f>
        <v>-0.236</v>
      </c>
      <c r="C6" s="6" t="str">
        <f aca="false">IF(Estimates!I23="","",TEXT(Estimates!E23,"0.000")&amp;IF(Estimates!I23&lt;0.01,"***",IF(Estimates!I23&lt;0.05,"**",IF(Estimates!I23&lt;0.1,"*",""))))</f>
        <v>-0.274*</v>
      </c>
      <c r="D6" s="6" t="str">
        <f aca="false">IF(Estimates!I24="","",TEXT(Estimates!E24,"0.000")&amp;IF(Estimates!I24&lt;0.01,"***",IF(Estimates!I24&lt;0.05,"**",IF(Estimates!I24&lt;0.1,"*",""))))</f>
        <v>-0.507**</v>
      </c>
      <c r="E6" s="6" t="str">
        <f aca="false">IF(Estimates!I25="","",TEXT(Estimates!E25,"0.000")&amp;IF(Estimates!I25&lt;0.01,"***",IF(Estimates!I25&lt;0.05,"**",IF(Estimates!I25&lt;0.1,"*",""))))</f>
        <v>-0.475***</v>
      </c>
      <c r="F6" s="6" t="str">
        <f aca="false">IF(Estimates!I26="","",TEXT(Estimates!E26,"0.000")&amp;IF(Estimates!I26&lt;0.01,"***",IF(Estimates!I26&lt;0.05,"**",IF(Estimates!I26&lt;0.1,"*",""))))</f>
        <v>-0.268*</v>
      </c>
      <c r="G6" s="6" t="str">
        <f aca="false">IF(Estimates!I27="","",TEXT(Estimates!E27,"0.000")&amp;IF(Estimates!I27&lt;0.01,"***",IF(Estimates!I27&lt;0.05,"**",IF(Estimates!I27&lt;0.1,"*",""))))</f>
        <v>-0.360**</v>
      </c>
      <c r="H6" s="6" t="str">
        <f aca="false">IF(Estimates!I28="","",TEXT(Estimates!E28,"0.000")&amp;IF(Estimates!I28&lt;0.01,"***",IF(Estimates!I28&lt;0.05,"**",IF(Estimates!I28&lt;0.1,"*",""))))</f>
        <v>-0.460***</v>
      </c>
      <c r="I6" s="6" t="str">
        <f aca="false">IF(Estimates!I29="","",TEXT(Estimates!E29,"0.000")&amp;IF(Estimates!I29&lt;0.01,"***",IF(Estimates!I29&lt;0.05,"**",IF(Estimates!I29&lt;0.1,"*",""))))</f>
        <v>-0.472***</v>
      </c>
      <c r="J6" s="6" t="str">
        <f aca="false">IF(Estimates!I30="","",TEXT(Estimates!E30,"0.000")&amp;IF(Estimates!I30&lt;0.01,"***",IF(Estimates!I30&lt;0.05,"**",IF(Estimates!I30&lt;0.1,"*",""))))</f>
        <v>-0.343**</v>
      </c>
    </row>
    <row r="7" customFormat="false" ht="15" hidden="false" customHeight="false" outlineLevel="0" collapsed="false">
      <c r="B7" s="6" t="str">
        <f aca="false">IF(Estimates!H22="","","("&amp;TEXT(Estimates!H22,"0.00")&amp;")")</f>
        <v>(-1.09)</v>
      </c>
      <c r="C7" s="6" t="str">
        <f aca="false">IF(Estimates!H23="","","("&amp;TEXT(Estimates!H23,"0.00")&amp;")")</f>
        <v>(-1.87)</v>
      </c>
      <c r="D7" s="6" t="str">
        <f aca="false">IF(Estimates!H24="","","("&amp;TEXT(Estimates!H24,"0.00")&amp;")")</f>
        <v>(-2.35)</v>
      </c>
      <c r="E7" s="6" t="str">
        <f aca="false">IF(Estimates!H25="","","("&amp;TEXT(Estimates!H25,"0.00")&amp;")")</f>
        <v>(-3.44)</v>
      </c>
      <c r="F7" s="6" t="str">
        <f aca="false">IF(Estimates!H26="","","("&amp;TEXT(Estimates!H26,"0.00")&amp;")")</f>
        <v>(-1.75)</v>
      </c>
      <c r="G7" s="6" t="str">
        <f aca="false">IF(Estimates!H27="","","("&amp;TEXT(Estimates!H27,"0.00")&amp;")")</f>
        <v>(-2.80)</v>
      </c>
      <c r="H7" s="6" t="str">
        <f aca="false">IF(Estimates!H28="","","("&amp;TEXT(Estimates!H28,"0.00")&amp;")")</f>
        <v>(-2.99)</v>
      </c>
      <c r="I7" s="6" t="str">
        <f aca="false">IF(Estimates!H29="","","("&amp;TEXT(Estimates!H29,"0.00")&amp;")")</f>
        <v>(-2.93)</v>
      </c>
      <c r="J7" s="6" t="str">
        <f aca="false">IF(Estimates!H30="","","("&amp;TEXT(Estimates!H30,"0.00")&amp;")")</f>
        <v>(-2.36)</v>
      </c>
    </row>
    <row r="8" customFormat="false" ht="15" hidden="false" customHeight="false" outlineLevel="0" collapsed="false">
      <c r="A8" s="5" t="s">
        <v>36</v>
      </c>
      <c r="B8" s="6" t="str">
        <f aca="false">IF(Estimates!I31="","",TEXT(Estimates!E31,"0.000")&amp;IF(Estimates!I31&lt;0.01,"***",IF(Estimates!I31&lt;0.05,"**",IF(Estimates!I31&lt;0.1,"*",""))))</f>
        <v>-0.358</v>
      </c>
      <c r="C8" s="6" t="str">
        <f aca="false">IF(Estimates!I32="","",TEXT(Estimates!E32,"0.000")&amp;IF(Estimates!I32&lt;0.01,"***",IF(Estimates!I32&lt;0.05,"**",IF(Estimates!I32&lt;0.1,"*",""))))</f>
        <v>-0.425**</v>
      </c>
      <c r="D8" s="6" t="str">
        <f aca="false">IF(Estimates!I33="","",TEXT(Estimates!E33,"0.000")&amp;IF(Estimates!I33&lt;0.01,"***",IF(Estimates!I33&lt;0.05,"**",IF(Estimates!I33&lt;0.1,"*",""))))</f>
        <v>0.101</v>
      </c>
      <c r="E8" s="6" t="str">
        <f aca="false">IF(Estimates!I34="","",TEXT(Estimates!E34,"0.000")&amp;IF(Estimates!I34&lt;0.01,"***",IF(Estimates!I34&lt;0.05,"**",IF(Estimates!I34&lt;0.1,"*",""))))</f>
        <v>0.101</v>
      </c>
      <c r="F8" s="6" t="str">
        <f aca="false">IF(Estimates!I35="","",TEXT(Estimates!E35,"0.000")&amp;IF(Estimates!I35&lt;0.01,"***",IF(Estimates!I35&lt;0.05,"**",IF(Estimates!I35&lt;0.1,"*",""))))</f>
        <v>-0.925***</v>
      </c>
      <c r="G8" s="6" t="str">
        <f aca="false">IF(Estimates!I36="","",TEXT(Estimates!E36,"0.000")&amp;IF(Estimates!I36&lt;0.01,"***",IF(Estimates!I36&lt;0.05,"**",IF(Estimates!I36&lt;0.1,"*",""))))</f>
        <v>-0.876*</v>
      </c>
      <c r="H8" s="6" t="str">
        <f aca="false">IF(Estimates!I37="","",TEXT(Estimates!E37,"0.000")&amp;IF(Estimates!I37&lt;0.01,"***",IF(Estimates!I37&lt;0.05,"**",IF(Estimates!I37&lt;0.1,"*",""))))</f>
        <v>0.704**</v>
      </c>
      <c r="I8" s="6" t="str">
        <f aca="false">IF(Estimates!I38="","",TEXT(Estimates!E38,"0.000")&amp;IF(Estimates!I38&lt;0.01,"***",IF(Estimates!I38&lt;0.05,"**",IF(Estimates!I38&lt;0.1,"*",""))))</f>
        <v>0.140</v>
      </c>
      <c r="J8" s="6" t="str">
        <f aca="false">IF(Estimates!I39="","",TEXT(Estimates!E39,"0.000")&amp;IF(Estimates!I39&lt;0.01,"***",IF(Estimates!I39&lt;0.05,"**",IF(Estimates!I39&lt;0.1,"*",""))))</f>
        <v>0.021</v>
      </c>
    </row>
    <row r="9" customFormat="false" ht="15" hidden="false" customHeight="false" outlineLevel="0" collapsed="false">
      <c r="B9" s="6" t="str">
        <f aca="false">IF(Estimates!H31="","","("&amp;TEXT(Estimates!H31,"0.00")&amp;")")</f>
        <v>(-1.39)</v>
      </c>
      <c r="C9" s="6" t="str">
        <f aca="false">IF(Estimates!H32="","","("&amp;TEXT(Estimates!H32,"0.00")&amp;")")</f>
        <v>(-2.45)</v>
      </c>
      <c r="D9" s="6" t="str">
        <f aca="false">IF(Estimates!H33="","","("&amp;TEXT(Estimates!H33,"0.00")&amp;")")</f>
        <v>(0.34)</v>
      </c>
      <c r="E9" s="6" t="str">
        <f aca="false">IF(Estimates!H34="","","("&amp;TEXT(Estimates!H34,"0.00")&amp;")")</f>
        <v>(0.40)</v>
      </c>
      <c r="F9" s="6" t="str">
        <f aca="false">IF(Estimates!H35="","","("&amp;TEXT(Estimates!H35,"0.00")&amp;")")</f>
        <v>(-3.53)</v>
      </c>
      <c r="G9" s="6" t="str">
        <f aca="false">IF(Estimates!H36="","","("&amp;TEXT(Estimates!H36,"0.00")&amp;")")</f>
        <v>(-2.07)</v>
      </c>
      <c r="H9" s="6" t="str">
        <f aca="false">IF(Estimates!H37="","","("&amp;TEXT(Estimates!H37,"0.00")&amp;")")</f>
        <v>(2.66)</v>
      </c>
      <c r="I9" s="6" t="str">
        <f aca="false">IF(Estimates!H38="","","("&amp;TEXT(Estimates!H38,"0.00")&amp;")")</f>
        <v>(0.61)</v>
      </c>
      <c r="J9" s="6" t="str">
        <f aca="false">IF(Estimates!H39="","","("&amp;TEXT(Estimates!H39,"0.00")&amp;")")</f>
        <v>(1.31)</v>
      </c>
    </row>
    <row r="10" customFormat="false" ht="15" hidden="false" customHeight="false" outlineLevel="0" collapsed="false">
      <c r="A10" s="5" t="s">
        <v>37</v>
      </c>
      <c r="B10" s="6" t="str">
        <f aca="false">IF(Estimates!I40="","",TEXT(Estimates!E40,"0.000")&amp;IF(Estimates!I40&lt;0.01,"***",IF(Estimates!I40&lt;0.05,"**",IF(Estimates!I40&lt;0.1,"*",""))))</f>
        <v>0.226</v>
      </c>
      <c r="C10" s="6" t="str">
        <f aca="false">IF(Estimates!I41="","",TEXT(Estimates!E41,"0.000")&amp;IF(Estimates!I41&lt;0.01,"***",IF(Estimates!I41&lt;0.05,"**",IF(Estimates!I41&lt;0.1,"*",""))))</f>
        <v>0.151</v>
      </c>
      <c r="D10" s="6" t="str">
        <f aca="false">IF(Estimates!I42="","",TEXT(Estimates!E42,"0.000")&amp;IF(Estimates!I42&lt;0.01,"***",IF(Estimates!I42&lt;0.05,"**",IF(Estimates!I42&lt;0.1,"*",""))))</f>
        <v>0.059</v>
      </c>
      <c r="E10" s="6" t="str">
        <f aca="false">IF(Estimates!I43="","",TEXT(Estimates!E43,"0.000")&amp;IF(Estimates!I43&lt;0.01,"***",IF(Estimates!I43&lt;0.05,"**",IF(Estimates!I43&lt;0.1,"*",""))))</f>
        <v>-0.216</v>
      </c>
      <c r="F10" s="6" t="str">
        <f aca="false">IF(Estimates!I44="","",TEXT(Estimates!E44,"0.000")&amp;IF(Estimates!I44&lt;0.01,"***",IF(Estimates!I44&lt;0.05,"**",IF(Estimates!I44&lt;0.1,"*",""))))</f>
        <v>0.463**</v>
      </c>
      <c r="G10" s="6" t="str">
        <f aca="false">IF(Estimates!I45="","",TEXT(Estimates!E45,"0.000")&amp;IF(Estimates!I45&lt;0.01,"***",IF(Estimates!I45&lt;0.05,"**",IF(Estimates!I45&lt;0.1,"*",""))))</f>
        <v>-0.085</v>
      </c>
      <c r="H10" s="6" t="str">
        <f aca="false">IF(Estimates!I46="","",TEXT(Estimates!E46,"0.000")&amp;IF(Estimates!I46&lt;0.01,"***",IF(Estimates!I46&lt;0.05,"**",IF(Estimates!I46&lt;0.1,"*",""))))</f>
        <v>0.024</v>
      </c>
      <c r="I10" s="6" t="str">
        <f aca="false">IF(Estimates!I47="","",TEXT(Estimates!E47,"0.000")&amp;IF(Estimates!I47&lt;0.01,"***",IF(Estimates!I47&lt;0.05,"**",IF(Estimates!I47&lt;0.1,"*",""))))</f>
        <v>0.029</v>
      </c>
      <c r="J10" s="6" t="str">
        <f aca="false">IF(Estimates!I48="","",TEXT(Estimates!E48,"0.000")&amp;IF(Estimates!I48&lt;0.01,"***",IF(Estimates!I48&lt;0.05,"**",IF(Estimates!I48&lt;0.1,"*",""))))</f>
        <v>-0.020</v>
      </c>
    </row>
    <row r="11" customFormat="false" ht="15" hidden="false" customHeight="false" outlineLevel="0" collapsed="false">
      <c r="B11" s="6" t="str">
        <f aca="false">IF(Estimates!H40="","","("&amp;TEXT(Estimates!H40,"0.00")&amp;")")</f>
        <v>(1.14)</v>
      </c>
      <c r="C11" s="6" t="str">
        <f aca="false">IF(Estimates!H41="","","("&amp;TEXT(Estimates!H41,"0.00")&amp;")")</f>
        <v>(0.73)</v>
      </c>
      <c r="D11" s="6" t="str">
        <f aca="false">IF(Estimates!H42="","","("&amp;TEXT(Estimates!H42,"0.00")&amp;")")</f>
        <v>(0.67)</v>
      </c>
      <c r="E11" s="6" t="str">
        <f aca="false">IF(Estimates!H43="","","("&amp;TEXT(Estimates!H43,"0.00")&amp;")")</f>
        <v>(-1.50)</v>
      </c>
      <c r="F11" s="6" t="str">
        <f aca="false">IF(Estimates!H44="","","("&amp;TEXT(Estimates!H44,"0.00")&amp;")")</f>
        <v>(2.12)</v>
      </c>
      <c r="G11" s="6" t="str">
        <f aca="false">IF(Estimates!H45="","","("&amp;TEXT(Estimates!H45,"0.00")&amp;")")</f>
        <v>(-0.55)</v>
      </c>
      <c r="H11" s="6" t="str">
        <f aca="false">IF(Estimates!H46="","","("&amp;TEXT(Estimates!H46,"0.00")&amp;")")</f>
        <v>(0.16)</v>
      </c>
      <c r="I11" s="6" t="str">
        <f aca="false">IF(Estimates!H47="","","("&amp;TEXT(Estimates!H47,"0.00")&amp;")")</f>
        <v>(0.20)</v>
      </c>
      <c r="J11" s="6" t="str">
        <f aca="false">IF(Estimates!H48="","","("&amp;TEXT(Estimates!H48,"0.00")&amp;")")</f>
        <v>(-1.61)</v>
      </c>
    </row>
    <row r="13" customFormat="false" ht="15" hidden="false" customHeight="false" outlineLevel="0" collapsed="false">
      <c r="A13" s="12" t="s">
        <v>38</v>
      </c>
      <c r="B13" s="13" t="str">
        <f aca="false">IF(Estimates!I49="","",TEXT(Estimates!E49,"0.000")&amp;IF(Estimates!I49&lt;0.01,"***",IF(Estimates!I49&lt;0.05,"**",IF(Estimates!I49&lt;0.1,"*",""))))</f>
        <v>-0.594***</v>
      </c>
      <c r="C13" s="13" t="str">
        <f aca="false">IF(Estimates!I50="","",TEXT(Estimates!E50,"0.000")&amp;IF(Estimates!I50&lt;0.01,"***",IF(Estimates!I50&lt;0.05,"**",IF(Estimates!I50&lt;0.1,"*",""))))</f>
        <v>-0.699***</v>
      </c>
      <c r="D13" s="13" t="str">
        <f aca="false">IF(Estimates!I51="","",TEXT(Estimates!E51,"0.000")&amp;IF(Estimates!I51&lt;0.01,"***",IF(Estimates!I51&lt;0.05,"**",IF(Estimates!I51&lt;0.1,"*",""))))</f>
        <v>-0.406**</v>
      </c>
      <c r="E13" s="13" t="str">
        <f aca="false">IF(Estimates!I52="","",TEXT(Estimates!E52,"0.000")&amp;IF(Estimates!I52&lt;0.01,"***",IF(Estimates!I52&lt;0.05,"**",IF(Estimates!I52&lt;0.1,"*",""))))</f>
        <v>-0.374</v>
      </c>
      <c r="F13" s="13" t="str">
        <f aca="false">IF(Estimates!I53="","",TEXT(Estimates!E53,"0.000")&amp;IF(Estimates!I53&lt;0.01,"***",IF(Estimates!I53&lt;0.05,"**",IF(Estimates!I53&lt;0.1,"*",""))))</f>
        <v>-1.193***</v>
      </c>
      <c r="G13" s="13" t="str">
        <f aca="false">IF(Estimates!I54="","",TEXT(Estimates!E54,"0.000")&amp;IF(Estimates!I54&lt;0.01,"***",IF(Estimates!I54&lt;0.05,"**",IF(Estimates!I54&lt;0.1,"*",""))))</f>
        <v>-1.236***</v>
      </c>
    </row>
    <row r="14" customFormat="false" ht="15" hidden="false" customHeight="false" outlineLevel="0" collapsed="false">
      <c r="B14" s="13" t="str">
        <f aca="false">IF(Estimates!H49="","","("&amp;TEXT(Estimates!H49,"0.00")&amp;")")</f>
        <v>(-3.82)</v>
      </c>
      <c r="C14" s="13" t="str">
        <f aca="false">IF(Estimates!H50="","","("&amp;TEXT(Estimates!H50,"0.00")&amp;")")</f>
        <v>(-4.15)</v>
      </c>
      <c r="D14" s="13" t="str">
        <f aca="false">IF(Estimates!H51="","","("&amp;TEXT(Estimates!H51,"0.00")&amp;")")</f>
        <v>(-2.34)</v>
      </c>
      <c r="E14" s="13" t="str">
        <f aca="false">IF(Estimates!H52="","","("&amp;TEXT(Estimates!H52,"0.00")&amp;")")</f>
        <v>(-1.51)</v>
      </c>
      <c r="F14" s="13" t="str">
        <f aca="false">IF(Estimates!H53="","","("&amp;TEXT(Estimates!H53,"0.00")&amp;")")</f>
        <v>(-6.86)</v>
      </c>
      <c r="G14" s="13" t="str">
        <f aca="false">IF(Estimates!H54="","","("&amp;TEXT(Estimates!H54,"0.00")&amp;")")</f>
        <v>(-3.22)</v>
      </c>
    </row>
    <row r="15" customFormat="false" ht="15" hidden="false" customHeight="false" outlineLevel="0" collapsed="false">
      <c r="A15" s="12" t="s">
        <v>39</v>
      </c>
      <c r="H15" s="13" t="str">
        <f aca="false">IF(Estimates!I55="","",TEXT(Estimates!E55,"0.000")&amp;IF(Estimates!I55&lt;0.01,"***",IF(Estimates!I55&lt;0.05,"**",IF(Estimates!I55&lt;0.1,"*",""))))</f>
        <v>-0.758***</v>
      </c>
      <c r="I15" s="13" t="str">
        <f aca="false">IF(Estimates!I56="","",TEXT(Estimates!E56,"0.000")&amp;IF(Estimates!I56&lt;0.01,"***",IF(Estimates!I56&lt;0.05,"**",IF(Estimates!I56&lt;0.1,"*",""))))</f>
        <v>-0.515**</v>
      </c>
      <c r="J15" s="13" t="str">
        <f aca="false">IF(Estimates!I57="","",TEXT(Estimates!E57,"0.000")&amp;IF(Estimates!I57&lt;0.01,"***",IF(Estimates!I57&lt;0.05,"**",IF(Estimates!I57&lt;0.1,"*",""))))</f>
        <v>-0.470***</v>
      </c>
    </row>
    <row r="16" customFormat="false" ht="15" hidden="false" customHeight="false" outlineLevel="0" collapsed="false">
      <c r="H16" s="13" t="str">
        <f aca="false">IF(Estimates!H55="","","("&amp;TEXT(Estimates!H55,"0.00")&amp;")")</f>
        <v>(-3.94)</v>
      </c>
      <c r="I16" s="13" t="str">
        <f aca="false">IF(Estimates!H56="","","("&amp;TEXT(Estimates!H56,"0.00")&amp;")")</f>
        <v>(-2.78)</v>
      </c>
      <c r="J16" s="13" t="str">
        <f aca="false">IF(Estimates!H57="","","("&amp;TEXT(Estimates!H57,"0.00")&amp;")")</f>
        <v>(-3.16)</v>
      </c>
    </row>
    <row r="17" customFormat="false" ht="15" hidden="false" customHeight="false" outlineLevel="0" collapsed="false">
      <c r="A17" s="12" t="s">
        <v>40</v>
      </c>
      <c r="H17" s="13" t="str">
        <f aca="false">IF(Estimates!I58="","",TEXT(Estimates!E58,"0.000")&amp;IF(Estimates!I58&lt;0.01,"***",IF(Estimates!I58&lt;0.05,"**",IF(Estimates!I58&lt;0.1,"*",""))))</f>
        <v>-0.227</v>
      </c>
      <c r="I17" s="13" t="str">
        <f aca="false">IF(Estimates!I59="","",TEXT(Estimates!E59,"0.000")&amp;IF(Estimates!I59&lt;0.01,"***",IF(Estimates!I59&lt;0.05,"**",IF(Estimates!I59&lt;0.1,"*",""))))</f>
        <v>-0.427**</v>
      </c>
      <c r="J17" s="13" t="str">
        <f aca="false">IF(Estimates!I60="","",TEXT(Estimates!E60,"0.000")&amp;IF(Estimates!I60&lt;0.01,"***",IF(Estimates!I60&lt;0.05,"**",IF(Estimates!I60&lt;0.1,"*",""))))</f>
        <v>-0.222</v>
      </c>
    </row>
    <row r="18" customFormat="false" ht="15" hidden="false" customHeight="false" outlineLevel="0" collapsed="false">
      <c r="H18" s="13" t="str">
        <f aca="false">IF(Estimates!H58="","","("&amp;TEXT(Estimates!H58,"0.00")&amp;")")</f>
        <v>(-1.30)</v>
      </c>
      <c r="I18" s="13" t="str">
        <f aca="false">IF(Estimates!H59="","","("&amp;TEXT(Estimates!H59,"0.00")&amp;")")</f>
        <v>(-2.56)</v>
      </c>
      <c r="J18" s="13" t="str">
        <f aca="false">IF(Estimates!H60="","","("&amp;TEXT(Estimates!H60,"0.00")&amp;")")</f>
        <v>(-1.14)</v>
      </c>
    </row>
    <row r="19" customFormat="false" ht="15" hidden="false" customHeight="false" outlineLevel="0" collapsed="false">
      <c r="A19" s="5" t="s">
        <v>10</v>
      </c>
      <c r="B19" s="7" t="n">
        <v>1244</v>
      </c>
      <c r="C19" s="7" t="n">
        <v>1310</v>
      </c>
      <c r="D19" s="7" t="n">
        <v>1313</v>
      </c>
      <c r="E19" s="7" t="n">
        <v>1313</v>
      </c>
      <c r="F19" s="7" t="n">
        <v>1300</v>
      </c>
      <c r="G19" s="7" t="n">
        <v>1313</v>
      </c>
      <c r="H19" s="7" t="n">
        <v>930</v>
      </c>
      <c r="I19" s="7" t="n">
        <v>1128</v>
      </c>
      <c r="J19" s="7" t="n">
        <v>1310</v>
      </c>
    </row>
    <row r="20" customFormat="false" ht="15" hidden="false" customHeight="false" outlineLevel="0" collapsed="false">
      <c r="A20" s="10" t="s">
        <v>12</v>
      </c>
      <c r="B20" s="14" t="n">
        <v>0.164496747493566</v>
      </c>
      <c r="C20" s="14" t="n">
        <v>0.167161826410431</v>
      </c>
      <c r="D20" s="14" t="n">
        <v>0.166978536599095</v>
      </c>
      <c r="E20" s="14" t="n">
        <v>0.166951816645617</v>
      </c>
      <c r="F20" s="14" t="n">
        <v>0.171478884924043</v>
      </c>
      <c r="G20" s="14" t="n">
        <v>0.169836028421684</v>
      </c>
      <c r="H20" s="14" t="n">
        <v>0.156920600746335</v>
      </c>
      <c r="I20" s="14" t="n">
        <v>0.176312977993817</v>
      </c>
      <c r="J20" s="14" t="n">
        <v>0.164260085784753</v>
      </c>
    </row>
    <row r="23" customFormat="false" ht="15" hidden="false" customHeight="false" outlineLevel="0" collapsed="false">
      <c r="A23" s="1" t="s">
        <v>13</v>
      </c>
    </row>
    <row r="24" customFormat="false" ht="30" hidden="false" customHeight="true" outlineLevel="0" collapsed="false">
      <c r="A24" s="3"/>
      <c r="B24" s="4" t="s">
        <v>27</v>
      </c>
      <c r="C24" s="4" t="s">
        <v>28</v>
      </c>
      <c r="D24" s="4" t="s">
        <v>29</v>
      </c>
      <c r="E24" s="4" t="s">
        <v>30</v>
      </c>
      <c r="F24" s="4" t="s">
        <v>31</v>
      </c>
      <c r="G24" s="4" t="s">
        <v>32</v>
      </c>
      <c r="H24" s="4" t="s">
        <v>33</v>
      </c>
      <c r="I24" s="4" t="s">
        <v>34</v>
      </c>
      <c r="J24" s="4" t="s">
        <v>35</v>
      </c>
    </row>
    <row r="25" customFormat="false" ht="15" hidden="false" customHeight="false" outlineLevel="0" collapsed="false">
      <c r="A25" s="5" t="s">
        <v>9</v>
      </c>
      <c r="B25" s="6" t="str">
        <f aca="false">IF(Estimates!I61="","",TEXT(Estimates!E61,"0.000")&amp;IF(Estimates!I61&lt;0.01,"***",IF(Estimates!I61&lt;0.05,"**",IF(Estimates!I61&lt;0.1,"*",""))))</f>
        <v>-0.187</v>
      </c>
      <c r="C25" s="6" t="str">
        <f aca="false">IF(Estimates!I62="","",TEXT(Estimates!E62,"0.000")&amp;IF(Estimates!I62&lt;0.01,"***",IF(Estimates!I62&lt;0.05,"**",IF(Estimates!I62&lt;0.1,"*",""))))</f>
        <v>-0.252</v>
      </c>
      <c r="D25" s="6" t="str">
        <f aca="false">IF(Estimates!I63="","",TEXT(Estimates!E63,"0.000")&amp;IF(Estimates!I63&lt;0.01,"***",IF(Estimates!I63&lt;0.05,"**",IF(Estimates!I63&lt;0.1,"*",""))))</f>
        <v>-0.467**</v>
      </c>
      <c r="E25" s="6" t="str">
        <f aca="false">IF(Estimates!I64="","",TEXT(Estimates!E64,"0.000")&amp;IF(Estimates!I64&lt;0.01,"***",IF(Estimates!I64&lt;0.05,"**",IF(Estimates!I64&lt;0.1,"*",""))))</f>
        <v>-0.458***</v>
      </c>
      <c r="F25" s="6" t="str">
        <f aca="false">IF(Estimates!I65="","",TEXT(Estimates!E65,"0.000")&amp;IF(Estimates!I65&lt;0.01,"***",IF(Estimates!I65&lt;0.05,"**",IF(Estimates!I65&lt;0.1,"*",""))))</f>
        <v>-0.231</v>
      </c>
      <c r="G25" s="6" t="str">
        <f aca="false">IF(Estimates!I66="","",TEXT(Estimates!E66,"0.000")&amp;IF(Estimates!I66&lt;0.01,"***",IF(Estimates!I66&lt;0.05,"**",IF(Estimates!I66&lt;0.1,"*",""))))</f>
        <v>-0.354**</v>
      </c>
      <c r="H25" s="6" t="str">
        <f aca="false">IF(Estimates!I67="","",TEXT(Estimates!E67,"0.000")&amp;IF(Estimates!I67&lt;0.01,"***",IF(Estimates!I67&lt;0.05,"**",IF(Estimates!I67&lt;0.1,"*",""))))</f>
        <v>-0.473***</v>
      </c>
      <c r="I25" s="6" t="str">
        <f aca="false">IF(Estimates!I68="","",TEXT(Estimates!E68,"0.000")&amp;IF(Estimates!I68&lt;0.01,"***",IF(Estimates!I68&lt;0.05,"**",IF(Estimates!I68&lt;0.1,"*",""))))</f>
        <v>-0.466**</v>
      </c>
      <c r="J25" s="6" t="str">
        <f aca="false">IF(Estimates!I69="","",TEXT(Estimates!E69,"0.000")&amp;IF(Estimates!I69&lt;0.01,"***",IF(Estimates!I69&lt;0.05,"**",IF(Estimates!I69&lt;0.1,"*",""))))</f>
        <v>-0.329**</v>
      </c>
    </row>
    <row r="26" customFormat="false" ht="15" hidden="false" customHeight="false" outlineLevel="0" collapsed="false">
      <c r="B26" s="6" t="str">
        <f aca="false">IF(Estimates!H61="","","("&amp;TEXT(Estimates!H61,"0.00")&amp;")")</f>
        <v>(-0.89)</v>
      </c>
      <c r="C26" s="6" t="str">
        <f aca="false">IF(Estimates!H62="","","("&amp;TEXT(Estimates!H62,"0.00")&amp;")")</f>
        <v>(-1.66)</v>
      </c>
      <c r="D26" s="6" t="str">
        <f aca="false">IF(Estimates!H63="","","("&amp;TEXT(Estimates!H63,"0.00")&amp;")")</f>
        <v>(-2.13)</v>
      </c>
      <c r="E26" s="6" t="str">
        <f aca="false">IF(Estimates!H64="","","("&amp;TEXT(Estimates!H64,"0.00")&amp;")")</f>
        <v>(-3.33)</v>
      </c>
      <c r="F26" s="6" t="str">
        <f aca="false">IF(Estimates!H65="","","("&amp;TEXT(Estimates!H65,"0.00")&amp;")")</f>
        <v>(-1.57)</v>
      </c>
      <c r="G26" s="6" t="str">
        <f aca="false">IF(Estimates!H66="","","("&amp;TEXT(Estimates!H66,"0.00")&amp;")")</f>
        <v>(-2.66)</v>
      </c>
      <c r="H26" s="6" t="str">
        <f aca="false">IF(Estimates!H67="","","("&amp;TEXT(Estimates!H67,"0.00")&amp;")")</f>
        <v>(-3.05)</v>
      </c>
      <c r="I26" s="6" t="str">
        <f aca="false">IF(Estimates!H68="","","("&amp;TEXT(Estimates!H68,"0.00")&amp;")")</f>
        <v>(-2.86)</v>
      </c>
      <c r="J26" s="6" t="str">
        <f aca="false">IF(Estimates!H69="","","("&amp;TEXT(Estimates!H69,"0.00")&amp;")")</f>
        <v>(-2.21)</v>
      </c>
    </row>
    <row r="27" customFormat="false" ht="15" hidden="false" customHeight="false" outlineLevel="0" collapsed="false">
      <c r="A27" s="5" t="s">
        <v>36</v>
      </c>
      <c r="B27" s="6" t="str">
        <f aca="false">IF(Estimates!I70="","",TEXT(Estimates!E70,"0.000")&amp;IF(Estimates!I70&lt;0.01,"***",IF(Estimates!I70&lt;0.05,"**",IF(Estimates!I70&lt;0.1,"*",""))))</f>
        <v>-0.415</v>
      </c>
      <c r="C27" s="6" t="str">
        <f aca="false">IF(Estimates!I71="","",TEXT(Estimates!E71,"0.000")&amp;IF(Estimates!I71&lt;0.01,"***",IF(Estimates!I71&lt;0.05,"**",IF(Estimates!I71&lt;0.1,"*",""))))</f>
        <v>-0.418**</v>
      </c>
      <c r="D27" s="6" t="str">
        <f aca="false">IF(Estimates!I72="","",TEXT(Estimates!E72,"0.000")&amp;IF(Estimates!I72&lt;0.01,"***",IF(Estimates!I72&lt;0.05,"**",IF(Estimates!I72&lt;0.1,"*",""))))</f>
        <v>0.067</v>
      </c>
      <c r="E27" s="6" t="str">
        <f aca="false">IF(Estimates!I73="","",TEXT(Estimates!E73,"0.000")&amp;IF(Estimates!I73&lt;0.01,"***",IF(Estimates!I73&lt;0.05,"**",IF(Estimates!I73&lt;0.1,"*",""))))</f>
        <v>0.147</v>
      </c>
      <c r="F27" s="6" t="str">
        <f aca="false">IF(Estimates!I74="","",TEXT(Estimates!E74,"0.000")&amp;IF(Estimates!I74&lt;0.01,"***",IF(Estimates!I74&lt;0.05,"**",IF(Estimates!I74&lt;0.1,"*",""))))</f>
        <v>-0.960***</v>
      </c>
      <c r="G27" s="6" t="str">
        <f aca="false">IF(Estimates!I75="","",TEXT(Estimates!E75,"0.000")&amp;IF(Estimates!I75&lt;0.01,"***",IF(Estimates!I75&lt;0.05,"**",IF(Estimates!I75&lt;0.1,"*",""))))</f>
        <v>-0.807*</v>
      </c>
      <c r="H27" s="6" t="str">
        <f aca="false">IF(Estimates!I76="","",TEXT(Estimates!E76,"0.000")&amp;IF(Estimates!I76&lt;0.01,"***",IF(Estimates!I76&lt;0.05,"**",IF(Estimates!I76&lt;0.1,"*",""))))</f>
        <v>0.710**</v>
      </c>
      <c r="I27" s="6" t="str">
        <f aca="false">IF(Estimates!I77="","",TEXT(Estimates!E77,"0.000")&amp;IF(Estimates!I77&lt;0.01,"***",IF(Estimates!I77&lt;0.05,"**",IF(Estimates!I77&lt;0.1,"*",""))))</f>
        <v>0.158</v>
      </c>
      <c r="J27" s="6" t="str">
        <f aca="false">IF(Estimates!I78="","",TEXT(Estimates!E78,"0.000")&amp;IF(Estimates!I78&lt;0.01,"***",IF(Estimates!I78&lt;0.05,"**",IF(Estimates!I78&lt;0.1,"*",""))))</f>
        <v>0.019</v>
      </c>
    </row>
    <row r="28" customFormat="false" ht="15" hidden="false" customHeight="false" outlineLevel="0" collapsed="false">
      <c r="B28" s="6" t="str">
        <f aca="false">IF(Estimates!H70="","","("&amp;TEXT(Estimates!H70,"0.00")&amp;")")</f>
        <v>(-1.64)</v>
      </c>
      <c r="C28" s="6" t="str">
        <f aca="false">IF(Estimates!H71="","","("&amp;TEXT(Estimates!H71,"0.00")&amp;")")</f>
        <v>(-2.27)</v>
      </c>
      <c r="D28" s="6" t="str">
        <f aca="false">IF(Estimates!H72="","","("&amp;TEXT(Estimates!H72,"0.00")&amp;")")</f>
        <v>(0.22)</v>
      </c>
      <c r="E28" s="6" t="str">
        <f aca="false">IF(Estimates!H73="","","("&amp;TEXT(Estimates!H73,"0.00")&amp;")")</f>
        <v>(0.55)</v>
      </c>
      <c r="F28" s="6" t="str">
        <f aca="false">IF(Estimates!H74="","","("&amp;TEXT(Estimates!H74,"0.00")&amp;")")</f>
        <v>(-3.96)</v>
      </c>
      <c r="G28" s="6" t="str">
        <f aca="false">IF(Estimates!H75="","","("&amp;TEXT(Estimates!H75,"0.00")&amp;")")</f>
        <v>(-1.83)</v>
      </c>
      <c r="H28" s="6" t="str">
        <f aca="false">IF(Estimates!H76="","","("&amp;TEXT(Estimates!H76,"0.00")&amp;")")</f>
        <v>(2.65)</v>
      </c>
      <c r="I28" s="6" t="str">
        <f aca="false">IF(Estimates!H77="","","("&amp;TEXT(Estimates!H77,"0.00")&amp;")")</f>
        <v>(0.68)</v>
      </c>
      <c r="J28" s="6" t="str">
        <f aca="false">IF(Estimates!H78="","","("&amp;TEXT(Estimates!H78,"0.00")&amp;")")</f>
        <v>(1.18)</v>
      </c>
    </row>
    <row r="29" customFormat="false" ht="15" hidden="false" customHeight="false" outlineLevel="0" collapsed="false">
      <c r="A29" s="5" t="s">
        <v>37</v>
      </c>
      <c r="B29" s="6" t="str">
        <f aca="false">IF(Estimates!I79="","",TEXT(Estimates!E79,"0.000")&amp;IF(Estimates!I79&lt;0.01,"***",IF(Estimates!I79&lt;0.05,"**",IF(Estimates!I79&lt;0.1,"*",""))))</f>
        <v>0.226</v>
      </c>
      <c r="C29" s="6" t="str">
        <f aca="false">IF(Estimates!I80="","",TEXT(Estimates!E80,"0.000")&amp;IF(Estimates!I80&lt;0.01,"***",IF(Estimates!I80&lt;0.05,"**",IF(Estimates!I80&lt;0.1,"*",""))))</f>
        <v>0.140</v>
      </c>
      <c r="D29" s="6" t="str">
        <f aca="false">IF(Estimates!I81="","",TEXT(Estimates!E81,"0.000")&amp;IF(Estimates!I81&lt;0.01,"***",IF(Estimates!I81&lt;0.05,"**",IF(Estimates!I81&lt;0.1,"*",""))))</f>
        <v>0.058</v>
      </c>
      <c r="E29" s="6" t="str">
        <f aca="false">IF(Estimates!I82="","",TEXT(Estimates!E82,"0.000")&amp;IF(Estimates!I82&lt;0.01,"***",IF(Estimates!I82&lt;0.05,"**",IF(Estimates!I82&lt;0.1,"*",""))))</f>
        <v>-0.222</v>
      </c>
      <c r="F29" s="6" t="str">
        <f aca="false">IF(Estimates!I83="","",TEXT(Estimates!E83,"0.000")&amp;IF(Estimates!I83&lt;0.01,"***",IF(Estimates!I83&lt;0.05,"**",IF(Estimates!I83&lt;0.1,"*",""))))</f>
        <v>0.462*</v>
      </c>
      <c r="G29" s="6" t="str">
        <f aca="false">IF(Estimates!I84="","",TEXT(Estimates!E84,"0.000")&amp;IF(Estimates!I84&lt;0.01,"***",IF(Estimates!I84&lt;0.05,"**",IF(Estimates!I84&lt;0.1,"*",""))))</f>
        <v>-0.094</v>
      </c>
      <c r="H29" s="6" t="str">
        <f aca="false">IF(Estimates!I85="","",TEXT(Estimates!E85,"0.000")&amp;IF(Estimates!I85&lt;0.01,"***",IF(Estimates!I85&lt;0.05,"**",IF(Estimates!I85&lt;0.1,"*",""))))</f>
        <v>0.022</v>
      </c>
      <c r="I29" s="6" t="str">
        <f aca="false">IF(Estimates!I86="","",TEXT(Estimates!E86,"0.000")&amp;IF(Estimates!I86&lt;0.01,"***",IF(Estimates!I86&lt;0.05,"**",IF(Estimates!I86&lt;0.1,"*",""))))</f>
        <v>0.029</v>
      </c>
      <c r="J29" s="6" t="str">
        <f aca="false">IF(Estimates!I87="","",TEXT(Estimates!E87,"0.000")&amp;IF(Estimates!I87&lt;0.01,"***",IF(Estimates!I87&lt;0.05,"**",IF(Estimates!I87&lt;0.1,"*",""))))</f>
        <v>-0.020</v>
      </c>
    </row>
    <row r="30" customFormat="false" ht="15" hidden="false" customHeight="false" outlineLevel="0" collapsed="false">
      <c r="B30" s="6" t="str">
        <f aca="false">IF(Estimates!H79="","","("&amp;TEXT(Estimates!H79,"0.00")&amp;")")</f>
        <v>(1.14)</v>
      </c>
      <c r="C30" s="6" t="str">
        <f aca="false">IF(Estimates!H80="","","("&amp;TEXT(Estimates!H80,"0.00")&amp;")")</f>
        <v>(0.65)</v>
      </c>
      <c r="D30" s="6" t="str">
        <f aca="false">IF(Estimates!H81="","","("&amp;TEXT(Estimates!H81,"0.00")&amp;")")</f>
        <v>(0.65)</v>
      </c>
      <c r="E30" s="6" t="str">
        <f aca="false">IF(Estimates!H82="","","("&amp;TEXT(Estimates!H82,"0.00")&amp;")")</f>
        <v>(-1.51)</v>
      </c>
      <c r="F30" s="6" t="str">
        <f aca="false">IF(Estimates!H83="","","("&amp;TEXT(Estimates!H83,"0.00")&amp;")")</f>
        <v>(2.10)</v>
      </c>
      <c r="G30" s="6" t="str">
        <f aca="false">IF(Estimates!H84="","","("&amp;TEXT(Estimates!H84,"0.00")&amp;")")</f>
        <v>(-0.61)</v>
      </c>
      <c r="H30" s="6" t="str">
        <f aca="false">IF(Estimates!H85="","","("&amp;TEXT(Estimates!H85,"0.00")&amp;")")</f>
        <v>(0.15)</v>
      </c>
      <c r="I30" s="6" t="str">
        <f aca="false">IF(Estimates!H86="","","("&amp;TEXT(Estimates!H86,"0.00")&amp;")")</f>
        <v>(0.20)</v>
      </c>
      <c r="J30" s="6" t="str">
        <f aca="false">IF(Estimates!H87="","","("&amp;TEXT(Estimates!H87,"0.00")&amp;")")</f>
        <v>(-1.57)</v>
      </c>
    </row>
    <row r="32" customFormat="false" ht="15" hidden="false" customHeight="false" outlineLevel="0" collapsed="false">
      <c r="A32" s="12" t="s">
        <v>38</v>
      </c>
      <c r="B32" s="13" t="str">
        <f aca="false">IF(Estimates!I88="","",TEXT(Estimates!E88,"0.000")&amp;IF(Estimates!I88&lt;0.01,"***",IF(Estimates!I88&lt;0.05,"**",IF(Estimates!I88&lt;0.1,"*",""))))</f>
        <v>-0.602***</v>
      </c>
      <c r="C32" s="13" t="str">
        <f aca="false">IF(Estimates!I89="","",TEXT(Estimates!E89,"0.000")&amp;IF(Estimates!I89&lt;0.01,"***",IF(Estimates!I89&lt;0.05,"**",IF(Estimates!I89&lt;0.1,"*",""))))</f>
        <v>-0.670***</v>
      </c>
      <c r="D32" s="13" t="str">
        <f aca="false">IF(Estimates!I90="","",TEXT(Estimates!E90,"0.000")&amp;IF(Estimates!I90&lt;0.01,"***",IF(Estimates!I90&lt;0.05,"**",IF(Estimates!I90&lt;0.1,"*",""))))</f>
        <v>-0.400**</v>
      </c>
      <c r="E32" s="13" t="str">
        <f aca="false">IF(Estimates!I91="","",TEXT(Estimates!E91,"0.000")&amp;IF(Estimates!I91&lt;0.01,"***",IF(Estimates!I91&lt;0.05,"**",IF(Estimates!I91&lt;0.1,"*",""))))</f>
        <v>-0.311</v>
      </c>
      <c r="F32" s="13" t="str">
        <f aca="false">IF(Estimates!I92="","",TEXT(Estimates!E92,"0.000")&amp;IF(Estimates!I92&lt;0.01,"***",IF(Estimates!I92&lt;0.05,"**",IF(Estimates!I92&lt;0.1,"*",""))))</f>
        <v>-1.190***</v>
      </c>
      <c r="G32" s="13" t="str">
        <f aca="false">IF(Estimates!I93="","",TEXT(Estimates!E93,"0.000")&amp;IF(Estimates!I93&lt;0.01,"***",IF(Estimates!I93&lt;0.05,"**",IF(Estimates!I93&lt;0.1,"*",""))))</f>
        <v>-1.160***</v>
      </c>
    </row>
    <row r="33" customFormat="false" ht="15" hidden="false" customHeight="false" outlineLevel="0" collapsed="false">
      <c r="B33" s="13" t="str">
        <f aca="false">IF(Estimates!H88="","","("&amp;TEXT(Estimates!H88,"0.00")&amp;")")</f>
        <v>(-3.83)</v>
      </c>
      <c r="C33" s="13" t="str">
        <f aca="false">IF(Estimates!H89="","","("&amp;TEXT(Estimates!H89,"0.00")&amp;")")</f>
        <v>(-3.99)</v>
      </c>
      <c r="D33" s="13" t="str">
        <f aca="false">IF(Estimates!H90="","","("&amp;TEXT(Estimates!H90,"0.00")&amp;")")</f>
        <v>(-2.28)</v>
      </c>
      <c r="E33" s="13" t="str">
        <f aca="false">IF(Estimates!H91="","","("&amp;TEXT(Estimates!H91,"0.00")&amp;")")</f>
        <v>(-1.22)</v>
      </c>
      <c r="F33" s="13" t="str">
        <f aca="false">IF(Estimates!H92="","","("&amp;TEXT(Estimates!H92,"0.00")&amp;")")</f>
        <v>(-7.10)</v>
      </c>
      <c r="G33" s="13" t="str">
        <f aca="false">IF(Estimates!H93="","","("&amp;TEXT(Estimates!H93,"0.00")&amp;")")</f>
        <v>(-2.89)</v>
      </c>
    </row>
    <row r="34" customFormat="false" ht="15" hidden="false" customHeight="false" outlineLevel="0" collapsed="false">
      <c r="A34" s="12" t="s">
        <v>39</v>
      </c>
      <c r="H34" s="13" t="str">
        <f aca="false">IF(Estimates!I94="","",TEXT(Estimates!E94,"0.000")&amp;IF(Estimates!I94&lt;0.01,"***",IF(Estimates!I94&lt;0.05,"**",IF(Estimates!I94&lt;0.1,"*",""))))</f>
        <v>-0.771***</v>
      </c>
      <c r="I34" s="13" t="str">
        <f aca="false">IF(Estimates!I95="","",TEXT(Estimates!E95,"0.000")&amp;IF(Estimates!I95&lt;0.01,"***",IF(Estimates!I95&lt;0.05,"**",IF(Estimates!I95&lt;0.1,"*",""))))</f>
        <v>-0.514**</v>
      </c>
      <c r="J34" s="13" t="str">
        <f aca="false">IF(Estimates!I96="","",TEXT(Estimates!E96,"0.000")&amp;IF(Estimates!I96&lt;0.01,"***",IF(Estimates!I96&lt;0.05,"**",IF(Estimates!I96&lt;0.1,"*",""))))</f>
        <v>-0.443***</v>
      </c>
    </row>
    <row r="35" customFormat="false" ht="15" hidden="false" customHeight="false" outlineLevel="0" collapsed="false">
      <c r="H35" s="13" t="str">
        <f aca="false">IF(Estimates!H94="","","("&amp;TEXT(Estimates!H94,"0.00")&amp;")")</f>
        <v>(-3.88)</v>
      </c>
      <c r="I35" s="13" t="str">
        <f aca="false">IF(Estimates!H95="","","("&amp;TEXT(Estimates!H95,"0.00")&amp;")")</f>
        <v>(-2.73)</v>
      </c>
      <c r="J35" s="13" t="str">
        <f aca="false">IF(Estimates!H96="","","("&amp;TEXT(Estimates!H96,"0.00")&amp;")")</f>
        <v>(-2.97)</v>
      </c>
    </row>
    <row r="36" customFormat="false" ht="15" hidden="false" customHeight="false" outlineLevel="0" collapsed="false">
      <c r="A36" s="12" t="s">
        <v>40</v>
      </c>
      <c r="H36" s="13" t="str">
        <f aca="false">IF(Estimates!I97="","",TEXT(Estimates!E97,"0.000")&amp;IF(Estimates!I97&lt;0.01,"***",IF(Estimates!I97&lt;0.05,"**",IF(Estimates!I97&lt;0.1,"*",""))))</f>
        <v>-0.238</v>
      </c>
      <c r="I36" s="13" t="str">
        <f aca="false">IF(Estimates!I98="","",TEXT(Estimates!E98,"0.000")&amp;IF(Estimates!I98&lt;0.01,"***",IF(Estimates!I98&lt;0.05,"**",IF(Estimates!I98&lt;0.1,"*",""))))</f>
        <v>-0.415**</v>
      </c>
      <c r="J36" s="13" t="str">
        <f aca="false">IF(Estimates!I99="","",TEXT(Estimates!E99,"0.000")&amp;IF(Estimates!I99&lt;0.01,"***",IF(Estimates!I99&lt;0.05,"**",IF(Estimates!I99&lt;0.1,"*",""))))</f>
        <v>-0.220</v>
      </c>
    </row>
    <row r="37" customFormat="false" ht="15" hidden="false" customHeight="false" outlineLevel="0" collapsed="false">
      <c r="H37" s="13" t="str">
        <f aca="false">IF(Estimates!H97="","","("&amp;TEXT(Estimates!H97,"0.00")&amp;")")</f>
        <v>(-1.38)</v>
      </c>
      <c r="I37" s="13" t="str">
        <f aca="false">IF(Estimates!H98="","","("&amp;TEXT(Estimates!H98,"0.00")&amp;")")</f>
        <v>(-2.48)</v>
      </c>
      <c r="J37" s="13" t="str">
        <f aca="false">IF(Estimates!H99="","","("&amp;TEXT(Estimates!H99,"0.00")&amp;")")</f>
        <v>(-1.10)</v>
      </c>
    </row>
    <row r="38" customFormat="false" ht="15" hidden="false" customHeight="false" outlineLevel="0" collapsed="false">
      <c r="A38" s="5" t="s">
        <v>10</v>
      </c>
      <c r="B38" s="7" t="n">
        <v>1234</v>
      </c>
      <c r="C38" s="7" t="n">
        <v>1298</v>
      </c>
      <c r="D38" s="7" t="n">
        <v>1301</v>
      </c>
      <c r="E38" s="7" t="n">
        <v>1301</v>
      </c>
      <c r="F38" s="7" t="n">
        <v>1288</v>
      </c>
      <c r="G38" s="7" t="n">
        <v>1301</v>
      </c>
      <c r="H38" s="7" t="n">
        <v>923</v>
      </c>
      <c r="I38" s="7" t="n">
        <v>1119</v>
      </c>
      <c r="J38" s="7" t="n">
        <v>1298</v>
      </c>
    </row>
    <row r="39" customFormat="false" ht="15" hidden="false" customHeight="false" outlineLevel="0" collapsed="false">
      <c r="A39" s="10" t="s">
        <v>12</v>
      </c>
      <c r="B39" s="14" t="n">
        <v>0.164505775122686</v>
      </c>
      <c r="C39" s="14" t="n">
        <v>0.16739002333207</v>
      </c>
      <c r="D39" s="14" t="n">
        <v>0.16724484263346</v>
      </c>
      <c r="E39" s="14" t="n">
        <v>0.167308339049255</v>
      </c>
      <c r="F39" s="14" t="n">
        <v>0.172101968390198</v>
      </c>
      <c r="G39" s="14" t="n">
        <v>0.169428285395873</v>
      </c>
      <c r="H39" s="14" t="n">
        <v>0.156035627454408</v>
      </c>
      <c r="I39" s="14" t="n">
        <v>0.176064481619794</v>
      </c>
      <c r="J39" s="14" t="n">
        <v>0.16430846218079</v>
      </c>
    </row>
    <row r="42" customFormat="false" ht="15" hidden="false" customHeight="false" outlineLevel="0" collapsed="false">
      <c r="A42" s="1" t="s">
        <v>14</v>
      </c>
    </row>
    <row r="43" customFormat="false" ht="30" hidden="false" customHeight="true" outlineLevel="0" collapsed="false">
      <c r="A43" s="3"/>
      <c r="B43" s="4" t="s">
        <v>27</v>
      </c>
      <c r="C43" s="4" t="s">
        <v>28</v>
      </c>
      <c r="D43" s="4" t="s">
        <v>29</v>
      </c>
      <c r="E43" s="4" t="s">
        <v>30</v>
      </c>
      <c r="F43" s="4" t="s">
        <v>31</v>
      </c>
      <c r="G43" s="4" t="s">
        <v>32</v>
      </c>
      <c r="H43" s="4" t="s">
        <v>33</v>
      </c>
      <c r="I43" s="4" t="s">
        <v>34</v>
      </c>
      <c r="J43" s="4" t="s">
        <v>35</v>
      </c>
    </row>
    <row r="44" customFormat="false" ht="15" hidden="false" customHeight="false" outlineLevel="0" collapsed="false">
      <c r="A44" s="5" t="s">
        <v>9</v>
      </c>
      <c r="B44" s="6" t="str">
        <f aca="false">IF(Estimates!I100="","",TEXT(Estimates!E100,"0.000")&amp;IF(Estimates!I100&lt;0.01,"***",IF(Estimates!I100&lt;0.05,"**",IF(Estimates!I100&lt;0.1,"*",""))))</f>
        <v>-0.229</v>
      </c>
      <c r="C44" s="6" t="str">
        <f aca="false">IF(Estimates!I101="","",TEXT(Estimates!E101,"0.000")&amp;IF(Estimates!I101&lt;0.01,"***",IF(Estimates!I101&lt;0.05,"**",IF(Estimates!I101&lt;0.1,"*",""))))</f>
        <v>-0.242</v>
      </c>
      <c r="D44" s="6" t="str">
        <f aca="false">IF(Estimates!I102="","",TEXT(Estimates!E102,"0.000")&amp;IF(Estimates!I102&lt;0.01,"***",IF(Estimates!I102&lt;0.05,"**",IF(Estimates!I102&lt;0.1,"*",""))))</f>
        <v>-0.380*</v>
      </c>
      <c r="E44" s="6" t="str">
        <f aca="false">IF(Estimates!I103="","",TEXT(Estimates!E103,"0.000")&amp;IF(Estimates!I103&lt;0.01,"***",IF(Estimates!I103&lt;0.05,"**",IF(Estimates!I103&lt;0.1,"*",""))))</f>
        <v>-0.424***</v>
      </c>
      <c r="F44" s="6" t="str">
        <f aca="false">IF(Estimates!I104="","",TEXT(Estimates!E104,"0.000")&amp;IF(Estimates!I104&lt;0.01,"***",IF(Estimates!I104&lt;0.05,"**",IF(Estimates!I104&lt;0.1,"*",""))))</f>
        <v>-0.213</v>
      </c>
      <c r="G44" s="6" t="str">
        <f aca="false">IF(Estimates!I105="","",TEXT(Estimates!E105,"0.000")&amp;IF(Estimates!I105&lt;0.01,"***",IF(Estimates!I105&lt;0.05,"**",IF(Estimates!I105&lt;0.1,"*",""))))</f>
        <v>-0.309*</v>
      </c>
      <c r="H44" s="6" t="str">
        <f aca="false">IF(Estimates!I106="","",TEXT(Estimates!E106,"0.000")&amp;IF(Estimates!I106&lt;0.01,"***",IF(Estimates!I106&lt;0.05,"**",IF(Estimates!I106&lt;0.1,"*",""))))</f>
        <v>-0.455***</v>
      </c>
      <c r="I44" s="6" t="str">
        <f aca="false">IF(Estimates!I107="","",TEXT(Estimates!E107,"0.000")&amp;IF(Estimates!I107&lt;0.01,"***",IF(Estimates!I107&lt;0.05,"**",IF(Estimates!I107&lt;0.1,"*",""))))</f>
        <v>-0.424**</v>
      </c>
      <c r="J44" s="6" t="str">
        <f aca="false">IF(Estimates!I108="","",TEXT(Estimates!E108,"0.000")&amp;IF(Estimates!I108&lt;0.01,"***",IF(Estimates!I108&lt;0.05,"**",IF(Estimates!I108&lt;0.1,"*",""))))</f>
        <v>-0.317**</v>
      </c>
    </row>
    <row r="45" customFormat="false" ht="15" hidden="false" customHeight="false" outlineLevel="0" collapsed="false">
      <c r="B45" s="6" t="str">
        <f aca="false">IF(Estimates!H100="","","("&amp;TEXT(Estimates!H100,"0.00")&amp;")")</f>
        <v>(-1.10)</v>
      </c>
      <c r="C45" s="6" t="str">
        <f aca="false">IF(Estimates!H101="","","("&amp;TEXT(Estimates!H101,"0.00")&amp;")")</f>
        <v>(-1.57)</v>
      </c>
      <c r="D45" s="6" t="str">
        <f aca="false">IF(Estimates!H102="","","("&amp;TEXT(Estimates!H102,"0.00")&amp;")")</f>
        <v>(-1.77)</v>
      </c>
      <c r="E45" s="6" t="str">
        <f aca="false">IF(Estimates!H103="","","("&amp;TEXT(Estimates!H103,"0.00")&amp;")")</f>
        <v>(-3.37)</v>
      </c>
      <c r="F45" s="6" t="str">
        <f aca="false">IF(Estimates!H104="","","("&amp;TEXT(Estimates!H104,"0.00")&amp;")")</f>
        <v>(-1.42)</v>
      </c>
      <c r="G45" s="6" t="str">
        <f aca="false">IF(Estimates!H105="","","("&amp;TEXT(Estimates!H105,"0.00")&amp;")")</f>
        <v>(-2.09)</v>
      </c>
      <c r="H45" s="6" t="str">
        <f aca="false">IF(Estimates!H106="","","("&amp;TEXT(Estimates!H106,"0.00")&amp;")")</f>
        <v>(-2.92)</v>
      </c>
      <c r="I45" s="6" t="str">
        <f aca="false">IF(Estimates!H107="","","("&amp;TEXT(Estimates!H107,"0.00")&amp;")")</f>
        <v>(-2.73)</v>
      </c>
      <c r="J45" s="6" t="str">
        <f aca="false">IF(Estimates!H108="","","("&amp;TEXT(Estimates!H108,"0.00")&amp;")")</f>
        <v>(-2.17)</v>
      </c>
    </row>
    <row r="46" customFormat="false" ht="15" hidden="false" customHeight="false" outlineLevel="0" collapsed="false">
      <c r="A46" s="5" t="s">
        <v>36</v>
      </c>
      <c r="B46" s="6" t="str">
        <f aca="false">IF(Estimates!I109="","",TEXT(Estimates!E109,"0.000")&amp;IF(Estimates!I109&lt;0.01,"***",IF(Estimates!I109&lt;0.05,"**",IF(Estimates!I109&lt;0.1,"*",""))))</f>
        <v>-0.308</v>
      </c>
      <c r="C46" s="6" t="str">
        <f aca="false">IF(Estimates!I110="","",TEXT(Estimates!E110,"0.000")&amp;IF(Estimates!I110&lt;0.01,"***",IF(Estimates!I110&lt;0.05,"**",IF(Estimates!I110&lt;0.1,"*",""))))</f>
        <v>-0.381*</v>
      </c>
      <c r="D46" s="6" t="str">
        <f aca="false">IF(Estimates!I111="","",TEXT(Estimates!E111,"0.000")&amp;IF(Estimates!I111&lt;0.01,"***",IF(Estimates!I111&lt;0.05,"**",IF(Estimates!I111&lt;0.1,"*",""))))</f>
        <v>-0.057</v>
      </c>
      <c r="E46" s="6" t="str">
        <f aca="false">IF(Estimates!I112="","",TEXT(Estimates!E112,"0.000")&amp;IF(Estimates!I112&lt;0.01,"***",IF(Estimates!I112&lt;0.05,"**",IF(Estimates!I112&lt;0.1,"*",""))))</f>
        <v>0.093</v>
      </c>
      <c r="F46" s="6" t="str">
        <f aca="false">IF(Estimates!I113="","",TEXT(Estimates!E113,"0.000")&amp;IF(Estimates!I113&lt;0.01,"***",IF(Estimates!I113&lt;0.05,"**",IF(Estimates!I113&lt;0.1,"*",""))))</f>
        <v>-0.875***</v>
      </c>
      <c r="G46" s="6" t="str">
        <f aca="false">IF(Estimates!I114="","",TEXT(Estimates!E114,"0.000")&amp;IF(Estimates!I114&lt;0.01,"***",IF(Estimates!I114&lt;0.05,"**",IF(Estimates!I114&lt;0.1,"*",""))))</f>
        <v>-0.937*</v>
      </c>
      <c r="H46" s="6" t="str">
        <f aca="false">IF(Estimates!I115="","",TEXT(Estimates!E115,"0.000")&amp;IF(Estimates!I115&lt;0.01,"***",IF(Estimates!I115&lt;0.05,"**",IF(Estimates!I115&lt;0.1,"*",""))))</f>
        <v>0.665**</v>
      </c>
      <c r="I46" s="6" t="str">
        <f aca="false">IF(Estimates!I116="","",TEXT(Estimates!E116,"0.000")&amp;IF(Estimates!I116&lt;0.01,"***",IF(Estimates!I116&lt;0.05,"**",IF(Estimates!I116&lt;0.1,"*",""))))</f>
        <v>0.253</v>
      </c>
      <c r="J46" s="6" t="str">
        <f aca="false">IF(Estimates!I117="","",TEXT(Estimates!E117,"0.000")&amp;IF(Estimates!I117&lt;0.01,"***",IF(Estimates!I117&lt;0.05,"**",IF(Estimates!I117&lt;0.1,"*",""))))</f>
        <v>0.016</v>
      </c>
    </row>
    <row r="47" customFormat="false" ht="15" hidden="false" customHeight="false" outlineLevel="0" collapsed="false">
      <c r="B47" s="6" t="str">
        <f aca="false">IF(Estimates!H109="","","("&amp;TEXT(Estimates!H109,"0.00")&amp;")")</f>
        <v>(-1.30)</v>
      </c>
      <c r="C47" s="6" t="str">
        <f aca="false">IF(Estimates!H110="","","("&amp;TEXT(Estimates!H110,"0.00")&amp;")")</f>
        <v>(-1.92)</v>
      </c>
      <c r="D47" s="6" t="str">
        <f aca="false">IF(Estimates!H111="","","("&amp;TEXT(Estimates!H111,"0.00")&amp;")")</f>
        <v>(-0.19)</v>
      </c>
      <c r="E47" s="6" t="str">
        <f aca="false">IF(Estimates!H112="","","("&amp;TEXT(Estimates!H112,"0.00")&amp;")")</f>
        <v>(0.35)</v>
      </c>
      <c r="F47" s="6" t="str">
        <f aca="false">IF(Estimates!H113="","","("&amp;TEXT(Estimates!H113,"0.00")&amp;")")</f>
        <v>(-3.55)</v>
      </c>
      <c r="G47" s="6" t="str">
        <f aca="false">IF(Estimates!H114="","","("&amp;TEXT(Estimates!H114,"0.00")&amp;")")</f>
        <v>(-1.95)</v>
      </c>
      <c r="H47" s="6" t="str">
        <f aca="false">IF(Estimates!H115="","","("&amp;TEXT(Estimates!H115,"0.00")&amp;")")</f>
        <v>(2.34)</v>
      </c>
      <c r="I47" s="6" t="str">
        <f aca="false">IF(Estimates!H116="","","("&amp;TEXT(Estimates!H116,"0.00")&amp;")")</f>
        <v>(0.98)</v>
      </c>
      <c r="J47" s="6" t="str">
        <f aca="false">IF(Estimates!H117="","","("&amp;TEXT(Estimates!H117,"0.00")&amp;")")</f>
        <v>(0.99)</v>
      </c>
    </row>
    <row r="48" customFormat="false" ht="15" hidden="false" customHeight="false" outlineLevel="0" collapsed="false">
      <c r="A48" s="5" t="s">
        <v>37</v>
      </c>
      <c r="B48" s="6" t="str">
        <f aca="false">IF(Estimates!I118="","",TEXT(Estimates!E118,"0.000")&amp;IF(Estimates!I118&lt;0.01,"***",IF(Estimates!I118&lt;0.05,"**",IF(Estimates!I118&lt;0.1,"*",""))))</f>
        <v>0.163</v>
      </c>
      <c r="C48" s="6" t="str">
        <f aca="false">IF(Estimates!I119="","",TEXT(Estimates!E119,"0.000")&amp;IF(Estimates!I119&lt;0.01,"***",IF(Estimates!I119&lt;0.05,"**",IF(Estimates!I119&lt;0.1,"*",""))))</f>
        <v>0.077</v>
      </c>
      <c r="D48" s="6" t="str">
        <f aca="false">IF(Estimates!I120="","",TEXT(Estimates!E120,"0.000")&amp;IF(Estimates!I120&lt;0.01,"***",IF(Estimates!I120&lt;0.05,"**",IF(Estimates!I120&lt;0.1,"*",""))))</f>
        <v>0.083</v>
      </c>
      <c r="E48" s="6" t="str">
        <f aca="false">IF(Estimates!I121="","",TEXT(Estimates!E121,"0.000")&amp;IF(Estimates!I121&lt;0.01,"***",IF(Estimates!I121&lt;0.05,"**",IF(Estimates!I121&lt;0.1,"*",""))))</f>
        <v>-0.145</v>
      </c>
      <c r="F48" s="6" t="str">
        <f aca="false">IF(Estimates!I122="","",TEXT(Estimates!E122,"0.000")&amp;IF(Estimates!I122&lt;0.01,"***",IF(Estimates!I122&lt;0.05,"**",IF(Estimates!I122&lt;0.1,"*",""))))</f>
        <v>0.561***</v>
      </c>
      <c r="G48" s="6" t="str">
        <f aca="false">IF(Estimates!I123="","",TEXT(Estimates!E123,"0.000")&amp;IF(Estimates!I123&lt;0.01,"***",IF(Estimates!I123&lt;0.05,"**",IF(Estimates!I123&lt;0.1,"*",""))))</f>
        <v>-0.002</v>
      </c>
      <c r="H48" s="6" t="str">
        <f aca="false">IF(Estimates!I124="","",TEXT(Estimates!E124,"0.000")&amp;IF(Estimates!I124&lt;0.01,"***",IF(Estimates!I124&lt;0.05,"**",IF(Estimates!I124&lt;0.1,"*",""))))</f>
        <v>-0.008</v>
      </c>
      <c r="I48" s="6" t="str">
        <f aca="false">IF(Estimates!I125="","",TEXT(Estimates!E125,"0.000")&amp;IF(Estimates!I125&lt;0.01,"***",IF(Estimates!I125&lt;0.05,"**",IF(Estimates!I125&lt;0.1,"*",""))))</f>
        <v>-0.008</v>
      </c>
      <c r="J48" s="6" t="str">
        <f aca="false">IF(Estimates!I126="","",TEXT(Estimates!E126,"0.000")&amp;IF(Estimates!I126&lt;0.01,"***",IF(Estimates!I126&lt;0.05,"**",IF(Estimates!I126&lt;0.1,"*",""))))</f>
        <v>-0.015</v>
      </c>
    </row>
    <row r="49" customFormat="false" ht="15" hidden="false" customHeight="false" outlineLevel="0" collapsed="false">
      <c r="B49" s="6" t="str">
        <f aca="false">IF(Estimates!H118="","","("&amp;TEXT(Estimates!H118,"0.00")&amp;")")</f>
        <v>(0.85)</v>
      </c>
      <c r="C49" s="6" t="str">
        <f aca="false">IF(Estimates!H119="","","("&amp;TEXT(Estimates!H119,"0.00")&amp;")")</f>
        <v>(0.35)</v>
      </c>
      <c r="D49" s="6" t="str">
        <f aca="false">IF(Estimates!H120="","","("&amp;TEXT(Estimates!H120,"0.00")&amp;")")</f>
        <v>(1.02)</v>
      </c>
      <c r="E49" s="6" t="str">
        <f aca="false">IF(Estimates!H121="","","("&amp;TEXT(Estimates!H121,"0.00")&amp;")")</f>
        <v>(-0.97)</v>
      </c>
      <c r="F49" s="6" t="str">
        <f aca="false">IF(Estimates!H122="","","("&amp;TEXT(Estimates!H122,"0.00")&amp;")")</f>
        <v>(3.04)</v>
      </c>
      <c r="G49" s="6" t="str">
        <f aca="false">IF(Estimates!H123="","","("&amp;TEXT(Estimates!H123,"0.00")&amp;")")</f>
        <v>(-0.02)</v>
      </c>
      <c r="H49" s="6" t="str">
        <f aca="false">IF(Estimates!H124="","","("&amp;TEXT(Estimates!H124,"0.00")&amp;")")</f>
        <v>(-0.06)</v>
      </c>
      <c r="I49" s="6" t="str">
        <f aca="false">IF(Estimates!H125="","","("&amp;TEXT(Estimates!H125,"0.00")&amp;")")</f>
        <v>(-0.06)</v>
      </c>
      <c r="J49" s="6" t="str">
        <f aca="false">IF(Estimates!H126="","","("&amp;TEXT(Estimates!H126,"0.00")&amp;")")</f>
        <v>(-1.13)</v>
      </c>
    </row>
    <row r="51" customFormat="false" ht="15" hidden="false" customHeight="false" outlineLevel="0" collapsed="false">
      <c r="A51" s="12" t="s">
        <v>38</v>
      </c>
      <c r="B51" s="13" t="str">
        <f aca="false">IF(Estimates!I127="","",TEXT(Estimates!E127,"0.000")&amp;IF(Estimates!I127&lt;0.01,"***",IF(Estimates!I127&lt;0.05,"**",IF(Estimates!I127&lt;0.1,"*",""))))</f>
        <v>-0.537***</v>
      </c>
      <c r="C51" s="13" t="str">
        <f aca="false">IF(Estimates!I128="","",TEXT(Estimates!E128,"0.000")&amp;IF(Estimates!I128&lt;0.01,"***",IF(Estimates!I128&lt;0.05,"**",IF(Estimates!I128&lt;0.1,"*",""))))</f>
        <v>-0.623***</v>
      </c>
      <c r="D51" s="13" t="str">
        <f aca="false">IF(Estimates!I129="","",TEXT(Estimates!E129,"0.000")&amp;IF(Estimates!I129&lt;0.01,"***",IF(Estimates!I129&lt;0.05,"**",IF(Estimates!I129&lt;0.1,"*",""))))</f>
        <v>-0.437**</v>
      </c>
      <c r="E51" s="13" t="str">
        <f aca="false">IF(Estimates!I130="","",TEXT(Estimates!E130,"0.000")&amp;IF(Estimates!I130&lt;0.01,"***",IF(Estimates!I130&lt;0.05,"**",IF(Estimates!I130&lt;0.1,"*",""))))</f>
        <v>-0.332</v>
      </c>
      <c r="F51" s="13" t="str">
        <f aca="false">IF(Estimates!I131="","",TEXT(Estimates!E131,"0.000")&amp;IF(Estimates!I131&lt;0.01,"***",IF(Estimates!I131&lt;0.05,"**",IF(Estimates!I131&lt;0.1,"*",""))))</f>
        <v>-1.088***</v>
      </c>
      <c r="G51" s="13" t="str">
        <f aca="false">IF(Estimates!I132="","",TEXT(Estimates!E132,"0.000")&amp;IF(Estimates!I132&lt;0.01,"***",IF(Estimates!I132&lt;0.05,"**",IF(Estimates!I132&lt;0.1,"*",""))))</f>
        <v>-1.246***</v>
      </c>
    </row>
    <row r="52" customFormat="false" ht="15" hidden="false" customHeight="false" outlineLevel="0" collapsed="false">
      <c r="B52" s="13" t="str">
        <f aca="false">IF(Estimates!H127="","","("&amp;TEXT(Estimates!H127,"0.00")&amp;")")</f>
        <v>(-3.98)</v>
      </c>
      <c r="C52" s="13" t="str">
        <f aca="false">IF(Estimates!H128="","","("&amp;TEXT(Estimates!H128,"0.00")&amp;")")</f>
        <v>(-3.82)</v>
      </c>
      <c r="D52" s="13" t="str">
        <f aca="false">IF(Estimates!H129="","","("&amp;TEXT(Estimates!H129,"0.00")&amp;")")</f>
        <v>(-2.41)</v>
      </c>
      <c r="E52" s="13" t="str">
        <f aca="false">IF(Estimates!H130="","","("&amp;TEXT(Estimates!H130,"0.00")&amp;")")</f>
        <v>(-1.26)</v>
      </c>
      <c r="F52" s="13" t="str">
        <f aca="false">IF(Estimates!H131="","","("&amp;TEXT(Estimates!H131,"0.00")&amp;")")</f>
        <v>(-6.16)</v>
      </c>
      <c r="G52" s="13" t="str">
        <f aca="false">IF(Estimates!H132="","","("&amp;TEXT(Estimates!H132,"0.00")&amp;")")</f>
        <v>(-3.18)</v>
      </c>
    </row>
    <row r="53" customFormat="false" ht="15" hidden="false" customHeight="false" outlineLevel="0" collapsed="false">
      <c r="A53" s="12" t="s">
        <v>39</v>
      </c>
      <c r="H53" s="13" t="str">
        <f aca="false">IF(Estimates!I133="","",TEXT(Estimates!E133,"0.000")&amp;IF(Estimates!I133&lt;0.01,"***",IF(Estimates!I133&lt;0.05,"**",IF(Estimates!I133&lt;0.1,"*",""))))</f>
        <v>-0.738***</v>
      </c>
      <c r="I53" s="13" t="str">
        <f aca="false">IF(Estimates!I134="","",TEXT(Estimates!E134,"0.000")&amp;IF(Estimates!I134&lt;0.01,"***",IF(Estimates!I134&lt;0.05,"**",IF(Estimates!I134&lt;0.1,"*",""))))</f>
        <v>-0.501**</v>
      </c>
      <c r="J53" s="13" t="str">
        <f aca="false">IF(Estimates!I135="","",TEXT(Estimates!E135,"0.000")&amp;IF(Estimates!I135&lt;0.01,"***",IF(Estimates!I135&lt;0.05,"**",IF(Estimates!I135&lt;0.1,"*",""))))</f>
        <v>-0.399**</v>
      </c>
    </row>
    <row r="54" customFormat="false" ht="15" hidden="false" customHeight="false" outlineLevel="0" collapsed="false">
      <c r="H54" s="13" t="str">
        <f aca="false">IF(Estimates!H133="","","("&amp;TEXT(Estimates!H133,"0.00")&amp;")")</f>
        <v>(-3.66)</v>
      </c>
      <c r="I54" s="13" t="str">
        <f aca="false">IF(Estimates!H134="","","("&amp;TEXT(Estimates!H134,"0.00")&amp;")")</f>
        <v>(-2.65)</v>
      </c>
      <c r="J54" s="13" t="str">
        <f aca="false">IF(Estimates!H135="","","("&amp;TEXT(Estimates!H135,"0.00")&amp;")")</f>
        <v>(-2.80)</v>
      </c>
    </row>
    <row r="55" customFormat="false" ht="15" hidden="false" customHeight="false" outlineLevel="0" collapsed="false">
      <c r="A55" s="12" t="s">
        <v>40</v>
      </c>
      <c r="H55" s="13" t="str">
        <f aca="false">IF(Estimates!I136="","",TEXT(Estimates!E136,"0.000")&amp;IF(Estimates!I136&lt;0.01,"***",IF(Estimates!I136&lt;0.05,"**",IF(Estimates!I136&lt;0.1,"*",""))))</f>
        <v>-0.232</v>
      </c>
      <c r="I55" s="13" t="str">
        <f aca="false">IF(Estimates!I137="","",TEXT(Estimates!E137,"0.000")&amp;IF(Estimates!I137&lt;0.01,"***",IF(Estimates!I137&lt;0.05,"**",IF(Estimates!I137&lt;0.1,"*",""))))</f>
        <v>-0.339**</v>
      </c>
      <c r="J55" s="13" t="str">
        <f aca="false">IF(Estimates!I138="","",TEXT(Estimates!E138,"0.000")&amp;IF(Estimates!I138&lt;0.01,"***",IF(Estimates!I138&lt;0.05,"**",IF(Estimates!I138&lt;0.1,"*",""))))</f>
        <v>-0.226</v>
      </c>
    </row>
    <row r="56" customFormat="false" ht="15" hidden="false" customHeight="false" outlineLevel="0" collapsed="false">
      <c r="H56" s="13" t="str">
        <f aca="false">IF(Estimates!H136="","","("&amp;TEXT(Estimates!H136,"0.00")&amp;")")</f>
        <v>(-1.30)</v>
      </c>
      <c r="I56" s="13" t="str">
        <f aca="false">IF(Estimates!H137="","","("&amp;TEXT(Estimates!H137,"0.00")&amp;")")</f>
        <v>(-2.11)</v>
      </c>
      <c r="J56" s="13" t="str">
        <f aca="false">IF(Estimates!H138="","","("&amp;TEXT(Estimates!H138,"0.00")&amp;")")</f>
        <v>(-1.16)</v>
      </c>
    </row>
    <row r="57" customFormat="false" ht="15" hidden="false" customHeight="false" outlineLevel="0" collapsed="false">
      <c r="A57" s="5" t="s">
        <v>10</v>
      </c>
      <c r="B57" s="7" t="n">
        <v>1177</v>
      </c>
      <c r="C57" s="7" t="n">
        <v>1241</v>
      </c>
      <c r="D57" s="7" t="n">
        <v>1244</v>
      </c>
      <c r="E57" s="7" t="n">
        <v>1244</v>
      </c>
      <c r="F57" s="7" t="n">
        <v>1231</v>
      </c>
      <c r="G57" s="7" t="n">
        <v>1244</v>
      </c>
      <c r="H57" s="7" t="n">
        <v>883</v>
      </c>
      <c r="I57" s="7" t="n">
        <v>1064</v>
      </c>
      <c r="J57" s="7" t="n">
        <v>1241</v>
      </c>
    </row>
    <row r="58" customFormat="false" ht="15" hidden="false" customHeight="false" outlineLevel="0" collapsed="false">
      <c r="A58" s="10" t="s">
        <v>12</v>
      </c>
      <c r="B58" s="14" t="n">
        <v>0.155446044413805</v>
      </c>
      <c r="C58" s="14" t="n">
        <v>0.159027165953922</v>
      </c>
      <c r="D58" s="14" t="n">
        <v>0.159103392951808</v>
      </c>
      <c r="E58" s="14" t="n">
        <v>0.159117492831893</v>
      </c>
      <c r="F58" s="14" t="n">
        <v>0.16480440155605</v>
      </c>
      <c r="G58" s="14" t="n">
        <v>0.161670225133161</v>
      </c>
      <c r="H58" s="14" t="n">
        <v>0.148992450777967</v>
      </c>
      <c r="I58" s="14" t="n">
        <v>0.162691510864897</v>
      </c>
      <c r="J58" s="14" t="n">
        <v>0.157106265662336</v>
      </c>
    </row>
  </sheetData>
  <mergeCells count="1">
    <mergeCell ref="A2:J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4"/>
  </cols>
  <sheetData>
    <row r="1" customFormat="false" ht="15" hidden="false" customHeight="false" outlineLevel="0" collapsed="false">
      <c r="A1" s="1" t="s">
        <v>41</v>
      </c>
    </row>
    <row r="2" customFormat="false" ht="126" hidden="false" customHeight="true" outlineLevel="0" collapsed="false">
      <c r="A2" s="2" t="s">
        <v>42</v>
      </c>
      <c r="B2" s="2"/>
      <c r="C2" s="2"/>
      <c r="D2" s="2"/>
      <c r="E2" s="2"/>
      <c r="F2" s="2"/>
      <c r="G2" s="2"/>
    </row>
    <row r="4" customFormat="false" ht="45" hidden="false" customHeight="true" outlineLevel="0" collapsed="false">
      <c r="A4" s="4" t="s">
        <v>43</v>
      </c>
      <c r="B4" s="4" t="s">
        <v>44</v>
      </c>
      <c r="C4" s="4" t="s">
        <v>45</v>
      </c>
      <c r="D4" s="4" t="s">
        <v>46</v>
      </c>
      <c r="E4" s="4" t="s">
        <v>47</v>
      </c>
      <c r="F4" s="4" t="s">
        <v>48</v>
      </c>
      <c r="G4" s="4" t="s">
        <v>49</v>
      </c>
    </row>
    <row r="5" customFormat="false" ht="15" hidden="false" customHeight="false" outlineLevel="0" collapsed="false">
      <c r="A5" s="15" t="s">
        <v>8</v>
      </c>
      <c r="B5" s="16" t="n">
        <v>1649</v>
      </c>
      <c r="C5" s="17" t="n">
        <v>0.444652163533771</v>
      </c>
      <c r="D5" s="17" t="n">
        <v>0.416060445664518</v>
      </c>
      <c r="E5" s="17" t="n">
        <v>0.452449478006956</v>
      </c>
      <c r="F5" s="17" t="n">
        <v>0.622903929047224</v>
      </c>
      <c r="G5" s="17" t="n">
        <v>0.40249725542625</v>
      </c>
    </row>
    <row r="6" customFormat="false" ht="15" hidden="false" customHeight="false" outlineLevel="0" collapsed="false">
      <c r="A6" s="15" t="s">
        <v>13</v>
      </c>
      <c r="B6" s="16" t="n">
        <v>1621</v>
      </c>
      <c r="C6" s="17" t="n">
        <v>0.446310836929642</v>
      </c>
      <c r="D6" s="17" t="n">
        <v>0.418222878883551</v>
      </c>
      <c r="E6" s="17" t="n">
        <v>0.452280962283086</v>
      </c>
      <c r="F6" s="17" t="n">
        <v>0.624012491384462</v>
      </c>
      <c r="G6" s="17" t="n">
        <v>0.404476400853301</v>
      </c>
    </row>
    <row r="7" customFormat="false" ht="15" hidden="false" customHeight="false" outlineLevel="0" collapsed="false">
      <c r="A7" s="18" t="s">
        <v>14</v>
      </c>
      <c r="B7" s="19" t="n">
        <v>1543</v>
      </c>
      <c r="C7" s="20" t="n">
        <v>0.473617565564246</v>
      </c>
      <c r="D7" s="20" t="n">
        <v>0.417167705087187</v>
      </c>
      <c r="E7" s="20" t="n">
        <v>0.481820033387144</v>
      </c>
      <c r="F7" s="20" t="n">
        <v>0.629808036305769</v>
      </c>
      <c r="G7" s="20" t="n">
        <v>0.432387149864347</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2"/>
    <col collapsed="false" customWidth="true" hidden="false" outlineLevel="0" max="3" min="3" style="0" width="28"/>
    <col collapsed="false" customWidth="true" hidden="false" outlineLevel="0" max="4" min="4" style="0" width="40"/>
  </cols>
  <sheetData>
    <row r="1" customFormat="false" ht="15" hidden="false" customHeight="false" outlineLevel="0" collapsed="false">
      <c r="A1" s="12" t="s">
        <v>50</v>
      </c>
    </row>
    <row r="3" customFormat="false" ht="15" hidden="false" customHeight="false" outlineLevel="0" collapsed="false">
      <c r="A3" s="1" t="s">
        <v>51</v>
      </c>
      <c r="B3" s="1" t="s">
        <v>52</v>
      </c>
      <c r="C3" s="1" t="s">
        <v>53</v>
      </c>
      <c r="D3" s="1" t="s">
        <v>54</v>
      </c>
      <c r="E3" s="1" t="s">
        <v>55</v>
      </c>
      <c r="F3" s="1" t="s">
        <v>56</v>
      </c>
      <c r="G3" s="1" t="s">
        <v>57</v>
      </c>
      <c r="H3" s="1" t="s">
        <v>58</v>
      </c>
      <c r="I3" s="1" t="s">
        <v>59</v>
      </c>
    </row>
    <row r="4" customFormat="false" ht="15" hidden="false" customHeight="false" outlineLevel="0" collapsed="false">
      <c r="A4" s="5" t="s">
        <v>60</v>
      </c>
      <c r="B4" s="5" t="s">
        <v>8</v>
      </c>
      <c r="C4" s="5" t="s">
        <v>2</v>
      </c>
      <c r="D4" s="5" t="s">
        <v>61</v>
      </c>
      <c r="E4" s="21" t="n">
        <v>-0.385370759637945</v>
      </c>
      <c r="F4" s="21" t="n">
        <v>0.156841814903703</v>
      </c>
      <c r="G4" s="22" t="n">
        <v>19</v>
      </c>
      <c r="H4" s="23" t="n">
        <f aca="false">IF(F4&gt;0,E4/F4,"")</f>
        <v>-2.45706643903957</v>
      </c>
      <c r="I4" s="23" t="n">
        <f aca="false">IF(H4="","",TDIST(ABS(H4),G4-1,2))</f>
        <v>0.0243847145712003</v>
      </c>
    </row>
    <row r="5" customFormat="false" ht="15" hidden="false" customHeight="false" outlineLevel="0" collapsed="false">
      <c r="A5" s="5" t="s">
        <v>60</v>
      </c>
      <c r="B5" s="5" t="s">
        <v>8</v>
      </c>
      <c r="C5" s="5" t="s">
        <v>3</v>
      </c>
      <c r="D5" s="5" t="s">
        <v>61</v>
      </c>
      <c r="E5" s="21" t="n">
        <v>-0.491373057903354</v>
      </c>
      <c r="F5" s="21" t="n">
        <v>0.118300628428849</v>
      </c>
      <c r="G5" s="22" t="n">
        <v>19</v>
      </c>
      <c r="H5" s="23" t="n">
        <f aca="false">IF(F5&gt;0,E5/F5,"")</f>
        <v>-4.15359634542337</v>
      </c>
      <c r="I5" s="23" t="n">
        <f aca="false">IF(H5="","",TDIST(ABS(H5),G5-1,2))</f>
        <v>0.000596684215074408</v>
      </c>
    </row>
    <row r="6" customFormat="false" ht="15" hidden="false" customHeight="false" outlineLevel="0" collapsed="false">
      <c r="A6" s="5" t="s">
        <v>60</v>
      </c>
      <c r="B6" s="5" t="s">
        <v>8</v>
      </c>
      <c r="C6" s="5" t="s">
        <v>4</v>
      </c>
      <c r="D6" s="5" t="s">
        <v>61</v>
      </c>
      <c r="E6" s="21" t="n">
        <v>-0.37306686983076</v>
      </c>
      <c r="F6" s="21" t="n">
        <v>0.167668655283197</v>
      </c>
      <c r="G6" s="22" t="n">
        <v>19</v>
      </c>
      <c r="H6" s="23" t="n">
        <f aca="false">IF(F6&gt;0,E6/F6,"")</f>
        <v>-2.22502452352016</v>
      </c>
      <c r="I6" s="23" t="n">
        <f aca="false">IF(H6="","",TDIST(ABS(H6),G6-1,2))</f>
        <v>0.0391049246194761</v>
      </c>
    </row>
    <row r="7" customFormat="false" ht="15" hidden="false" customHeight="false" outlineLevel="0" collapsed="false">
      <c r="A7" s="5" t="s">
        <v>60</v>
      </c>
      <c r="B7" s="5" t="s">
        <v>8</v>
      </c>
      <c r="C7" s="5" t="s">
        <v>5</v>
      </c>
      <c r="D7" s="5" t="s">
        <v>61</v>
      </c>
      <c r="E7" s="21" t="n">
        <v>-0.411441281849598</v>
      </c>
      <c r="F7" s="21" t="n">
        <v>0.191635803827689</v>
      </c>
      <c r="G7" s="22" t="n">
        <v>19</v>
      </c>
      <c r="H7" s="23" t="n">
        <f aca="false">IF(F7&gt;0,E7/F7,"")</f>
        <v>-2.14699588297994</v>
      </c>
      <c r="I7" s="23" t="n">
        <f aca="false">IF(H7="","",TDIST(ABS(H7),G7-1,2))</f>
        <v>0.0456671756972536</v>
      </c>
    </row>
    <row r="8" customFormat="false" ht="15" hidden="false" customHeight="false" outlineLevel="0" collapsed="false">
      <c r="A8" s="5" t="s">
        <v>60</v>
      </c>
      <c r="B8" s="5" t="s">
        <v>8</v>
      </c>
      <c r="C8" s="5" t="s">
        <v>6</v>
      </c>
      <c r="D8" s="5" t="s">
        <v>61</v>
      </c>
      <c r="E8" s="21" t="n">
        <v>-0.384393195590659</v>
      </c>
      <c r="F8" s="21" t="n">
        <v>0.209076687437065</v>
      </c>
      <c r="G8" s="22" t="n">
        <v>19</v>
      </c>
      <c r="H8" s="23" t="n">
        <f aca="false">IF(F8&gt;0,E8/F8,"")</f>
        <v>-1.83852729016651</v>
      </c>
      <c r="I8" s="23" t="n">
        <f aca="false">IF(H8="","",TDIST(ABS(H8),G8-1,2))</f>
        <v>0.0825442670945184</v>
      </c>
    </row>
    <row r="9" customFormat="false" ht="15" hidden="false" customHeight="false" outlineLevel="0" collapsed="false">
      <c r="A9" s="5" t="s">
        <v>60</v>
      </c>
      <c r="B9" s="5" t="s">
        <v>8</v>
      </c>
      <c r="C9" s="5" t="s">
        <v>7</v>
      </c>
      <c r="D9" s="5" t="s">
        <v>61</v>
      </c>
      <c r="E9" s="21" t="n">
        <v>-0.440661429872031</v>
      </c>
      <c r="F9" s="21" t="n">
        <v>0.186580065475634</v>
      </c>
      <c r="G9" s="22" t="n">
        <v>19</v>
      </c>
      <c r="H9" s="23" t="n">
        <f aca="false">IF(F9&gt;0,E9/F9,"")</f>
        <v>-2.36178194465034</v>
      </c>
      <c r="I9" s="23" t="n">
        <f aca="false">IF(H9="","",TDIST(ABS(H9),G9-1,2))</f>
        <v>0.0296589359269055</v>
      </c>
    </row>
    <row r="10" customFormat="false" ht="15" hidden="false" customHeight="false" outlineLevel="0" collapsed="false">
      <c r="A10" s="5" t="s">
        <v>60</v>
      </c>
      <c r="B10" s="5" t="s">
        <v>13</v>
      </c>
      <c r="C10" s="5" t="s">
        <v>2</v>
      </c>
      <c r="D10" s="5" t="s">
        <v>61</v>
      </c>
      <c r="E10" s="21" t="n">
        <v>-0.36608363820204</v>
      </c>
      <c r="F10" s="21" t="n">
        <v>0.160957511755107</v>
      </c>
      <c r="G10" s="22" t="n">
        <v>19</v>
      </c>
      <c r="H10" s="23" t="n">
        <f aca="false">IF(F10&gt;0,E10/F10,"")</f>
        <v>-2.27441163950787</v>
      </c>
      <c r="I10" s="23" t="n">
        <f aca="false">IF(H10="","",TDIST(ABS(H10),G10-1,2))</f>
        <v>0.035412078041356</v>
      </c>
    </row>
    <row r="11" customFormat="false" ht="15" hidden="false" customHeight="false" outlineLevel="0" collapsed="false">
      <c r="A11" s="5" t="s">
        <v>60</v>
      </c>
      <c r="B11" s="5" t="s">
        <v>13</v>
      </c>
      <c r="C11" s="5" t="s">
        <v>3</v>
      </c>
      <c r="D11" s="5" t="s">
        <v>61</v>
      </c>
      <c r="E11" s="21" t="n">
        <v>-0.461513445400508</v>
      </c>
      <c r="F11" s="21" t="n">
        <v>0.118114377091992</v>
      </c>
      <c r="G11" s="22" t="n">
        <v>19</v>
      </c>
      <c r="H11" s="23" t="n">
        <f aca="false">IF(F11&gt;0,E11/F11,"")</f>
        <v>-3.9073435153543</v>
      </c>
      <c r="I11" s="23" t="n">
        <f aca="false">IF(H11="","",TDIST(ABS(H11),G11-1,2))</f>
        <v>0.00103238339679399</v>
      </c>
    </row>
    <row r="12" customFormat="false" ht="15" hidden="false" customHeight="false" outlineLevel="0" collapsed="false">
      <c r="A12" s="5" t="s">
        <v>60</v>
      </c>
      <c r="B12" s="5" t="s">
        <v>13</v>
      </c>
      <c r="C12" s="5" t="s">
        <v>4</v>
      </c>
      <c r="D12" s="5" t="s">
        <v>61</v>
      </c>
      <c r="E12" s="21" t="n">
        <v>-0.363973922841866</v>
      </c>
      <c r="F12" s="21" t="n">
        <v>0.161883645635577</v>
      </c>
      <c r="G12" s="22" t="n">
        <v>19</v>
      </c>
      <c r="H12" s="23" t="n">
        <f aca="false">IF(F12&gt;0,E12/F12,"")</f>
        <v>-2.24836747043134</v>
      </c>
      <c r="I12" s="23" t="n">
        <f aca="false">IF(H12="","",TDIST(ABS(H12),G12-1,2))</f>
        <v>0.0373173403513548</v>
      </c>
    </row>
    <row r="13" customFormat="false" ht="15" hidden="false" customHeight="false" outlineLevel="0" collapsed="false">
      <c r="A13" s="5" t="s">
        <v>60</v>
      </c>
      <c r="B13" s="5" t="s">
        <v>13</v>
      </c>
      <c r="C13" s="5" t="s">
        <v>5</v>
      </c>
      <c r="D13" s="5" t="s">
        <v>61</v>
      </c>
      <c r="E13" s="21" t="n">
        <v>-0.387587771011477</v>
      </c>
      <c r="F13" s="21" t="n">
        <v>0.185144671149296</v>
      </c>
      <c r="G13" s="22" t="n">
        <v>19</v>
      </c>
      <c r="H13" s="23" t="n">
        <f aca="false">IF(F13&gt;0,E13/F13,"")</f>
        <v>-2.09343195569985</v>
      </c>
      <c r="I13" s="23" t="n">
        <f aca="false">IF(H13="","",TDIST(ABS(H13),G13-1,2))</f>
        <v>0.0507387097464345</v>
      </c>
    </row>
    <row r="14" customFormat="false" ht="15" hidden="false" customHeight="false" outlineLevel="0" collapsed="false">
      <c r="A14" s="5" t="s">
        <v>60</v>
      </c>
      <c r="B14" s="5" t="s">
        <v>13</v>
      </c>
      <c r="C14" s="5" t="s">
        <v>6</v>
      </c>
      <c r="D14" s="5" t="s">
        <v>61</v>
      </c>
      <c r="E14" s="21" t="n">
        <v>-0.354688000985533</v>
      </c>
      <c r="F14" s="21" t="n">
        <v>0.20610310238336</v>
      </c>
      <c r="G14" s="22" t="n">
        <v>19</v>
      </c>
      <c r="H14" s="23" t="n">
        <f aca="false">IF(F14&gt;0,E14/F14,"")</f>
        <v>-1.72092509469265</v>
      </c>
      <c r="I14" s="23" t="n">
        <f aca="false">IF(H14="","",TDIST(ABS(H14),G14-1,2))</f>
        <v>0.102407502237352</v>
      </c>
    </row>
    <row r="15" customFormat="false" ht="15" hidden="false" customHeight="false" outlineLevel="0" collapsed="false">
      <c r="A15" s="5" t="s">
        <v>60</v>
      </c>
      <c r="B15" s="5" t="s">
        <v>13</v>
      </c>
      <c r="C15" s="5" t="s">
        <v>7</v>
      </c>
      <c r="D15" s="5" t="s">
        <v>61</v>
      </c>
      <c r="E15" s="21" t="n">
        <v>-0.414471419496095</v>
      </c>
      <c r="F15" s="21" t="n">
        <v>0.186861997023528</v>
      </c>
      <c r="G15" s="22" t="n">
        <v>19</v>
      </c>
      <c r="H15" s="23" t="n">
        <f aca="false">IF(F15&gt;0,E15/F15,"")</f>
        <v>-2.21806159678316</v>
      </c>
      <c r="I15" s="23" t="n">
        <f aca="false">IF(H15="","",TDIST(ABS(H15),G15-1,2))</f>
        <v>0.0396532151936173</v>
      </c>
    </row>
    <row r="16" customFormat="false" ht="15" hidden="false" customHeight="false" outlineLevel="0" collapsed="false">
      <c r="A16" s="5" t="s">
        <v>60</v>
      </c>
      <c r="B16" s="5" t="s">
        <v>14</v>
      </c>
      <c r="C16" s="5" t="s">
        <v>2</v>
      </c>
      <c r="D16" s="5" t="s">
        <v>61</v>
      </c>
      <c r="E16" s="21" t="n">
        <v>-0.393156900896232</v>
      </c>
      <c r="F16" s="21" t="n">
        <v>0.157708451768736</v>
      </c>
      <c r="G16" s="22" t="n">
        <v>19</v>
      </c>
      <c r="H16" s="23" t="n">
        <f aca="false">IF(F16&gt;0,E16/F16,"")</f>
        <v>-2.49293488387521</v>
      </c>
      <c r="I16" s="23" t="n">
        <f aca="false">IF(H16="","",TDIST(ABS(H16),G16-1,2))</f>
        <v>0.0226379070740412</v>
      </c>
    </row>
    <row r="17" customFormat="false" ht="15" hidden="false" customHeight="false" outlineLevel="0" collapsed="false">
      <c r="A17" s="5" t="s">
        <v>60</v>
      </c>
      <c r="B17" s="5" t="s">
        <v>14</v>
      </c>
      <c r="C17" s="5" t="s">
        <v>3</v>
      </c>
      <c r="D17" s="5" t="s">
        <v>61</v>
      </c>
      <c r="E17" s="21" t="n">
        <v>-0.434075836399544</v>
      </c>
      <c r="F17" s="21" t="n">
        <v>0.105410977916435</v>
      </c>
      <c r="G17" s="22" t="n">
        <v>19</v>
      </c>
      <c r="H17" s="23" t="n">
        <f aca="false">IF(F17&gt;0,E17/F17,"")</f>
        <v>-4.11793766626149</v>
      </c>
      <c r="I17" s="23" t="n">
        <f aca="false">IF(H17="","",TDIST(ABS(H17),G17-1,2))</f>
        <v>0.000645925083584212</v>
      </c>
    </row>
    <row r="18" customFormat="false" ht="15" hidden="false" customHeight="false" outlineLevel="0" collapsed="false">
      <c r="A18" s="5" t="s">
        <v>60</v>
      </c>
      <c r="B18" s="5" t="s">
        <v>14</v>
      </c>
      <c r="C18" s="5" t="s">
        <v>4</v>
      </c>
      <c r="D18" s="5" t="s">
        <v>61</v>
      </c>
      <c r="E18" s="21" t="n">
        <v>-0.318822917428424</v>
      </c>
      <c r="F18" s="21" t="n">
        <v>0.166071487152509</v>
      </c>
      <c r="G18" s="22" t="n">
        <v>19</v>
      </c>
      <c r="H18" s="23" t="n">
        <f aca="false">IF(F18&gt;0,E18/F18,"")</f>
        <v>-1.91979323419702</v>
      </c>
      <c r="I18" s="23" t="n">
        <f aca="false">IF(H18="","",TDIST(ABS(H18),G18-1,2))</f>
        <v>0.0708759082502851</v>
      </c>
    </row>
    <row r="19" customFormat="false" ht="15" hidden="false" customHeight="false" outlineLevel="0" collapsed="false">
      <c r="A19" s="5" t="s">
        <v>60</v>
      </c>
      <c r="B19" s="5" t="s">
        <v>14</v>
      </c>
      <c r="C19" s="5" t="s">
        <v>5</v>
      </c>
      <c r="D19" s="5" t="s">
        <v>61</v>
      </c>
      <c r="E19" s="21" t="n">
        <v>-0.333186779111117</v>
      </c>
      <c r="F19" s="21" t="n">
        <v>0.156813610430477</v>
      </c>
      <c r="G19" s="22" t="n">
        <v>19</v>
      </c>
      <c r="H19" s="23" t="n">
        <f aca="false">IF(F19&gt;0,E19/F19,"")</f>
        <v>-2.1247312538527</v>
      </c>
      <c r="I19" s="23" t="n">
        <f aca="false">IF(H19="","",TDIST(ABS(H19),G19-1,2))</f>
        <v>0.047716302310565</v>
      </c>
    </row>
    <row r="20" customFormat="false" ht="15" hidden="false" customHeight="false" outlineLevel="0" collapsed="false">
      <c r="A20" s="5" t="s">
        <v>60</v>
      </c>
      <c r="B20" s="5" t="s">
        <v>14</v>
      </c>
      <c r="C20" s="5" t="s">
        <v>6</v>
      </c>
      <c r="D20" s="5" t="s">
        <v>61</v>
      </c>
      <c r="E20" s="21" t="n">
        <v>-0.379656656623057</v>
      </c>
      <c r="F20" s="21" t="n">
        <v>0.197801233813328</v>
      </c>
      <c r="G20" s="22" t="n">
        <v>19</v>
      </c>
      <c r="H20" s="23" t="n">
        <f aca="false">IF(F20&gt;0,E20/F20,"")</f>
        <v>-1.91938467371418</v>
      </c>
      <c r="I20" s="23" t="n">
        <f aca="false">IF(H20="","",TDIST(ABS(H20),G20-1,2))</f>
        <v>0.0709307076511832</v>
      </c>
    </row>
    <row r="21" customFormat="false" ht="15" hidden="false" customHeight="false" outlineLevel="0" collapsed="false">
      <c r="A21" s="5" t="s">
        <v>60</v>
      </c>
      <c r="B21" s="5" t="s">
        <v>14</v>
      </c>
      <c r="C21" s="5" t="s">
        <v>7</v>
      </c>
      <c r="D21" s="5" t="s">
        <v>61</v>
      </c>
      <c r="E21" s="21" t="n">
        <v>-0.42391614176869</v>
      </c>
      <c r="F21" s="21" t="n">
        <v>0.175153672898041</v>
      </c>
      <c r="G21" s="22" t="n">
        <v>19</v>
      </c>
      <c r="H21" s="23" t="n">
        <f aca="false">IF(F21&gt;0,E21/F21,"")</f>
        <v>-2.42025265445308</v>
      </c>
      <c r="I21" s="23" t="n">
        <f aca="false">IF(H21="","",TDIST(ABS(H21),G21-1,2))</f>
        <v>0.0263086769418776</v>
      </c>
    </row>
    <row r="22" customFormat="false" ht="15" hidden="false" customHeight="false" outlineLevel="0" collapsed="false">
      <c r="A22" s="5" t="s">
        <v>62</v>
      </c>
      <c r="B22" s="5" t="s">
        <v>8</v>
      </c>
      <c r="C22" s="5" t="s">
        <v>63</v>
      </c>
      <c r="D22" s="5" t="s">
        <v>9</v>
      </c>
      <c r="E22" s="21" t="n">
        <v>-0.235692981168841</v>
      </c>
      <c r="F22" s="21" t="n">
        <v>0.216796639220542</v>
      </c>
      <c r="G22" s="22" t="n">
        <v>19</v>
      </c>
      <c r="H22" s="23" t="n">
        <f aca="false">IF(F22&gt;0,E22/F22,"")</f>
        <v>-1.08716159999637</v>
      </c>
      <c r="I22" s="23" t="n">
        <f aca="false">IF(H22="","",TDIST(ABS(H22),G22-1,2))</f>
        <v>0.291309569162287</v>
      </c>
    </row>
    <row r="23" customFormat="false" ht="15" hidden="false" customHeight="false" outlineLevel="0" collapsed="false">
      <c r="A23" s="5" t="s">
        <v>62</v>
      </c>
      <c r="B23" s="5" t="s">
        <v>8</v>
      </c>
      <c r="C23" s="5" t="s">
        <v>64</v>
      </c>
      <c r="D23" s="5" t="s">
        <v>9</v>
      </c>
      <c r="E23" s="21" t="n">
        <v>-0.273772406940375</v>
      </c>
      <c r="F23" s="21" t="n">
        <v>0.146785482410512</v>
      </c>
      <c r="G23" s="22" t="n">
        <v>19</v>
      </c>
      <c r="H23" s="23" t="n">
        <f aca="false">IF(F23&gt;0,E23/F23,"")</f>
        <v>-1.86511910063913</v>
      </c>
      <c r="I23" s="23" t="n">
        <f aca="false">IF(H23="","",TDIST(ABS(H23),G23-1,2))</f>
        <v>0.0785521000476929</v>
      </c>
    </row>
    <row r="24" customFormat="false" ht="15" hidden="false" customHeight="false" outlineLevel="0" collapsed="false">
      <c r="A24" s="5" t="s">
        <v>62</v>
      </c>
      <c r="B24" s="5" t="s">
        <v>8</v>
      </c>
      <c r="C24" s="5" t="s">
        <v>65</v>
      </c>
      <c r="D24" s="5" t="s">
        <v>9</v>
      </c>
      <c r="E24" s="21" t="n">
        <v>-0.50748861105348</v>
      </c>
      <c r="F24" s="21" t="n">
        <v>0.216012603416525</v>
      </c>
      <c r="G24" s="22" t="n">
        <v>19</v>
      </c>
      <c r="H24" s="23" t="n">
        <f aca="false">IF(F24&gt;0,E24/F24,"")</f>
        <v>-2.34934722801761</v>
      </c>
      <c r="I24" s="23" t="n">
        <f aca="false">IF(H24="","",TDIST(ABS(H24),G24-1,2))</f>
        <v>0.030420947732642</v>
      </c>
    </row>
    <row r="25" customFormat="false" ht="15" hidden="false" customHeight="false" outlineLevel="0" collapsed="false">
      <c r="A25" s="5" t="s">
        <v>62</v>
      </c>
      <c r="B25" s="5" t="s">
        <v>8</v>
      </c>
      <c r="C25" s="5" t="s">
        <v>66</v>
      </c>
      <c r="D25" s="5" t="s">
        <v>9</v>
      </c>
      <c r="E25" s="21" t="n">
        <v>-0.475386555862567</v>
      </c>
      <c r="F25" s="21" t="n">
        <v>0.138090201925302</v>
      </c>
      <c r="G25" s="22" t="n">
        <v>19</v>
      </c>
      <c r="H25" s="23" t="n">
        <f aca="false">IF(F25&gt;0,E25/F25,"")</f>
        <v>-3.4425799168555</v>
      </c>
      <c r="I25" s="23" t="n">
        <f aca="false">IF(H25="","",TDIST(ABS(H25),G25-1,2))</f>
        <v>0.00290413657074231</v>
      </c>
    </row>
    <row r="26" customFormat="false" ht="15" hidden="false" customHeight="false" outlineLevel="0" collapsed="false">
      <c r="A26" s="5" t="s">
        <v>62</v>
      </c>
      <c r="B26" s="5" t="s">
        <v>8</v>
      </c>
      <c r="C26" s="5" t="s">
        <v>67</v>
      </c>
      <c r="D26" s="5" t="s">
        <v>9</v>
      </c>
      <c r="E26" s="21" t="n">
        <v>-0.268161960898219</v>
      </c>
      <c r="F26" s="21" t="n">
        <v>0.153340348124824</v>
      </c>
      <c r="G26" s="22" t="n">
        <v>19</v>
      </c>
      <c r="H26" s="23" t="n">
        <f aca="false">IF(F26&gt;0,E26/F26,"")</f>
        <v>-1.74880234835469</v>
      </c>
      <c r="I26" s="23" t="n">
        <f aca="false">IF(H26="","",TDIST(ABS(H26),G26-1,2))</f>
        <v>0.0973576718945769</v>
      </c>
    </row>
    <row r="27" customFormat="false" ht="15" hidden="false" customHeight="false" outlineLevel="0" collapsed="false">
      <c r="A27" s="5" t="s">
        <v>62</v>
      </c>
      <c r="B27" s="5" t="s">
        <v>8</v>
      </c>
      <c r="C27" s="5" t="s">
        <v>68</v>
      </c>
      <c r="D27" s="5" t="s">
        <v>9</v>
      </c>
      <c r="E27" s="21" t="n">
        <v>-0.360477558963474</v>
      </c>
      <c r="F27" s="21" t="n">
        <v>0.128770416174053</v>
      </c>
      <c r="G27" s="22" t="n">
        <v>19</v>
      </c>
      <c r="H27" s="23" t="n">
        <f aca="false">IF(F27&gt;0,E27/F27,"")</f>
        <v>-2.79938179648526</v>
      </c>
      <c r="I27" s="23" t="n">
        <f aca="false">IF(H27="","",TDIST(ABS(H27),G27-1,2))</f>
        <v>0.0118524140175995</v>
      </c>
    </row>
    <row r="28" customFormat="false" ht="15" hidden="false" customHeight="false" outlineLevel="0" collapsed="false">
      <c r="A28" s="5" t="s">
        <v>62</v>
      </c>
      <c r="B28" s="5" t="s">
        <v>8</v>
      </c>
      <c r="C28" s="5" t="s">
        <v>69</v>
      </c>
      <c r="D28" s="5" t="s">
        <v>9</v>
      </c>
      <c r="E28" s="21" t="n">
        <v>-0.460418844431006</v>
      </c>
      <c r="F28" s="21" t="n">
        <v>0.15378733018563</v>
      </c>
      <c r="G28" s="22" t="n">
        <v>19</v>
      </c>
      <c r="H28" s="23" t="n">
        <f aca="false">IF(F28&gt;0,E28/F28,"")</f>
        <v>-2.99386720528444</v>
      </c>
      <c r="I28" s="23" t="n">
        <f aca="false">IF(H28="","",TDIST(ABS(H28),G28-1,2))</f>
        <v>0.00778857337967429</v>
      </c>
    </row>
    <row r="29" customFormat="false" ht="15" hidden="false" customHeight="false" outlineLevel="0" collapsed="false">
      <c r="A29" s="5" t="s">
        <v>62</v>
      </c>
      <c r="B29" s="5" t="s">
        <v>8</v>
      </c>
      <c r="C29" s="5" t="s">
        <v>70</v>
      </c>
      <c r="D29" s="5" t="s">
        <v>9</v>
      </c>
      <c r="E29" s="21" t="n">
        <v>-0.471531252595305</v>
      </c>
      <c r="F29" s="21" t="n">
        <v>0.160991265377067</v>
      </c>
      <c r="G29" s="22" t="n">
        <v>19</v>
      </c>
      <c r="H29" s="23" t="n">
        <f aca="false">IF(F29&gt;0,E29/F29,"")</f>
        <v>-2.92892444500579</v>
      </c>
      <c r="I29" s="23" t="n">
        <f aca="false">IF(H29="","",TDIST(ABS(H29),G29-1,2))</f>
        <v>0.00896675023283966</v>
      </c>
    </row>
    <row r="30" customFormat="false" ht="15" hidden="false" customHeight="false" outlineLevel="0" collapsed="false">
      <c r="A30" s="5" t="s">
        <v>62</v>
      </c>
      <c r="B30" s="5" t="s">
        <v>8</v>
      </c>
      <c r="C30" s="5" t="s">
        <v>71</v>
      </c>
      <c r="D30" s="5" t="s">
        <v>9</v>
      </c>
      <c r="E30" s="21" t="n">
        <v>-0.3428189311014</v>
      </c>
      <c r="F30" s="21" t="n">
        <v>0.145569310994486</v>
      </c>
      <c r="G30" s="22" t="n">
        <v>19</v>
      </c>
      <c r="H30" s="23" t="n">
        <f aca="false">IF(F30&gt;0,E30/F30,"")</f>
        <v>-2.35502200813732</v>
      </c>
      <c r="I30" s="23" t="n">
        <f aca="false">IF(H30="","",TDIST(ABS(H30),G30-1,2))</f>
        <v>0.0300709569851229</v>
      </c>
    </row>
    <row r="31" customFormat="false" ht="15" hidden="false" customHeight="false" outlineLevel="0" collapsed="false">
      <c r="A31" s="5" t="s">
        <v>62</v>
      </c>
      <c r="B31" s="5" t="s">
        <v>8</v>
      </c>
      <c r="C31" s="5" t="s">
        <v>63</v>
      </c>
      <c r="D31" s="5" t="s">
        <v>36</v>
      </c>
      <c r="E31" s="21" t="n">
        <v>-0.3584122620936</v>
      </c>
      <c r="F31" s="21" t="n">
        <v>0.258747342877085</v>
      </c>
      <c r="G31" s="22" t="n">
        <v>19</v>
      </c>
      <c r="H31" s="23" t="n">
        <f aca="false">IF(F31&gt;0,E31/F31,"")</f>
        <v>-1.38518238722111</v>
      </c>
      <c r="I31" s="23" t="n">
        <f aca="false">IF(H31="","",TDIST(ABS(H31),G31-1,2))</f>
        <v>0.182924592809397</v>
      </c>
    </row>
    <row r="32" customFormat="false" ht="15" hidden="false" customHeight="false" outlineLevel="0" collapsed="false">
      <c r="A32" s="5" t="s">
        <v>62</v>
      </c>
      <c r="B32" s="5" t="s">
        <v>8</v>
      </c>
      <c r="C32" s="5" t="s">
        <v>64</v>
      </c>
      <c r="D32" s="5" t="s">
        <v>36</v>
      </c>
      <c r="E32" s="21" t="n">
        <v>-0.425339068203855</v>
      </c>
      <c r="F32" s="21" t="n">
        <v>0.173332861636096</v>
      </c>
      <c r="G32" s="22" t="n">
        <v>19</v>
      </c>
      <c r="H32" s="23" t="n">
        <f aca="false">IF(F32&gt;0,E32/F32,"")</f>
        <v>-2.45388591747151</v>
      </c>
      <c r="I32" s="23" t="n">
        <f aca="false">IF(H32="","",TDIST(ABS(H32),G32-1,2))</f>
        <v>0.0245455743803764</v>
      </c>
    </row>
    <row r="33" customFormat="false" ht="15" hidden="false" customHeight="false" outlineLevel="0" collapsed="false">
      <c r="A33" s="5" t="s">
        <v>62</v>
      </c>
      <c r="B33" s="5" t="s">
        <v>8</v>
      </c>
      <c r="C33" s="5" t="s">
        <v>65</v>
      </c>
      <c r="D33" s="5" t="s">
        <v>36</v>
      </c>
      <c r="E33" s="21" t="n">
        <v>0.101352296532676</v>
      </c>
      <c r="F33" s="21" t="n">
        <v>0.298169994973052</v>
      </c>
      <c r="G33" s="22" t="n">
        <v>19</v>
      </c>
      <c r="H33" s="23" t="n">
        <f aca="false">IF(F33&gt;0,E33/F33,"")</f>
        <v>0.339914472419789</v>
      </c>
      <c r="I33" s="23" t="n">
        <f aca="false">IF(H33="","",TDIST(ABS(H33),G33-1,2))</f>
        <v>0.737855242979906</v>
      </c>
    </row>
    <row r="34" customFormat="false" ht="15" hidden="false" customHeight="false" outlineLevel="0" collapsed="false">
      <c r="A34" s="5" t="s">
        <v>62</v>
      </c>
      <c r="B34" s="5" t="s">
        <v>8</v>
      </c>
      <c r="C34" s="5" t="s">
        <v>66</v>
      </c>
      <c r="D34" s="5" t="s">
        <v>36</v>
      </c>
      <c r="E34" s="21" t="n">
        <v>0.10143179118386</v>
      </c>
      <c r="F34" s="21" t="n">
        <v>0.256163495073304</v>
      </c>
      <c r="G34" s="22" t="n">
        <v>19</v>
      </c>
      <c r="H34" s="23" t="n">
        <f aca="false">IF(F34&gt;0,E34/F34,"")</f>
        <v>0.395965050191224</v>
      </c>
      <c r="I34" s="23" t="n">
        <f aca="false">IF(H34="","",TDIST(ABS(H34),G34-1,2))</f>
        <v>0.696785048302584</v>
      </c>
    </row>
    <row r="35" customFormat="false" ht="15" hidden="false" customHeight="false" outlineLevel="0" collapsed="false">
      <c r="A35" s="5" t="s">
        <v>62</v>
      </c>
      <c r="B35" s="5" t="s">
        <v>8</v>
      </c>
      <c r="C35" s="5" t="s">
        <v>67</v>
      </c>
      <c r="D35" s="5" t="s">
        <v>36</v>
      </c>
      <c r="E35" s="21" t="n">
        <v>-0.925152507633263</v>
      </c>
      <c r="F35" s="21" t="n">
        <v>0.262148622217212</v>
      </c>
      <c r="G35" s="22" t="n">
        <v>19</v>
      </c>
      <c r="H35" s="23" t="n">
        <f aca="false">IF(F35&gt;0,E35/F35,"")</f>
        <v>-3.52911451453937</v>
      </c>
      <c r="I35" s="23" t="n">
        <f aca="false">IF(H35="","",TDIST(ABS(H35),G35-1,2))</f>
        <v>0.00239662885645907</v>
      </c>
    </row>
    <row r="36" customFormat="false" ht="15" hidden="false" customHeight="false" outlineLevel="0" collapsed="false">
      <c r="A36" s="5" t="s">
        <v>62</v>
      </c>
      <c r="B36" s="5" t="s">
        <v>8</v>
      </c>
      <c r="C36" s="5" t="s">
        <v>68</v>
      </c>
      <c r="D36" s="5" t="s">
        <v>36</v>
      </c>
      <c r="E36" s="21" t="n">
        <v>-0.875951740724517</v>
      </c>
      <c r="F36" s="21" t="n">
        <v>0.423408705518888</v>
      </c>
      <c r="G36" s="22" t="n">
        <v>19</v>
      </c>
      <c r="H36" s="23" t="n">
        <f aca="false">IF(F36&gt;0,E36/F36,"")</f>
        <v>-2.06880900016224</v>
      </c>
      <c r="I36" s="23" t="n">
        <f aca="false">IF(H36="","",TDIST(ABS(H36),G36-1,2))</f>
        <v>0.0532374998724696</v>
      </c>
    </row>
    <row r="37" customFormat="false" ht="15" hidden="false" customHeight="false" outlineLevel="0" collapsed="false">
      <c r="A37" s="5" t="s">
        <v>62</v>
      </c>
      <c r="B37" s="5" t="s">
        <v>8</v>
      </c>
      <c r="C37" s="5" t="s">
        <v>69</v>
      </c>
      <c r="D37" s="5" t="s">
        <v>36</v>
      </c>
      <c r="E37" s="21" t="n">
        <v>0.704497791967234</v>
      </c>
      <c r="F37" s="21" t="n">
        <v>0.265199340660759</v>
      </c>
      <c r="G37" s="22" t="n">
        <v>19</v>
      </c>
      <c r="H37" s="23" t="n">
        <f aca="false">IF(F37&gt;0,E37/F37,"")</f>
        <v>2.65648394981654</v>
      </c>
      <c r="I37" s="23" t="n">
        <f aca="false">IF(H37="","",TDIST(ABS(H37),G37-1,2))</f>
        <v>0.0160671302237382</v>
      </c>
    </row>
    <row r="38" customFormat="false" ht="15" hidden="false" customHeight="false" outlineLevel="0" collapsed="false">
      <c r="A38" s="5" t="s">
        <v>62</v>
      </c>
      <c r="B38" s="5" t="s">
        <v>8</v>
      </c>
      <c r="C38" s="5" t="s">
        <v>70</v>
      </c>
      <c r="D38" s="5" t="s">
        <v>36</v>
      </c>
      <c r="E38" s="21" t="n">
        <v>0.13971745437921</v>
      </c>
      <c r="F38" s="21" t="n">
        <v>0.229386840454336</v>
      </c>
      <c r="G38" s="22" t="n">
        <v>19</v>
      </c>
      <c r="H38" s="23" t="n">
        <f aca="false">IF(F38&gt;0,E38/F38,"")</f>
        <v>0.609090975325691</v>
      </c>
      <c r="I38" s="23" t="n">
        <f aca="false">IF(H38="","",TDIST(ABS(H38),G38-1,2))</f>
        <v>0.550075145978923</v>
      </c>
    </row>
    <row r="39" customFormat="false" ht="15" hidden="false" customHeight="false" outlineLevel="0" collapsed="false">
      <c r="A39" s="5" t="s">
        <v>62</v>
      </c>
      <c r="B39" s="5" t="s">
        <v>8</v>
      </c>
      <c r="C39" s="5" t="s">
        <v>71</v>
      </c>
      <c r="D39" s="5" t="s">
        <v>36</v>
      </c>
      <c r="E39" s="21" t="n">
        <v>0.0206324375627117</v>
      </c>
      <c r="F39" s="21" t="n">
        <v>0.0157046034906414</v>
      </c>
      <c r="G39" s="22" t="n">
        <v>19</v>
      </c>
      <c r="H39" s="23" t="n">
        <f aca="false">IF(F39&gt;0,E39/F39,"")</f>
        <v>1.31378277554138</v>
      </c>
      <c r="I39" s="23" t="n">
        <f aca="false">IF(H39="","",TDIST(ABS(H39),G39-1,2))</f>
        <v>0.205418440999284</v>
      </c>
    </row>
    <row r="40" customFormat="false" ht="15" hidden="false" customHeight="false" outlineLevel="0" collapsed="false">
      <c r="A40" s="5" t="s">
        <v>62</v>
      </c>
      <c r="B40" s="5" t="s">
        <v>8</v>
      </c>
      <c r="C40" s="5" t="s">
        <v>63</v>
      </c>
      <c r="D40" s="5" t="s">
        <v>37</v>
      </c>
      <c r="E40" s="21" t="n">
        <v>0.226309688101337</v>
      </c>
      <c r="F40" s="21" t="n">
        <v>0.198756851695665</v>
      </c>
      <c r="G40" s="22" t="n">
        <v>19</v>
      </c>
      <c r="H40" s="23" t="n">
        <f aca="false">IF(F40&gt;0,E40/F40,"")</f>
        <v>1.13862584444566</v>
      </c>
      <c r="I40" s="23" t="n">
        <f aca="false">IF(H40="","",TDIST(ABS(H40),G40-1,2))</f>
        <v>0.269787257925089</v>
      </c>
    </row>
    <row r="41" customFormat="false" ht="15" hidden="false" customHeight="false" outlineLevel="0" collapsed="false">
      <c r="A41" s="5" t="s">
        <v>62</v>
      </c>
      <c r="B41" s="5" t="s">
        <v>8</v>
      </c>
      <c r="C41" s="5" t="s">
        <v>64</v>
      </c>
      <c r="D41" s="5" t="s">
        <v>37</v>
      </c>
      <c r="E41" s="21" t="n">
        <v>0.150807132015265</v>
      </c>
      <c r="F41" s="21" t="n">
        <v>0.207092013345483</v>
      </c>
      <c r="G41" s="22" t="n">
        <v>19</v>
      </c>
      <c r="H41" s="23" t="n">
        <f aca="false">IF(F41&gt;0,E41/F41,"")</f>
        <v>0.728213172391538</v>
      </c>
      <c r="I41" s="23" t="n">
        <f aca="false">IF(H41="","",TDIST(ABS(H41),G41-1,2))</f>
        <v>0.47585070948098</v>
      </c>
    </row>
    <row r="42" customFormat="false" ht="15" hidden="false" customHeight="false" outlineLevel="0" collapsed="false">
      <c r="A42" s="5" t="s">
        <v>62</v>
      </c>
      <c r="B42" s="5" t="s">
        <v>8</v>
      </c>
      <c r="C42" s="5" t="s">
        <v>65</v>
      </c>
      <c r="D42" s="5" t="s">
        <v>37</v>
      </c>
      <c r="E42" s="21" t="n">
        <v>0.0588309276391322</v>
      </c>
      <c r="F42" s="21" t="n">
        <v>0.0883967543829129</v>
      </c>
      <c r="G42" s="22" t="n">
        <v>19</v>
      </c>
      <c r="H42" s="23" t="n">
        <f aca="false">IF(F42&gt;0,E42/F42,"")</f>
        <v>0.665532666327218</v>
      </c>
      <c r="I42" s="23" t="n">
        <f aca="false">IF(H42="","",TDIST(ABS(H42),G42-1,2))</f>
        <v>0.514148521765771</v>
      </c>
    </row>
    <row r="43" customFormat="false" ht="15" hidden="false" customHeight="false" outlineLevel="0" collapsed="false">
      <c r="A43" s="5" t="s">
        <v>62</v>
      </c>
      <c r="B43" s="5" t="s">
        <v>8</v>
      </c>
      <c r="C43" s="5" t="s">
        <v>66</v>
      </c>
      <c r="D43" s="5" t="s">
        <v>37</v>
      </c>
      <c r="E43" s="21" t="n">
        <v>-0.216481023546129</v>
      </c>
      <c r="F43" s="21" t="n">
        <v>0.144601400924768</v>
      </c>
      <c r="G43" s="22" t="n">
        <v>19</v>
      </c>
      <c r="H43" s="23" t="n">
        <f aca="false">IF(F43&gt;0,E43/F43,"")</f>
        <v>-1.49708800994783</v>
      </c>
      <c r="I43" s="23" t="n">
        <f aca="false">IF(H43="","",TDIST(ABS(H43),G43-1,2))</f>
        <v>0.15170041893742</v>
      </c>
    </row>
    <row r="44" customFormat="false" ht="15" hidden="false" customHeight="false" outlineLevel="0" collapsed="false">
      <c r="A44" s="5" t="s">
        <v>62</v>
      </c>
      <c r="B44" s="5" t="s">
        <v>8</v>
      </c>
      <c r="C44" s="5" t="s">
        <v>67</v>
      </c>
      <c r="D44" s="5" t="s">
        <v>37</v>
      </c>
      <c r="E44" s="21" t="n">
        <v>0.46285742763552</v>
      </c>
      <c r="F44" s="21" t="n">
        <v>0.21798036522309</v>
      </c>
      <c r="G44" s="22" t="n">
        <v>19</v>
      </c>
      <c r="H44" s="23" t="n">
        <f aca="false">IF(F44&gt;0,E44/F44,"")</f>
        <v>2.12339045841039</v>
      </c>
      <c r="I44" s="23" t="n">
        <f aca="false">IF(H44="","",TDIST(ABS(H44),G44-1,2))</f>
        <v>0.0478423386897677</v>
      </c>
    </row>
    <row r="45" customFormat="false" ht="15" hidden="false" customHeight="false" outlineLevel="0" collapsed="false">
      <c r="A45" s="5" t="s">
        <v>62</v>
      </c>
      <c r="B45" s="5" t="s">
        <v>8</v>
      </c>
      <c r="C45" s="5" t="s">
        <v>68</v>
      </c>
      <c r="D45" s="5" t="s">
        <v>37</v>
      </c>
      <c r="E45" s="21" t="n">
        <v>-0.0853908776272687</v>
      </c>
      <c r="F45" s="21" t="n">
        <v>0.15534062431847</v>
      </c>
      <c r="G45" s="22" t="n">
        <v>19</v>
      </c>
      <c r="H45" s="23" t="n">
        <f aca="false">IF(F45&gt;0,E45/F45,"")</f>
        <v>-0.549700878324047</v>
      </c>
      <c r="I45" s="23" t="n">
        <f aca="false">IF(H45="","",TDIST(ABS(H45),G45-1,2))</f>
        <v>0.589280672496471</v>
      </c>
    </row>
    <row r="46" customFormat="false" ht="15" hidden="false" customHeight="false" outlineLevel="0" collapsed="false">
      <c r="A46" s="5" t="s">
        <v>62</v>
      </c>
      <c r="B46" s="5" t="s">
        <v>8</v>
      </c>
      <c r="C46" s="5" t="s">
        <v>69</v>
      </c>
      <c r="D46" s="5" t="s">
        <v>37</v>
      </c>
      <c r="E46" s="21" t="n">
        <v>0.023826573543526</v>
      </c>
      <c r="F46" s="21" t="n">
        <v>0.151378370925635</v>
      </c>
      <c r="G46" s="22" t="n">
        <v>19</v>
      </c>
      <c r="H46" s="23" t="n">
        <f aca="false">IF(F46&gt;0,E46/F46,"")</f>
        <v>0.157397476256571</v>
      </c>
      <c r="I46" s="23" t="n">
        <f aca="false">IF(H46="","",TDIST(ABS(H46),G46-1,2))</f>
        <v>0.87668375205947</v>
      </c>
    </row>
    <row r="47" customFormat="false" ht="15" hidden="false" customHeight="false" outlineLevel="0" collapsed="false">
      <c r="A47" s="5" t="s">
        <v>62</v>
      </c>
      <c r="B47" s="5" t="s">
        <v>8</v>
      </c>
      <c r="C47" s="5" t="s">
        <v>70</v>
      </c>
      <c r="D47" s="5" t="s">
        <v>37</v>
      </c>
      <c r="E47" s="21" t="n">
        <v>0.0289512652805073</v>
      </c>
      <c r="F47" s="21" t="n">
        <v>0.141452916646146</v>
      </c>
      <c r="G47" s="22" t="n">
        <v>19</v>
      </c>
      <c r="H47" s="23" t="n">
        <f aca="false">IF(F47&gt;0,E47/F47,"")</f>
        <v>0.204670684542553</v>
      </c>
      <c r="I47" s="23" t="n">
        <f aca="false">IF(H47="","",TDIST(ABS(H47),G47-1,2))</f>
        <v>0.840125939318134</v>
      </c>
    </row>
    <row r="48" customFormat="false" ht="15" hidden="false" customHeight="false" outlineLevel="0" collapsed="false">
      <c r="A48" s="5" t="s">
        <v>62</v>
      </c>
      <c r="B48" s="5" t="s">
        <v>8</v>
      </c>
      <c r="C48" s="5" t="s">
        <v>71</v>
      </c>
      <c r="D48" s="5" t="s">
        <v>37</v>
      </c>
      <c r="E48" s="21" t="n">
        <v>-0.0202847992775444</v>
      </c>
      <c r="F48" s="21" t="n">
        <v>0.0125981397580389</v>
      </c>
      <c r="G48" s="22" t="n">
        <v>19</v>
      </c>
      <c r="H48" s="23" t="n">
        <f aca="false">IF(F48&gt;0,E48/F48,"")</f>
        <v>-1.61014242317804</v>
      </c>
      <c r="I48" s="23" t="n">
        <f aca="false">IF(H48="","",TDIST(ABS(H48),G48-1,2))</f>
        <v>0.124763616327573</v>
      </c>
    </row>
    <row r="49" customFormat="false" ht="15" hidden="false" customHeight="false" outlineLevel="0" collapsed="false">
      <c r="A49" s="5" t="s">
        <v>62</v>
      </c>
      <c r="B49" s="5" t="s">
        <v>8</v>
      </c>
      <c r="C49" s="5" t="s">
        <v>63</v>
      </c>
      <c r="D49" s="5" t="s">
        <v>38</v>
      </c>
      <c r="E49" s="21" t="n">
        <v>-0.594105243262441</v>
      </c>
      <c r="F49" s="21" t="n">
        <v>0.155360149066587</v>
      </c>
      <c r="G49" s="22" t="n">
        <v>19</v>
      </c>
      <c r="H49" s="23" t="n">
        <f aca="false">IF(F49&gt;0,E49/F49,"")</f>
        <v>-3.82405170715825</v>
      </c>
      <c r="I49" s="23" t="n">
        <f aca="false">IF(H49="","",TDIST(ABS(H49),G49-1,2))</f>
        <v>0.00124295130468822</v>
      </c>
    </row>
    <row r="50" customFormat="false" ht="15" hidden="false" customHeight="false" outlineLevel="0" collapsed="false">
      <c r="A50" s="5" t="s">
        <v>62</v>
      </c>
      <c r="B50" s="5" t="s">
        <v>8</v>
      </c>
      <c r="C50" s="5" t="s">
        <v>64</v>
      </c>
      <c r="D50" s="5" t="s">
        <v>38</v>
      </c>
      <c r="E50" s="21" t="n">
        <v>-0.699111475144229</v>
      </c>
      <c r="F50" s="21" t="n">
        <v>0.168351934403939</v>
      </c>
      <c r="G50" s="22" t="n">
        <v>19</v>
      </c>
      <c r="H50" s="23" t="n">
        <f aca="false">IF(F50&gt;0,E50/F50,"")</f>
        <v>-4.15267859926575</v>
      </c>
      <c r="I50" s="23" t="n">
        <f aca="false">IF(H50="","",TDIST(ABS(H50),G50-1,2))</f>
        <v>0.000597902869859436</v>
      </c>
    </row>
    <row r="51" customFormat="false" ht="15" hidden="false" customHeight="false" outlineLevel="0" collapsed="false">
      <c r="A51" s="5" t="s">
        <v>62</v>
      </c>
      <c r="B51" s="5" t="s">
        <v>8</v>
      </c>
      <c r="C51" s="5" t="s">
        <v>65</v>
      </c>
      <c r="D51" s="5" t="s">
        <v>38</v>
      </c>
      <c r="E51" s="21" t="n">
        <v>-0.406136314520804</v>
      </c>
      <c r="F51" s="21" t="n">
        <v>0.17372083520757</v>
      </c>
      <c r="G51" s="22" t="n">
        <v>19</v>
      </c>
      <c r="H51" s="23" t="n">
        <f aca="false">IF(F51&gt;0,E51/F51,"")</f>
        <v>-2.33786761406905</v>
      </c>
      <c r="I51" s="23" t="n">
        <f aca="false">IF(H51="","",TDIST(ABS(H51),G51-1,2))</f>
        <v>0.0311405755078221</v>
      </c>
    </row>
    <row r="52" customFormat="false" ht="15" hidden="false" customHeight="false" outlineLevel="0" collapsed="false">
      <c r="A52" s="5" t="s">
        <v>62</v>
      </c>
      <c r="B52" s="5" t="s">
        <v>8</v>
      </c>
      <c r="C52" s="5" t="s">
        <v>66</v>
      </c>
      <c r="D52" s="5" t="s">
        <v>38</v>
      </c>
      <c r="E52" s="21" t="n">
        <v>-0.373954764678706</v>
      </c>
      <c r="F52" s="21" t="n">
        <v>0.247300098541374</v>
      </c>
      <c r="G52" s="22" t="n">
        <v>19</v>
      </c>
      <c r="H52" s="23" t="n">
        <f aca="false">IF(F52&gt;0,E52/F52,"")</f>
        <v>-1.5121496792131</v>
      </c>
      <c r="I52" s="23" t="n">
        <f aca="false">IF(H52="","",TDIST(ABS(H52),G52-1,2))</f>
        <v>0.147854376617665</v>
      </c>
    </row>
    <row r="53" customFormat="false" ht="15" hidden="false" customHeight="false" outlineLevel="0" collapsed="false">
      <c r="A53" s="5" t="s">
        <v>62</v>
      </c>
      <c r="B53" s="5" t="s">
        <v>8</v>
      </c>
      <c r="C53" s="5" t="s">
        <v>67</v>
      </c>
      <c r="D53" s="5" t="s">
        <v>38</v>
      </c>
      <c r="E53" s="21" t="n">
        <v>-1.19331446853148</v>
      </c>
      <c r="F53" s="21" t="n">
        <v>0.173967214359679</v>
      </c>
      <c r="G53" s="22" t="n">
        <v>19</v>
      </c>
      <c r="H53" s="23" t="n">
        <f aca="false">IF(F53&gt;0,E53/F53,"")</f>
        <v>-6.85942160379883</v>
      </c>
      <c r="I53" s="23" t="n">
        <f aca="false">IF(H53="","",TDIST(ABS(H53),G53-1,2))</f>
        <v>2.03594279054419E-006</v>
      </c>
    </row>
    <row r="54" customFormat="false" ht="15" hidden="false" customHeight="false" outlineLevel="0" collapsed="false">
      <c r="A54" s="5" t="s">
        <v>62</v>
      </c>
      <c r="B54" s="5" t="s">
        <v>8</v>
      </c>
      <c r="C54" s="5" t="s">
        <v>68</v>
      </c>
      <c r="D54" s="5" t="s">
        <v>38</v>
      </c>
      <c r="E54" s="21" t="n">
        <v>-1.23642929968799</v>
      </c>
      <c r="F54" s="21" t="n">
        <v>0.38408205258083</v>
      </c>
      <c r="G54" s="22" t="n">
        <v>19</v>
      </c>
      <c r="H54" s="23" t="n">
        <f aca="false">IF(F54&gt;0,E54/F54,"")</f>
        <v>-3.21918009805414</v>
      </c>
      <c r="I54" s="23" t="n">
        <f aca="false">IF(H54="","",TDIST(ABS(H54),G54-1,2))</f>
        <v>0.00475751758571257</v>
      </c>
    </row>
    <row r="55" customFormat="false" ht="15" hidden="false" customHeight="false" outlineLevel="0" collapsed="false">
      <c r="A55" s="5" t="s">
        <v>62</v>
      </c>
      <c r="B55" s="5" t="s">
        <v>8</v>
      </c>
      <c r="C55" s="5" t="s">
        <v>69</v>
      </c>
      <c r="D55" s="5" t="s">
        <v>39</v>
      </c>
      <c r="E55" s="21" t="n">
        <v>-0.758101523039501</v>
      </c>
      <c r="F55" s="21" t="n">
        <v>0.192612724885938</v>
      </c>
      <c r="G55" s="22" t="n">
        <v>19</v>
      </c>
      <c r="H55" s="23" t="n">
        <f aca="false">IF(F55&gt;0,E55/F55,"")</f>
        <v>-3.93588493952534</v>
      </c>
      <c r="I55" s="23" t="n">
        <f aca="false">IF(H55="","",TDIST(ABS(H55),G55-1,2))</f>
        <v>0.000968770558498642</v>
      </c>
    </row>
    <row r="56" customFormat="false" ht="15" hidden="false" customHeight="false" outlineLevel="0" collapsed="false">
      <c r="A56" s="5" t="s">
        <v>62</v>
      </c>
      <c r="B56" s="5" t="s">
        <v>8</v>
      </c>
      <c r="C56" s="5" t="s">
        <v>70</v>
      </c>
      <c r="D56" s="5" t="s">
        <v>39</v>
      </c>
      <c r="E56" s="21" t="n">
        <v>-0.514542974293865</v>
      </c>
      <c r="F56" s="21" t="n">
        <v>0.184935683372959</v>
      </c>
      <c r="G56" s="22" t="n">
        <v>19</v>
      </c>
      <c r="H56" s="23" t="n">
        <f aca="false">IF(F56&gt;0,E56/F56,"")</f>
        <v>-2.78228065514101</v>
      </c>
      <c r="I56" s="23" t="n">
        <f aca="false">IF(H56="","",TDIST(ABS(H56),G56-1,2))</f>
        <v>0.0122944524253132</v>
      </c>
    </row>
    <row r="57" customFormat="false" ht="15" hidden="false" customHeight="false" outlineLevel="0" collapsed="false">
      <c r="A57" s="5" t="s">
        <v>62</v>
      </c>
      <c r="B57" s="5" t="s">
        <v>8</v>
      </c>
      <c r="C57" s="5" t="s">
        <v>71</v>
      </c>
      <c r="D57" s="5" t="s">
        <v>39</v>
      </c>
      <c r="E57" s="21" t="n">
        <v>-0.469621797374219</v>
      </c>
      <c r="F57" s="21" t="n">
        <v>0.148515812346656</v>
      </c>
      <c r="G57" s="22" t="n">
        <v>19</v>
      </c>
      <c r="H57" s="23" t="n">
        <f aca="false">IF(F57&gt;0,E57/F57,"")</f>
        <v>-3.16209964416489</v>
      </c>
      <c r="I57" s="23" t="n">
        <f aca="false">IF(H57="","",TDIST(ABS(H57),G57-1,2))</f>
        <v>0.00539326283015248</v>
      </c>
    </row>
    <row r="58" customFormat="false" ht="15" hidden="false" customHeight="false" outlineLevel="0" collapsed="false">
      <c r="A58" s="5" t="s">
        <v>62</v>
      </c>
      <c r="B58" s="5" t="s">
        <v>8</v>
      </c>
      <c r="C58" s="5" t="s">
        <v>69</v>
      </c>
      <c r="D58" s="5" t="s">
        <v>40</v>
      </c>
      <c r="E58" s="21" t="n">
        <v>-0.227466173384291</v>
      </c>
      <c r="F58" s="21" t="n">
        <v>0.1750499136179</v>
      </c>
      <c r="G58" s="22" t="n">
        <v>19</v>
      </c>
      <c r="H58" s="23" t="n">
        <f aca="false">IF(F58&gt;0,E58/F58,"")</f>
        <v>-1.29943607901918</v>
      </c>
      <c r="I58" s="23" t="n">
        <f aca="false">IF(H58="","",TDIST(ABS(H58),G58-1,2))</f>
        <v>0.21019166983268</v>
      </c>
    </row>
    <row r="59" customFormat="false" ht="15" hidden="false" customHeight="false" outlineLevel="0" collapsed="false">
      <c r="A59" s="5" t="s">
        <v>62</v>
      </c>
      <c r="B59" s="5" t="s">
        <v>8</v>
      </c>
      <c r="C59" s="5" t="s">
        <v>70</v>
      </c>
      <c r="D59" s="5" t="s">
        <v>40</v>
      </c>
      <c r="E59" s="21" t="n">
        <v>-0.427053993147894</v>
      </c>
      <c r="F59" s="21" t="n">
        <v>0.166858535684642</v>
      </c>
      <c r="G59" s="22" t="n">
        <v>19</v>
      </c>
      <c r="H59" s="23" t="n">
        <f aca="false">IF(F59&gt;0,E59/F59,"")</f>
        <v>-2.55937756732454</v>
      </c>
      <c r="I59" s="23" t="n">
        <f aca="false">IF(H59="","",TDIST(ABS(H59),G59-1,2))</f>
        <v>0.0197093144061702</v>
      </c>
    </row>
    <row r="60" customFormat="false" ht="15" hidden="false" customHeight="false" outlineLevel="0" collapsed="false">
      <c r="A60" s="5" t="s">
        <v>62</v>
      </c>
      <c r="B60" s="5" t="s">
        <v>8</v>
      </c>
      <c r="C60" s="5" t="s">
        <v>71</v>
      </c>
      <c r="D60" s="5" t="s">
        <v>40</v>
      </c>
      <c r="E60" s="21" t="n">
        <v>-0.222032546621678</v>
      </c>
      <c r="F60" s="21" t="n">
        <v>0.194142187984928</v>
      </c>
      <c r="G60" s="22" t="n">
        <v>19</v>
      </c>
      <c r="H60" s="23" t="n">
        <f aca="false">IF(F60&gt;0,E60/F60,"")</f>
        <v>-1.14365944324742</v>
      </c>
      <c r="I60" s="23" t="n">
        <f aca="false">IF(H60="","",TDIST(ABS(H60),G60-1,2))</f>
        <v>0.267747339663893</v>
      </c>
    </row>
    <row r="61" customFormat="false" ht="15" hidden="false" customHeight="false" outlineLevel="0" collapsed="false">
      <c r="A61" s="5" t="s">
        <v>62</v>
      </c>
      <c r="B61" s="5" t="s">
        <v>13</v>
      </c>
      <c r="C61" s="5" t="s">
        <v>63</v>
      </c>
      <c r="D61" s="5" t="s">
        <v>9</v>
      </c>
      <c r="E61" s="21" t="n">
        <v>-0.186656990956736</v>
      </c>
      <c r="F61" s="21" t="n">
        <v>0.210711352818514</v>
      </c>
      <c r="G61" s="22" t="n">
        <v>19</v>
      </c>
      <c r="H61" s="23" t="n">
        <f aca="false">IF(F61&gt;0,E61/F61,"")</f>
        <v>-0.885842117474822</v>
      </c>
      <c r="I61" s="23" t="n">
        <f aca="false">IF(H61="","",TDIST(ABS(H61),G61-1,2))</f>
        <v>0.387384260627133</v>
      </c>
    </row>
    <row r="62" customFormat="false" ht="15" hidden="false" customHeight="false" outlineLevel="0" collapsed="false">
      <c r="A62" s="5" t="s">
        <v>62</v>
      </c>
      <c r="B62" s="5" t="s">
        <v>13</v>
      </c>
      <c r="C62" s="5" t="s">
        <v>64</v>
      </c>
      <c r="D62" s="5" t="s">
        <v>9</v>
      </c>
      <c r="E62" s="21" t="n">
        <v>-0.251886416620765</v>
      </c>
      <c r="F62" s="21" t="n">
        <v>0.151626817433369</v>
      </c>
      <c r="G62" s="22" t="n">
        <v>19</v>
      </c>
      <c r="H62" s="23" t="n">
        <f aca="false">IF(F62&gt;0,E62/F62,"")</f>
        <v>-1.66122603431583</v>
      </c>
      <c r="I62" s="23" t="n">
        <f aca="false">IF(H62="","",TDIST(ABS(H62),G62-1,2))</f>
        <v>0.11398578474497</v>
      </c>
    </row>
    <row r="63" customFormat="false" ht="15" hidden="false" customHeight="false" outlineLevel="0" collapsed="false">
      <c r="A63" s="5" t="s">
        <v>62</v>
      </c>
      <c r="B63" s="5" t="s">
        <v>13</v>
      </c>
      <c r="C63" s="5" t="s">
        <v>65</v>
      </c>
      <c r="D63" s="5" t="s">
        <v>9</v>
      </c>
      <c r="E63" s="21" t="n">
        <v>-0.467301979367823</v>
      </c>
      <c r="F63" s="21" t="n">
        <v>0.219296832316501</v>
      </c>
      <c r="G63" s="22" t="n">
        <v>19</v>
      </c>
      <c r="H63" s="23" t="n">
        <f aca="false">IF(F63&gt;0,E63/F63,"")</f>
        <v>-2.13091075886307</v>
      </c>
      <c r="I63" s="23" t="n">
        <f aca="false">IF(H63="","",TDIST(ABS(H63),G63-1,2))</f>
        <v>0.0471393236141702</v>
      </c>
    </row>
    <row r="64" customFormat="false" ht="15" hidden="false" customHeight="false" outlineLevel="0" collapsed="false">
      <c r="A64" s="5" t="s">
        <v>62</v>
      </c>
      <c r="B64" s="5" t="s">
        <v>13</v>
      </c>
      <c r="C64" s="5" t="s">
        <v>66</v>
      </c>
      <c r="D64" s="5" t="s">
        <v>9</v>
      </c>
      <c r="E64" s="21" t="n">
        <v>-0.457951597203045</v>
      </c>
      <c r="F64" s="21" t="n">
        <v>0.137540260646277</v>
      </c>
      <c r="G64" s="22" t="n">
        <v>19</v>
      </c>
      <c r="H64" s="23" t="n">
        <f aca="false">IF(F64&gt;0,E64/F64,"")</f>
        <v>-3.32958215326342</v>
      </c>
      <c r="I64" s="23" t="n">
        <f aca="false">IF(H64="","",TDIST(ABS(H64),G64-1,2))</f>
        <v>0.00372950943125551</v>
      </c>
    </row>
    <row r="65" customFormat="false" ht="15" hidden="false" customHeight="false" outlineLevel="0" collapsed="false">
      <c r="A65" s="5" t="s">
        <v>62</v>
      </c>
      <c r="B65" s="5" t="s">
        <v>13</v>
      </c>
      <c r="C65" s="5" t="s">
        <v>67</v>
      </c>
      <c r="D65" s="5" t="s">
        <v>9</v>
      </c>
      <c r="E65" s="21" t="n">
        <v>-0.230701507622029</v>
      </c>
      <c r="F65" s="21" t="n">
        <v>0.147160263964291</v>
      </c>
      <c r="G65" s="22" t="n">
        <v>19</v>
      </c>
      <c r="H65" s="23" t="n">
        <f aca="false">IF(F65&gt;0,E65/F65,"")</f>
        <v>-1.56768886795425</v>
      </c>
      <c r="I65" s="23" t="n">
        <f aca="false">IF(H65="","",TDIST(ABS(H65),G65-1,2))</f>
        <v>0.134365172579498</v>
      </c>
    </row>
    <row r="66" customFormat="false" ht="15" hidden="false" customHeight="false" outlineLevel="0" collapsed="false">
      <c r="A66" s="5" t="s">
        <v>62</v>
      </c>
      <c r="B66" s="5" t="s">
        <v>13</v>
      </c>
      <c r="C66" s="5" t="s">
        <v>68</v>
      </c>
      <c r="D66" s="5" t="s">
        <v>9</v>
      </c>
      <c r="E66" s="21" t="n">
        <v>-0.353771977380954</v>
      </c>
      <c r="F66" s="21" t="n">
        <v>0.132998344987828</v>
      </c>
      <c r="G66" s="22" t="n">
        <v>19</v>
      </c>
      <c r="H66" s="23" t="n">
        <f aca="false">IF(F66&gt;0,E66/F66,"")</f>
        <v>-2.65997277946077</v>
      </c>
      <c r="I66" s="23" t="n">
        <f aca="false">IF(H66="","",TDIST(ABS(H66),G66-1,2))</f>
        <v>0.0159490047594269</v>
      </c>
    </row>
    <row r="67" customFormat="false" ht="15" hidden="false" customHeight="false" outlineLevel="0" collapsed="false">
      <c r="A67" s="5" t="s">
        <v>62</v>
      </c>
      <c r="B67" s="5" t="s">
        <v>13</v>
      </c>
      <c r="C67" s="5" t="s">
        <v>69</v>
      </c>
      <c r="D67" s="5" t="s">
        <v>9</v>
      </c>
      <c r="E67" s="21" t="n">
        <v>-0.472882869553177</v>
      </c>
      <c r="F67" s="21" t="n">
        <v>0.15509314590171</v>
      </c>
      <c r="G67" s="22" t="n">
        <v>19</v>
      </c>
      <c r="H67" s="23" t="n">
        <f aca="false">IF(F67&gt;0,E67/F67,"")</f>
        <v>-3.04902493790967</v>
      </c>
      <c r="I67" s="23" t="n">
        <f aca="false">IF(H67="","",TDIST(ABS(H67),G67-1,2))</f>
        <v>0.00690712139276272</v>
      </c>
    </row>
    <row r="68" customFormat="false" ht="15" hidden="false" customHeight="false" outlineLevel="0" collapsed="false">
      <c r="A68" s="5" t="s">
        <v>62</v>
      </c>
      <c r="B68" s="5" t="s">
        <v>13</v>
      </c>
      <c r="C68" s="5" t="s">
        <v>70</v>
      </c>
      <c r="D68" s="5" t="s">
        <v>9</v>
      </c>
      <c r="E68" s="21" t="n">
        <v>-0.465696032637658</v>
      </c>
      <c r="F68" s="21" t="n">
        <v>0.162726543910957</v>
      </c>
      <c r="G68" s="22" t="n">
        <v>19</v>
      </c>
      <c r="H68" s="23" t="n">
        <f aca="false">IF(F68&gt;0,E68/F68,"")</f>
        <v>-2.86183201243729</v>
      </c>
      <c r="I68" s="23" t="n">
        <f aca="false">IF(H68="","",TDIST(ABS(H68),G68-1,2))</f>
        <v>0.0103643827055386</v>
      </c>
    </row>
    <row r="69" customFormat="false" ht="15" hidden="false" customHeight="false" outlineLevel="0" collapsed="false">
      <c r="A69" s="5" t="s">
        <v>62</v>
      </c>
      <c r="B69" s="5" t="s">
        <v>13</v>
      </c>
      <c r="C69" s="5" t="s">
        <v>71</v>
      </c>
      <c r="D69" s="5" t="s">
        <v>9</v>
      </c>
      <c r="E69" s="21" t="n">
        <v>-0.328514378749203</v>
      </c>
      <c r="F69" s="21" t="n">
        <v>0.148962547638273</v>
      </c>
      <c r="G69" s="22" t="n">
        <v>19</v>
      </c>
      <c r="H69" s="23" t="n">
        <f aca="false">IF(F69&gt;0,E69/F69,"")</f>
        <v>-2.20534882061052</v>
      </c>
      <c r="I69" s="23" t="n">
        <f aca="false">IF(H69="","",TDIST(ABS(H69),G69-1,2))</f>
        <v>0.0406725534903258</v>
      </c>
    </row>
    <row r="70" customFormat="false" ht="15" hidden="false" customHeight="false" outlineLevel="0" collapsed="false">
      <c r="A70" s="5" t="s">
        <v>62</v>
      </c>
      <c r="B70" s="5" t="s">
        <v>13</v>
      </c>
      <c r="C70" s="5" t="s">
        <v>63</v>
      </c>
      <c r="D70" s="5" t="s">
        <v>36</v>
      </c>
      <c r="E70" s="21" t="n">
        <v>-0.415371006656554</v>
      </c>
      <c r="F70" s="21" t="n">
        <v>0.2532017770594</v>
      </c>
      <c r="G70" s="22" t="n">
        <v>19</v>
      </c>
      <c r="H70" s="23" t="n">
        <f aca="false">IF(F70&gt;0,E70/F70,"")</f>
        <v>-1.64047429477207</v>
      </c>
      <c r="I70" s="23" t="n">
        <f aca="false">IF(H70="","",TDIST(ABS(H70),G70-1,2))</f>
        <v>0.11826444775963</v>
      </c>
    </row>
    <row r="71" customFormat="false" ht="15" hidden="false" customHeight="false" outlineLevel="0" collapsed="false">
      <c r="A71" s="5" t="s">
        <v>62</v>
      </c>
      <c r="B71" s="5" t="s">
        <v>13</v>
      </c>
      <c r="C71" s="5" t="s">
        <v>64</v>
      </c>
      <c r="D71" s="5" t="s">
        <v>36</v>
      </c>
      <c r="E71" s="21" t="n">
        <v>-0.417995316538237</v>
      </c>
      <c r="F71" s="21" t="n">
        <v>0.184103498917732</v>
      </c>
      <c r="G71" s="22" t="n">
        <v>19</v>
      </c>
      <c r="H71" s="23" t="n">
        <f aca="false">IF(F71&gt;0,E71/F71,"")</f>
        <v>-2.2704365696223</v>
      </c>
      <c r="I71" s="23" t="n">
        <f aca="false">IF(H71="","",TDIST(ABS(H71),G71-1,2))</f>
        <v>0.0356969388662438</v>
      </c>
    </row>
    <row r="72" customFormat="false" ht="15" hidden="false" customHeight="false" outlineLevel="0" collapsed="false">
      <c r="A72" s="5" t="s">
        <v>62</v>
      </c>
      <c r="B72" s="5" t="s">
        <v>13</v>
      </c>
      <c r="C72" s="5" t="s">
        <v>65</v>
      </c>
      <c r="D72" s="5" t="s">
        <v>36</v>
      </c>
      <c r="E72" s="21" t="n">
        <v>0.0672774239666012</v>
      </c>
      <c r="F72" s="21" t="n">
        <v>0.301382961409473</v>
      </c>
      <c r="G72" s="22" t="n">
        <v>19</v>
      </c>
      <c r="H72" s="23" t="n">
        <f aca="false">IF(F72&gt;0,E72/F72,"")</f>
        <v>0.223229022808608</v>
      </c>
      <c r="I72" s="23" t="n">
        <f aca="false">IF(H72="","",TDIST(ABS(H72),G72-1,2))</f>
        <v>0.825870997455545</v>
      </c>
    </row>
    <row r="73" customFormat="false" ht="15" hidden="false" customHeight="false" outlineLevel="0" collapsed="false">
      <c r="A73" s="5" t="s">
        <v>62</v>
      </c>
      <c r="B73" s="5" t="s">
        <v>13</v>
      </c>
      <c r="C73" s="5" t="s">
        <v>66</v>
      </c>
      <c r="D73" s="5" t="s">
        <v>36</v>
      </c>
      <c r="E73" s="21" t="n">
        <v>0.146830819907641</v>
      </c>
      <c r="F73" s="21" t="n">
        <v>0.2657382399416</v>
      </c>
      <c r="G73" s="22" t="n">
        <v>19</v>
      </c>
      <c r="H73" s="23" t="n">
        <f aca="false">IF(F73&gt;0,E73/F73,"")</f>
        <v>0.552539295586173</v>
      </c>
      <c r="I73" s="23" t="n">
        <f aca="false">IF(H73="","",TDIST(ABS(H73),G73-1,2))</f>
        <v>0.587375434381326</v>
      </c>
    </row>
    <row r="74" customFormat="false" ht="15" hidden="false" customHeight="false" outlineLevel="0" collapsed="false">
      <c r="A74" s="5" t="s">
        <v>62</v>
      </c>
      <c r="B74" s="5" t="s">
        <v>13</v>
      </c>
      <c r="C74" s="5" t="s">
        <v>67</v>
      </c>
      <c r="D74" s="5" t="s">
        <v>36</v>
      </c>
      <c r="E74" s="21" t="n">
        <v>-0.959796553747605</v>
      </c>
      <c r="F74" s="21" t="n">
        <v>0.242320308946503</v>
      </c>
      <c r="G74" s="22" t="n">
        <v>19</v>
      </c>
      <c r="H74" s="23" t="n">
        <f aca="false">IF(F74&gt;0,E74/F74,"")</f>
        <v>-3.96085890580265</v>
      </c>
      <c r="I74" s="23" t="n">
        <f aca="false">IF(H74="","",TDIST(ABS(H74),G74-1,2))</f>
        <v>0.000916339029835372</v>
      </c>
    </row>
    <row r="75" customFormat="false" ht="15" hidden="false" customHeight="false" outlineLevel="0" collapsed="false">
      <c r="A75" s="5" t="s">
        <v>62</v>
      </c>
      <c r="B75" s="5" t="s">
        <v>13</v>
      </c>
      <c r="C75" s="5" t="s">
        <v>68</v>
      </c>
      <c r="D75" s="5" t="s">
        <v>36</v>
      </c>
      <c r="E75" s="21" t="n">
        <v>-0.80654563923963</v>
      </c>
      <c r="F75" s="21" t="n">
        <v>0.441698782941831</v>
      </c>
      <c r="G75" s="22" t="n">
        <v>19</v>
      </c>
      <c r="H75" s="23" t="n">
        <f aca="false">IF(F75&gt;0,E75/F75,"")</f>
        <v>-1.82600828978478</v>
      </c>
      <c r="I75" s="23" t="n">
        <f aca="false">IF(H75="","",TDIST(ABS(H75),G75-1,2))</f>
        <v>0.0844847219249745</v>
      </c>
    </row>
    <row r="76" customFormat="false" ht="15" hidden="false" customHeight="false" outlineLevel="0" collapsed="false">
      <c r="A76" s="5" t="s">
        <v>62</v>
      </c>
      <c r="B76" s="5" t="s">
        <v>13</v>
      </c>
      <c r="C76" s="5" t="s">
        <v>69</v>
      </c>
      <c r="D76" s="5" t="s">
        <v>36</v>
      </c>
      <c r="E76" s="21" t="n">
        <v>0.709592028824691</v>
      </c>
      <c r="F76" s="21" t="n">
        <v>0.268203144129363</v>
      </c>
      <c r="G76" s="22" t="n">
        <v>19</v>
      </c>
      <c r="H76" s="23" t="n">
        <f aca="false">IF(F76&gt;0,E76/F76,"")</f>
        <v>2.64572598926145</v>
      </c>
      <c r="I76" s="23" t="n">
        <f aca="false">IF(H76="","",TDIST(ABS(H76),G76-1,2))</f>
        <v>0.0164366438724858</v>
      </c>
    </row>
    <row r="77" customFormat="false" ht="15" hidden="false" customHeight="false" outlineLevel="0" collapsed="false">
      <c r="A77" s="5" t="s">
        <v>62</v>
      </c>
      <c r="B77" s="5" t="s">
        <v>13</v>
      </c>
      <c r="C77" s="5" t="s">
        <v>70</v>
      </c>
      <c r="D77" s="5" t="s">
        <v>36</v>
      </c>
      <c r="E77" s="21" t="n">
        <v>0.157546800595787</v>
      </c>
      <c r="F77" s="21" t="n">
        <v>0.233273879461508</v>
      </c>
      <c r="G77" s="22" t="n">
        <v>19</v>
      </c>
      <c r="H77" s="23" t="n">
        <f aca="false">IF(F77&gt;0,E77/F77,"")</f>
        <v>0.675372660494478</v>
      </c>
      <c r="I77" s="23" t="n">
        <f aca="false">IF(H77="","",TDIST(ABS(H77),G77-1,2))</f>
        <v>0.508023060180167</v>
      </c>
    </row>
    <row r="78" customFormat="false" ht="15" hidden="false" customHeight="false" outlineLevel="0" collapsed="false">
      <c r="A78" s="5" t="s">
        <v>62</v>
      </c>
      <c r="B78" s="5" t="s">
        <v>13</v>
      </c>
      <c r="C78" s="5" t="s">
        <v>71</v>
      </c>
      <c r="D78" s="5" t="s">
        <v>36</v>
      </c>
      <c r="E78" s="21" t="n">
        <v>0.0185663213597992</v>
      </c>
      <c r="F78" s="21" t="n">
        <v>0.0157893456383151</v>
      </c>
      <c r="G78" s="22" t="n">
        <v>19</v>
      </c>
      <c r="H78" s="23" t="n">
        <f aca="false">IF(F78&gt;0,E78/F78,"")</f>
        <v>1.17587655531115</v>
      </c>
      <c r="I78" s="23" t="n">
        <f aca="false">IF(H78="","",TDIST(ABS(H78),G78-1,2))</f>
        <v>0.254962978773491</v>
      </c>
    </row>
    <row r="79" customFormat="false" ht="15" hidden="false" customHeight="false" outlineLevel="0" collapsed="false">
      <c r="A79" s="5" t="s">
        <v>62</v>
      </c>
      <c r="B79" s="5" t="s">
        <v>13</v>
      </c>
      <c r="C79" s="5" t="s">
        <v>63</v>
      </c>
      <c r="D79" s="5" t="s">
        <v>37</v>
      </c>
      <c r="E79" s="21" t="n">
        <v>0.225943884060356</v>
      </c>
      <c r="F79" s="21" t="n">
        <v>0.199016156288446</v>
      </c>
      <c r="G79" s="22" t="n">
        <v>19</v>
      </c>
      <c r="H79" s="23" t="n">
        <f aca="false">IF(F79&gt;0,E79/F79,"")</f>
        <v>1.13530422993841</v>
      </c>
      <c r="I79" s="23" t="n">
        <f aca="false">IF(H79="","",TDIST(ABS(H79),G79-1,2))</f>
        <v>0.271139698006136</v>
      </c>
    </row>
    <row r="80" customFormat="false" ht="15" hidden="false" customHeight="false" outlineLevel="0" collapsed="false">
      <c r="A80" s="5" t="s">
        <v>62</v>
      </c>
      <c r="B80" s="5" t="s">
        <v>13</v>
      </c>
      <c r="C80" s="5" t="s">
        <v>64</v>
      </c>
      <c r="D80" s="5" t="s">
        <v>37</v>
      </c>
      <c r="E80" s="21" t="n">
        <v>0.139807157879565</v>
      </c>
      <c r="F80" s="21" t="n">
        <v>0.214806264790762</v>
      </c>
      <c r="G80" s="22" t="n">
        <v>19</v>
      </c>
      <c r="H80" s="23" t="n">
        <f aca="false">IF(F80&gt;0,E80/F80,"")</f>
        <v>0.650852329729526</v>
      </c>
      <c r="I80" s="23" t="n">
        <f aca="false">IF(H80="","",TDIST(ABS(H80),G80-1,2))</f>
        <v>0.523364112727487</v>
      </c>
    </row>
    <row r="81" customFormat="false" ht="15" hidden="false" customHeight="false" outlineLevel="0" collapsed="false">
      <c r="A81" s="5" t="s">
        <v>62</v>
      </c>
      <c r="B81" s="5" t="s">
        <v>13</v>
      </c>
      <c r="C81" s="5" t="s">
        <v>65</v>
      </c>
      <c r="D81" s="5" t="s">
        <v>37</v>
      </c>
      <c r="E81" s="21" t="n">
        <v>0.057995924077039</v>
      </c>
      <c r="F81" s="21" t="n">
        <v>0.0888228611376369</v>
      </c>
      <c r="G81" s="22" t="n">
        <v>19</v>
      </c>
      <c r="H81" s="23" t="n">
        <f aca="false">IF(F81&gt;0,E81/F81,"")</f>
        <v>0.652939157039431</v>
      </c>
      <c r="I81" s="23" t="n">
        <f aca="false">IF(H81="","",TDIST(ABS(H81),G81-1,2))</f>
        <v>0.522048516897205</v>
      </c>
    </row>
    <row r="82" customFormat="false" ht="15" hidden="false" customHeight="false" outlineLevel="0" collapsed="false">
      <c r="A82" s="5" t="s">
        <v>62</v>
      </c>
      <c r="B82" s="5" t="s">
        <v>13</v>
      </c>
      <c r="C82" s="5" t="s">
        <v>66</v>
      </c>
      <c r="D82" s="5" t="s">
        <v>37</v>
      </c>
      <c r="E82" s="21" t="n">
        <v>-0.222445615624594</v>
      </c>
      <c r="F82" s="21" t="n">
        <v>0.146964295531144</v>
      </c>
      <c r="G82" s="22" t="n">
        <v>19</v>
      </c>
      <c r="H82" s="23" t="n">
        <f aca="false">IF(F82&gt;0,E82/F82,"")</f>
        <v>-1.51360311578165</v>
      </c>
      <c r="I82" s="23" t="n">
        <f aca="false">IF(H82="","",TDIST(ABS(H82),G82-1,2))</f>
        <v>0.147487549187329</v>
      </c>
    </row>
    <row r="83" customFormat="false" ht="15" hidden="false" customHeight="false" outlineLevel="0" collapsed="false">
      <c r="A83" s="5" t="s">
        <v>62</v>
      </c>
      <c r="B83" s="5" t="s">
        <v>13</v>
      </c>
      <c r="C83" s="5" t="s">
        <v>67</v>
      </c>
      <c r="D83" s="5" t="s">
        <v>37</v>
      </c>
      <c r="E83" s="21" t="n">
        <v>0.462070059958788</v>
      </c>
      <c r="F83" s="21" t="n">
        <v>0.220054011973705</v>
      </c>
      <c r="G83" s="22" t="n">
        <v>19</v>
      </c>
      <c r="H83" s="23" t="n">
        <f aca="false">IF(F83&gt;0,E83/F83,"")</f>
        <v>2.09980293389972</v>
      </c>
      <c r="I83" s="23" t="n">
        <f aca="false">IF(H83="","",TDIST(ABS(H83),G83-1,2))</f>
        <v>0.0501097472277189</v>
      </c>
    </row>
    <row r="84" customFormat="false" ht="15" hidden="false" customHeight="false" outlineLevel="0" collapsed="false">
      <c r="A84" s="5" t="s">
        <v>62</v>
      </c>
      <c r="B84" s="5" t="s">
        <v>13</v>
      </c>
      <c r="C84" s="5" t="s">
        <v>68</v>
      </c>
      <c r="D84" s="5" t="s">
        <v>37</v>
      </c>
      <c r="E84" s="21" t="n">
        <v>-0.0939604322325394</v>
      </c>
      <c r="F84" s="21" t="n">
        <v>0.154139865500817</v>
      </c>
      <c r="G84" s="22" t="n">
        <v>19</v>
      </c>
      <c r="H84" s="23" t="n">
        <f aca="false">IF(F84&gt;0,E84/F84,"")</f>
        <v>-0.609579046454024</v>
      </c>
      <c r="I84" s="23" t="n">
        <f aca="false">IF(H84="","",TDIST(ABS(H84),G84-1,2))</f>
        <v>0.54975880410192</v>
      </c>
    </row>
    <row r="85" customFormat="false" ht="15" hidden="false" customHeight="false" outlineLevel="0" collapsed="false">
      <c r="A85" s="5" t="s">
        <v>62</v>
      </c>
      <c r="B85" s="5" t="s">
        <v>13</v>
      </c>
      <c r="C85" s="5" t="s">
        <v>69</v>
      </c>
      <c r="D85" s="5" t="s">
        <v>37</v>
      </c>
      <c r="E85" s="21" t="n">
        <v>0.0221662689300332</v>
      </c>
      <c r="F85" s="21" t="n">
        <v>0.147920314871443</v>
      </c>
      <c r="G85" s="22" t="n">
        <v>19</v>
      </c>
      <c r="H85" s="23" t="n">
        <f aca="false">IF(F85&gt;0,E85/F85,"")</f>
        <v>0.149852770049183</v>
      </c>
      <c r="I85" s="23" t="n">
        <f aca="false">IF(H85="","",TDIST(ABS(H85),G85-1,2))</f>
        <v>0.882547112205364</v>
      </c>
    </row>
    <row r="86" customFormat="false" ht="15" hidden="false" customHeight="false" outlineLevel="0" collapsed="false">
      <c r="A86" s="5" t="s">
        <v>62</v>
      </c>
      <c r="B86" s="5" t="s">
        <v>13</v>
      </c>
      <c r="C86" s="5" t="s">
        <v>70</v>
      </c>
      <c r="D86" s="5" t="s">
        <v>37</v>
      </c>
      <c r="E86" s="21" t="n">
        <v>0.0285602427898567</v>
      </c>
      <c r="F86" s="21" t="n">
        <v>0.140059850635304</v>
      </c>
      <c r="G86" s="22" t="n">
        <v>19</v>
      </c>
      <c r="H86" s="23" t="n">
        <f aca="false">IF(F86&gt;0,E86/F86,"")</f>
        <v>0.203914559813601</v>
      </c>
      <c r="I86" s="23" t="n">
        <f aca="false">IF(H86="","",TDIST(ABS(H86),G86-1,2))</f>
        <v>0.84070797493388</v>
      </c>
    </row>
    <row r="87" customFormat="false" ht="15" hidden="false" customHeight="false" outlineLevel="0" collapsed="false">
      <c r="A87" s="5" t="s">
        <v>62</v>
      </c>
      <c r="B87" s="5" t="s">
        <v>13</v>
      </c>
      <c r="C87" s="5" t="s">
        <v>71</v>
      </c>
      <c r="D87" s="5" t="s">
        <v>37</v>
      </c>
      <c r="E87" s="21" t="n">
        <v>-0.0200673145271457</v>
      </c>
      <c r="F87" s="21" t="n">
        <v>0.0127649386834312</v>
      </c>
      <c r="G87" s="22" t="n">
        <v>19</v>
      </c>
      <c r="H87" s="23" t="n">
        <f aca="false">IF(F87&gt;0,E87/F87,"")</f>
        <v>-1.5720650936767</v>
      </c>
      <c r="I87" s="23" t="n">
        <f aca="false">IF(H87="","",TDIST(ABS(H87),G87-1,2))</f>
        <v>0.133347550062201</v>
      </c>
    </row>
    <row r="88" customFormat="false" ht="15" hidden="false" customHeight="false" outlineLevel="0" collapsed="false">
      <c r="A88" s="5" t="s">
        <v>62</v>
      </c>
      <c r="B88" s="5" t="s">
        <v>13</v>
      </c>
      <c r="C88" s="5" t="s">
        <v>63</v>
      </c>
      <c r="D88" s="5" t="s">
        <v>38</v>
      </c>
      <c r="E88" s="21" t="n">
        <v>-0.60202799761329</v>
      </c>
      <c r="F88" s="21" t="n">
        <v>0.157124519776357</v>
      </c>
      <c r="G88" s="22" t="n">
        <v>19</v>
      </c>
      <c r="H88" s="23" t="n">
        <f aca="false">IF(F88&gt;0,E88/F88,"")</f>
        <v>-3.83153436822073</v>
      </c>
      <c r="I88" s="23" t="n">
        <f aca="false">IF(H88="","",TDIST(ABS(H88),G88-1,2))</f>
        <v>0.00122239627079573</v>
      </c>
    </row>
    <row r="89" customFormat="false" ht="15" hidden="false" customHeight="false" outlineLevel="0" collapsed="false">
      <c r="A89" s="5" t="s">
        <v>62</v>
      </c>
      <c r="B89" s="5" t="s">
        <v>13</v>
      </c>
      <c r="C89" s="5" t="s">
        <v>64</v>
      </c>
      <c r="D89" s="5" t="s">
        <v>38</v>
      </c>
      <c r="E89" s="21" t="n">
        <v>-0.669881733159002</v>
      </c>
      <c r="F89" s="21" t="n">
        <v>0.167793117896721</v>
      </c>
      <c r="G89" s="22" t="n">
        <v>19</v>
      </c>
      <c r="H89" s="23" t="n">
        <f aca="false">IF(F89&gt;0,E89/F89,"")</f>
        <v>-3.99230756038115</v>
      </c>
      <c r="I89" s="23" t="n">
        <f aca="false">IF(H89="","",TDIST(ABS(H89),G89-1,2))</f>
        <v>0.000854342193680318</v>
      </c>
    </row>
    <row r="90" customFormat="false" ht="15" hidden="false" customHeight="false" outlineLevel="0" collapsed="false">
      <c r="A90" s="5" t="s">
        <v>62</v>
      </c>
      <c r="B90" s="5" t="s">
        <v>13</v>
      </c>
      <c r="C90" s="5" t="s">
        <v>65</v>
      </c>
      <c r="D90" s="5" t="s">
        <v>38</v>
      </c>
      <c r="E90" s="21" t="n">
        <v>-0.400024555401221</v>
      </c>
      <c r="F90" s="21" t="n">
        <v>0.175176373213177</v>
      </c>
      <c r="G90" s="22" t="n">
        <v>19</v>
      </c>
      <c r="H90" s="23" t="n">
        <f aca="false">IF(F90&gt;0,E90/F90,"")</f>
        <v>-2.28355313027528</v>
      </c>
      <c r="I90" s="23" t="n">
        <f aca="false">IF(H90="","",TDIST(ABS(H90),G90-1,2))</f>
        <v>0.0347649420434736</v>
      </c>
    </row>
    <row r="91" customFormat="false" ht="15" hidden="false" customHeight="false" outlineLevel="0" collapsed="false">
      <c r="A91" s="5" t="s">
        <v>62</v>
      </c>
      <c r="B91" s="5" t="s">
        <v>13</v>
      </c>
      <c r="C91" s="5" t="s">
        <v>66</v>
      </c>
      <c r="D91" s="5" t="s">
        <v>38</v>
      </c>
      <c r="E91" s="21" t="n">
        <v>-0.311120777295403</v>
      </c>
      <c r="F91" s="21" t="n">
        <v>0.254686575460968</v>
      </c>
      <c r="G91" s="22" t="n">
        <v>19</v>
      </c>
      <c r="H91" s="23" t="n">
        <f aca="false">IF(F91&gt;0,E91/F91,"")</f>
        <v>-1.22158294653848</v>
      </c>
      <c r="I91" s="23" t="n">
        <f aca="false">IF(H91="","",TDIST(ABS(H91),G91-1,2))</f>
        <v>0.237623754168299</v>
      </c>
    </row>
    <row r="92" customFormat="false" ht="15" hidden="false" customHeight="false" outlineLevel="0" collapsed="false">
      <c r="A92" s="5" t="s">
        <v>62</v>
      </c>
      <c r="B92" s="5" t="s">
        <v>13</v>
      </c>
      <c r="C92" s="5" t="s">
        <v>67</v>
      </c>
      <c r="D92" s="5" t="s">
        <v>38</v>
      </c>
      <c r="E92" s="21" t="n">
        <v>-1.19049806136963</v>
      </c>
      <c r="F92" s="21" t="n">
        <v>0.167558031526674</v>
      </c>
      <c r="G92" s="22" t="n">
        <v>19</v>
      </c>
      <c r="H92" s="23" t="n">
        <f aca="false">IF(F92&gt;0,E92/F92,"")</f>
        <v>-7.10498954017679</v>
      </c>
      <c r="I92" s="23" t="n">
        <f aca="false">IF(H92="","",TDIST(ABS(H92),G92-1,2))</f>
        <v>1.27165548362452E-006</v>
      </c>
    </row>
    <row r="93" customFormat="false" ht="15" hidden="false" customHeight="false" outlineLevel="0" collapsed="false">
      <c r="A93" s="5" t="s">
        <v>62</v>
      </c>
      <c r="B93" s="5" t="s">
        <v>13</v>
      </c>
      <c r="C93" s="5" t="s">
        <v>68</v>
      </c>
      <c r="D93" s="5" t="s">
        <v>38</v>
      </c>
      <c r="E93" s="21" t="n">
        <v>-1.16031761662058</v>
      </c>
      <c r="F93" s="21" t="n">
        <v>0.401611892361016</v>
      </c>
      <c r="G93" s="22" t="n">
        <v>19</v>
      </c>
      <c r="H93" s="23" t="n">
        <f aca="false">IF(F93&gt;0,E93/F93,"")</f>
        <v>-2.88915153831539</v>
      </c>
      <c r="I93" s="23" t="n">
        <f aca="false">IF(H93="","",TDIST(ABS(H93),G93-1,2))</f>
        <v>0.00977159344294806</v>
      </c>
    </row>
    <row r="94" customFormat="false" ht="15" hidden="false" customHeight="false" outlineLevel="0" collapsed="false">
      <c r="A94" s="5" t="s">
        <v>62</v>
      </c>
      <c r="B94" s="5" t="s">
        <v>13</v>
      </c>
      <c r="C94" s="5" t="s">
        <v>69</v>
      </c>
      <c r="D94" s="5" t="s">
        <v>39</v>
      </c>
      <c r="E94" s="21" t="n">
        <v>-0.771348793168645</v>
      </c>
      <c r="F94" s="21" t="n">
        <v>0.198942903463173</v>
      </c>
      <c r="G94" s="22" t="n">
        <v>19</v>
      </c>
      <c r="H94" s="23" t="n">
        <f aca="false">IF(F94&gt;0,E94/F94,"")</f>
        <v>-3.87723703505429</v>
      </c>
      <c r="I94" s="23" t="n">
        <f aca="false">IF(H94="","",TDIST(ABS(H94),G94-1,2))</f>
        <v>0.00110402360447884</v>
      </c>
    </row>
    <row r="95" customFormat="false" ht="15" hidden="false" customHeight="false" outlineLevel="0" collapsed="false">
      <c r="A95" s="5" t="s">
        <v>62</v>
      </c>
      <c r="B95" s="5" t="s">
        <v>13</v>
      </c>
      <c r="C95" s="5" t="s">
        <v>70</v>
      </c>
      <c r="D95" s="5" t="s">
        <v>39</v>
      </c>
      <c r="E95" s="21" t="n">
        <v>-0.513939080988933</v>
      </c>
      <c r="F95" s="21" t="n">
        <v>0.188110201529788</v>
      </c>
      <c r="G95" s="22" t="n">
        <v>19</v>
      </c>
      <c r="H95" s="23" t="n">
        <f aca="false">IF(F95&gt;0,E95/F95,"")</f>
        <v>-2.73211700805897</v>
      </c>
      <c r="I95" s="23" t="n">
        <f aca="false">IF(H95="","",TDIST(ABS(H95),G95-1,2))</f>
        <v>0.0136842151960603</v>
      </c>
    </row>
    <row r="96" customFormat="false" ht="15" hidden="false" customHeight="false" outlineLevel="0" collapsed="false">
      <c r="A96" s="5" t="s">
        <v>62</v>
      </c>
      <c r="B96" s="5" t="s">
        <v>13</v>
      </c>
      <c r="C96" s="5" t="s">
        <v>71</v>
      </c>
      <c r="D96" s="5" t="s">
        <v>39</v>
      </c>
      <c r="E96" s="21" t="n">
        <v>-0.442529900751483</v>
      </c>
      <c r="F96" s="21" t="n">
        <v>0.148788540776272</v>
      </c>
      <c r="G96" s="22" t="n">
        <v>19</v>
      </c>
      <c r="H96" s="23" t="n">
        <f aca="false">IF(F96&gt;0,E96/F96,"")</f>
        <v>-2.97422031591061</v>
      </c>
      <c r="I96" s="23" t="n">
        <f aca="false">IF(H96="","",TDIST(ABS(H96),G96-1,2))</f>
        <v>0.00812818599196724</v>
      </c>
    </row>
    <row r="97" customFormat="false" ht="15" hidden="false" customHeight="false" outlineLevel="0" collapsed="false">
      <c r="A97" s="5" t="s">
        <v>62</v>
      </c>
      <c r="B97" s="5" t="s">
        <v>13</v>
      </c>
      <c r="C97" s="5" t="s">
        <v>69</v>
      </c>
      <c r="D97" s="5" t="s">
        <v>40</v>
      </c>
      <c r="E97" s="21" t="n">
        <v>-0.23755750346047</v>
      </c>
      <c r="F97" s="21" t="n">
        <v>0.172507884487208</v>
      </c>
      <c r="G97" s="22" t="n">
        <v>19</v>
      </c>
      <c r="H97" s="23" t="n">
        <f aca="false">IF(F97&gt;0,E97/F97,"")</f>
        <v>-1.37708200507256</v>
      </c>
      <c r="I97" s="23" t="n">
        <f aca="false">IF(H97="","",TDIST(ABS(H97),G97-1,2))</f>
        <v>0.185372767696021</v>
      </c>
    </row>
    <row r="98" customFormat="false" ht="15" hidden="false" customHeight="false" outlineLevel="0" collapsed="false">
      <c r="A98" s="5" t="s">
        <v>62</v>
      </c>
      <c r="B98" s="5" t="s">
        <v>13</v>
      </c>
      <c r="C98" s="5" t="s">
        <v>70</v>
      </c>
      <c r="D98" s="5" t="s">
        <v>40</v>
      </c>
      <c r="E98" s="21" t="n">
        <v>-0.415411644657541</v>
      </c>
      <c r="F98" s="21" t="n">
        <v>0.167509471772619</v>
      </c>
      <c r="G98" s="22" t="n">
        <v>19</v>
      </c>
      <c r="H98" s="23" t="n">
        <f aca="false">IF(F98&gt;0,E98/F98,"")</f>
        <v>-2.47992928555962</v>
      </c>
      <c r="I98" s="23" t="n">
        <f aca="false">IF(H98="","",TDIST(ABS(H98),G98-1,2))</f>
        <v>0.0232572142154509</v>
      </c>
    </row>
    <row r="99" customFormat="false" ht="15" hidden="false" customHeight="false" outlineLevel="0" collapsed="false">
      <c r="A99" s="5" t="s">
        <v>62</v>
      </c>
      <c r="B99" s="5" t="s">
        <v>13</v>
      </c>
      <c r="C99" s="5" t="s">
        <v>71</v>
      </c>
      <c r="D99" s="5" t="s">
        <v>40</v>
      </c>
      <c r="E99" s="21" t="n">
        <v>-0.219734044433893</v>
      </c>
      <c r="F99" s="21" t="n">
        <v>0.199417501261674</v>
      </c>
      <c r="G99" s="22" t="n">
        <v>19</v>
      </c>
      <c r="H99" s="23" t="n">
        <f aca="false">IF(F99&gt;0,E99/F99,"")</f>
        <v>-1.10187943908474</v>
      </c>
      <c r="I99" s="23" t="n">
        <f aca="false">IF(H99="","",TDIST(ABS(H99),G99-1,2))</f>
        <v>0.285030159814509</v>
      </c>
    </row>
    <row r="100" customFormat="false" ht="15" hidden="false" customHeight="false" outlineLevel="0" collapsed="false">
      <c r="A100" s="5" t="s">
        <v>62</v>
      </c>
      <c r="B100" s="5" t="s">
        <v>14</v>
      </c>
      <c r="C100" s="5" t="s">
        <v>63</v>
      </c>
      <c r="D100" s="5" t="s">
        <v>9</v>
      </c>
      <c r="E100" s="21" t="n">
        <v>-0.228862391239989</v>
      </c>
      <c r="F100" s="21" t="n">
        <v>0.208928305835201</v>
      </c>
      <c r="G100" s="22" t="n">
        <v>19</v>
      </c>
      <c r="H100" s="23" t="n">
        <f aca="false">IF(F100&gt;0,E100/F100,"")</f>
        <v>-1.09541112835382</v>
      </c>
      <c r="I100" s="23" t="n">
        <f aca="false">IF(H100="","",TDIST(ABS(H100),G100-1,2))</f>
        <v>0.287777554112686</v>
      </c>
    </row>
    <row r="101" customFormat="false" ht="15" hidden="false" customHeight="false" outlineLevel="0" collapsed="false">
      <c r="A101" s="5" t="s">
        <v>62</v>
      </c>
      <c r="B101" s="5" t="s">
        <v>14</v>
      </c>
      <c r="C101" s="5" t="s">
        <v>64</v>
      </c>
      <c r="D101" s="5" t="s">
        <v>9</v>
      </c>
      <c r="E101" s="21" t="n">
        <v>-0.241734073250038</v>
      </c>
      <c r="F101" s="21" t="n">
        <v>0.154206473449564</v>
      </c>
      <c r="G101" s="22" t="n">
        <v>19</v>
      </c>
      <c r="H101" s="23" t="n">
        <f aca="false">IF(F101&gt;0,E101/F101,"")</f>
        <v>-1.56760003547518</v>
      </c>
      <c r="I101" s="23" t="n">
        <f aca="false">IF(H101="","",TDIST(ABS(H101),G101-1,2))</f>
        <v>0.13438589644222</v>
      </c>
    </row>
    <row r="102" customFormat="false" ht="15" hidden="false" customHeight="false" outlineLevel="0" collapsed="false">
      <c r="A102" s="5" t="s">
        <v>62</v>
      </c>
      <c r="B102" s="5" t="s">
        <v>14</v>
      </c>
      <c r="C102" s="5" t="s">
        <v>65</v>
      </c>
      <c r="D102" s="5" t="s">
        <v>9</v>
      </c>
      <c r="E102" s="21" t="n">
        <v>-0.380120936581541</v>
      </c>
      <c r="F102" s="21" t="n">
        <v>0.215083717556007</v>
      </c>
      <c r="G102" s="22" t="n">
        <v>19</v>
      </c>
      <c r="H102" s="23" t="n">
        <f aca="false">IF(F102&gt;0,E102/F102,"")</f>
        <v>-1.7673161915781</v>
      </c>
      <c r="I102" s="23" t="n">
        <f aca="false">IF(H102="","",TDIST(ABS(H102),G102-1,2))</f>
        <v>0.0941244935155043</v>
      </c>
    </row>
    <row r="103" customFormat="false" ht="15" hidden="false" customHeight="false" outlineLevel="0" collapsed="false">
      <c r="A103" s="5" t="s">
        <v>62</v>
      </c>
      <c r="B103" s="5" t="s">
        <v>14</v>
      </c>
      <c r="C103" s="5" t="s">
        <v>66</v>
      </c>
      <c r="D103" s="5" t="s">
        <v>9</v>
      </c>
      <c r="E103" s="21" t="n">
        <v>-0.424196647782904</v>
      </c>
      <c r="F103" s="21" t="n">
        <v>0.125949728598894</v>
      </c>
      <c r="G103" s="22" t="n">
        <v>19</v>
      </c>
      <c r="H103" s="23" t="n">
        <f aca="false">IF(F103&gt;0,E103/F103,"")</f>
        <v>-3.36798381784389</v>
      </c>
      <c r="I103" s="23" t="n">
        <f aca="false">IF(H103="","",TDIST(ABS(H103),G103-1,2))</f>
        <v>0.00342590447178131</v>
      </c>
    </row>
    <row r="104" customFormat="false" ht="15" hidden="false" customHeight="false" outlineLevel="0" collapsed="false">
      <c r="A104" s="5" t="s">
        <v>62</v>
      </c>
      <c r="B104" s="5" t="s">
        <v>14</v>
      </c>
      <c r="C104" s="5" t="s">
        <v>67</v>
      </c>
      <c r="D104" s="5" t="s">
        <v>9</v>
      </c>
      <c r="E104" s="21" t="n">
        <v>-0.212519787316955</v>
      </c>
      <c r="F104" s="21" t="n">
        <v>0.149668363971392</v>
      </c>
      <c r="G104" s="22" t="n">
        <v>19</v>
      </c>
      <c r="H104" s="23" t="n">
        <f aca="false">IF(F104&gt;0,E104/F104,"")</f>
        <v>-1.41993793262534</v>
      </c>
      <c r="I104" s="23" t="n">
        <f aca="false">IF(H104="","",TDIST(ABS(H104),G104-1,2))</f>
        <v>0.172714293065357</v>
      </c>
    </row>
    <row r="105" customFormat="false" ht="15" hidden="false" customHeight="false" outlineLevel="0" collapsed="false">
      <c r="A105" s="5" t="s">
        <v>62</v>
      </c>
      <c r="B105" s="5" t="s">
        <v>14</v>
      </c>
      <c r="C105" s="5" t="s">
        <v>68</v>
      </c>
      <c r="D105" s="5" t="s">
        <v>9</v>
      </c>
      <c r="E105" s="21" t="n">
        <v>-0.308985263847749</v>
      </c>
      <c r="F105" s="21" t="n">
        <v>0.148141857595453</v>
      </c>
      <c r="G105" s="22" t="n">
        <v>19</v>
      </c>
      <c r="H105" s="23" t="n">
        <f aca="false">IF(F105&gt;0,E105/F105,"")</f>
        <v>-2.08573909402115</v>
      </c>
      <c r="I105" s="23" t="n">
        <f aca="false">IF(H105="","",TDIST(ABS(H105),G105-1,2))</f>
        <v>0.0515077232394302</v>
      </c>
    </row>
    <row r="106" customFormat="false" ht="15" hidden="false" customHeight="false" outlineLevel="0" collapsed="false">
      <c r="A106" s="5" t="s">
        <v>62</v>
      </c>
      <c r="B106" s="5" t="s">
        <v>14</v>
      </c>
      <c r="C106" s="5" t="s">
        <v>69</v>
      </c>
      <c r="D106" s="5" t="s">
        <v>9</v>
      </c>
      <c r="E106" s="21" t="n">
        <v>-0.455110432539036</v>
      </c>
      <c r="F106" s="21" t="n">
        <v>0.155607979373258</v>
      </c>
      <c r="G106" s="22" t="n">
        <v>19</v>
      </c>
      <c r="H106" s="23" t="n">
        <f aca="false">IF(F106&gt;0,E106/F106,"")</f>
        <v>-2.92472426139124</v>
      </c>
      <c r="I106" s="23" t="n">
        <f aca="false">IF(H106="","",TDIST(ABS(H106),G106-1,2))</f>
        <v>0.00904862015255157</v>
      </c>
    </row>
    <row r="107" customFormat="false" ht="15" hidden="false" customHeight="false" outlineLevel="0" collapsed="false">
      <c r="A107" s="5" t="s">
        <v>62</v>
      </c>
      <c r="B107" s="5" t="s">
        <v>14</v>
      </c>
      <c r="C107" s="5" t="s">
        <v>70</v>
      </c>
      <c r="D107" s="5" t="s">
        <v>9</v>
      </c>
      <c r="E107" s="21" t="n">
        <v>-0.423510009969867</v>
      </c>
      <c r="F107" s="21" t="n">
        <v>0.15510519237104</v>
      </c>
      <c r="G107" s="22" t="n">
        <v>19</v>
      </c>
      <c r="H107" s="23" t="n">
        <f aca="false">IF(F107&gt;0,E107/F107,"")</f>
        <v>-2.73046958322809</v>
      </c>
      <c r="I107" s="23" t="n">
        <f aca="false">IF(H107="","",TDIST(ABS(H107),G107-1,2))</f>
        <v>0.0137323165246006</v>
      </c>
    </row>
    <row r="108" customFormat="false" ht="15" hidden="false" customHeight="false" outlineLevel="0" collapsed="false">
      <c r="A108" s="5" t="s">
        <v>62</v>
      </c>
      <c r="B108" s="5" t="s">
        <v>14</v>
      </c>
      <c r="C108" s="5" t="s">
        <v>71</v>
      </c>
      <c r="D108" s="5" t="s">
        <v>9</v>
      </c>
      <c r="E108" s="21" t="n">
        <v>-0.316922223628878</v>
      </c>
      <c r="F108" s="21" t="n">
        <v>0.146059294031672</v>
      </c>
      <c r="G108" s="22" t="n">
        <v>19</v>
      </c>
      <c r="H108" s="23" t="n">
        <f aca="false">IF(F108&gt;0,E108/F108,"")</f>
        <v>-2.16981894736638</v>
      </c>
      <c r="I108" s="23" t="n">
        <f aca="false">IF(H108="","",TDIST(ABS(H108),G108-1,2))</f>
        <v>0.0436503714298894</v>
      </c>
    </row>
    <row r="109" customFormat="false" ht="15" hidden="false" customHeight="false" outlineLevel="0" collapsed="false">
      <c r="A109" s="5" t="s">
        <v>62</v>
      </c>
      <c r="B109" s="5" t="s">
        <v>14</v>
      </c>
      <c r="C109" s="5" t="s">
        <v>63</v>
      </c>
      <c r="D109" s="5" t="s">
        <v>36</v>
      </c>
      <c r="E109" s="21" t="n">
        <v>-0.308260412719213</v>
      </c>
      <c r="F109" s="21" t="n">
        <v>0.23760712217869</v>
      </c>
      <c r="G109" s="22" t="n">
        <v>19</v>
      </c>
      <c r="H109" s="23" t="n">
        <f aca="false">IF(F109&gt;0,E109/F109,"")</f>
        <v>-1.29735342060744</v>
      </c>
      <c r="I109" s="23" t="n">
        <f aca="false">IF(H109="","",TDIST(ABS(H109),G109-1,2))</f>
        <v>0.210891766443682</v>
      </c>
    </row>
    <row r="110" customFormat="false" ht="15" hidden="false" customHeight="false" outlineLevel="0" collapsed="false">
      <c r="A110" s="5" t="s">
        <v>62</v>
      </c>
      <c r="B110" s="5" t="s">
        <v>14</v>
      </c>
      <c r="C110" s="5" t="s">
        <v>64</v>
      </c>
      <c r="D110" s="5" t="s">
        <v>36</v>
      </c>
      <c r="E110" s="21" t="n">
        <v>-0.380988762268473</v>
      </c>
      <c r="F110" s="21" t="n">
        <v>0.197952626968593</v>
      </c>
      <c r="G110" s="22" t="n">
        <v>19</v>
      </c>
      <c r="H110" s="23" t="n">
        <f aca="false">IF(F110&gt;0,E110/F110,"")</f>
        <v>-1.924646154501</v>
      </c>
      <c r="I110" s="23" t="n">
        <f aca="false">IF(H110="","",TDIST(ABS(H110),G110-1,2))</f>
        <v>0.0702278693530401</v>
      </c>
    </row>
    <row r="111" customFormat="false" ht="15" hidden="false" customHeight="false" outlineLevel="0" collapsed="false">
      <c r="A111" s="5" t="s">
        <v>62</v>
      </c>
      <c r="B111" s="5" t="s">
        <v>14</v>
      </c>
      <c r="C111" s="5" t="s">
        <v>65</v>
      </c>
      <c r="D111" s="5" t="s">
        <v>36</v>
      </c>
      <c r="E111" s="21" t="n">
        <v>-0.0573464849894155</v>
      </c>
      <c r="F111" s="21" t="n">
        <v>0.306206270261825</v>
      </c>
      <c r="G111" s="22" t="n">
        <v>19</v>
      </c>
      <c r="H111" s="23" t="n">
        <f aca="false">IF(F111&gt;0,E111/F111,"")</f>
        <v>-0.187280570513402</v>
      </c>
      <c r="I111" s="23" t="n">
        <f aca="false">IF(H111="","",TDIST(ABS(H111),G111-1,2))</f>
        <v>0.853535495607072</v>
      </c>
    </row>
    <row r="112" customFormat="false" ht="15" hidden="false" customHeight="false" outlineLevel="0" collapsed="false">
      <c r="A112" s="5" t="s">
        <v>62</v>
      </c>
      <c r="B112" s="5" t="s">
        <v>14</v>
      </c>
      <c r="C112" s="5" t="s">
        <v>66</v>
      </c>
      <c r="D112" s="5" t="s">
        <v>36</v>
      </c>
      <c r="E112" s="21" t="n">
        <v>0.0926218596283485</v>
      </c>
      <c r="F112" s="21" t="n">
        <v>0.265821041709152</v>
      </c>
      <c r="G112" s="22" t="n">
        <v>19</v>
      </c>
      <c r="H112" s="23" t="n">
        <f aca="false">IF(F112&gt;0,E112/F112,"")</f>
        <v>0.348436899625465</v>
      </c>
      <c r="I112" s="23" t="n">
        <f aca="false">IF(H112="","",TDIST(ABS(H112),G112-1,2))</f>
        <v>0.731554224902014</v>
      </c>
    </row>
    <row r="113" customFormat="false" ht="15" hidden="false" customHeight="false" outlineLevel="0" collapsed="false">
      <c r="A113" s="5" t="s">
        <v>62</v>
      </c>
      <c r="B113" s="5" t="s">
        <v>14</v>
      </c>
      <c r="C113" s="5" t="s">
        <v>67</v>
      </c>
      <c r="D113" s="5" t="s">
        <v>36</v>
      </c>
      <c r="E113" s="21" t="n">
        <v>-0.875368015665808</v>
      </c>
      <c r="F113" s="21" t="n">
        <v>0.246374312108448</v>
      </c>
      <c r="G113" s="22" t="n">
        <v>19</v>
      </c>
      <c r="H113" s="23" t="n">
        <f aca="false">IF(F113&gt;0,E113/F113,"")</f>
        <v>-3.55300034396643</v>
      </c>
      <c r="I113" s="23" t="n">
        <f aca="false">IF(H113="","",TDIST(ABS(H113),G113-1,2))</f>
        <v>0.00227273299354128</v>
      </c>
    </row>
    <row r="114" customFormat="false" ht="15" hidden="false" customHeight="false" outlineLevel="0" collapsed="false">
      <c r="A114" s="5" t="s">
        <v>62</v>
      </c>
      <c r="B114" s="5" t="s">
        <v>14</v>
      </c>
      <c r="C114" s="5" t="s">
        <v>68</v>
      </c>
      <c r="D114" s="5" t="s">
        <v>36</v>
      </c>
      <c r="E114" s="21" t="n">
        <v>-0.937440880492844</v>
      </c>
      <c r="F114" s="21" t="n">
        <v>0.480459880851833</v>
      </c>
      <c r="G114" s="22" t="n">
        <v>19</v>
      </c>
      <c r="H114" s="23" t="n">
        <f aca="false">IF(F114&gt;0,E114/F114,"")</f>
        <v>-1.95113248338405</v>
      </c>
      <c r="I114" s="23" t="n">
        <f aca="false">IF(H114="","",TDIST(ABS(H114),G114-1,2))</f>
        <v>0.066783093926957</v>
      </c>
    </row>
    <row r="115" customFormat="false" ht="15" hidden="false" customHeight="false" outlineLevel="0" collapsed="false">
      <c r="A115" s="5" t="s">
        <v>62</v>
      </c>
      <c r="B115" s="5" t="s">
        <v>14</v>
      </c>
      <c r="C115" s="5" t="s">
        <v>69</v>
      </c>
      <c r="D115" s="5" t="s">
        <v>36</v>
      </c>
      <c r="E115" s="21" t="n">
        <v>0.664716174611673</v>
      </c>
      <c r="F115" s="21" t="n">
        <v>0.284164648334078</v>
      </c>
      <c r="G115" s="22" t="n">
        <v>19</v>
      </c>
      <c r="H115" s="23" t="n">
        <f aca="false">IF(F115&gt;0,E115/F115,"")</f>
        <v>2.33919376850212</v>
      </c>
      <c r="I115" s="23" t="n">
        <f aca="false">IF(H115="","",TDIST(ABS(H115),G115-1,2))</f>
        <v>0.0310566403457824</v>
      </c>
    </row>
    <row r="116" customFormat="false" ht="15" hidden="false" customHeight="false" outlineLevel="0" collapsed="false">
      <c r="A116" s="5" t="s">
        <v>62</v>
      </c>
      <c r="B116" s="5" t="s">
        <v>14</v>
      </c>
      <c r="C116" s="5" t="s">
        <v>70</v>
      </c>
      <c r="D116" s="5" t="s">
        <v>36</v>
      </c>
      <c r="E116" s="21" t="n">
        <v>0.252552640763017</v>
      </c>
      <c r="F116" s="21" t="n">
        <v>0.25825241749298</v>
      </c>
      <c r="G116" s="22" t="n">
        <v>19</v>
      </c>
      <c r="H116" s="23" t="n">
        <f aca="false">IF(F116&gt;0,E116/F116,"")</f>
        <v>0.977929435142196</v>
      </c>
      <c r="I116" s="23" t="n">
        <f aca="false">IF(H116="","",TDIST(ABS(H116),G116-1,2))</f>
        <v>0.341070605328485</v>
      </c>
    </row>
    <row r="117" customFormat="false" ht="15" hidden="false" customHeight="false" outlineLevel="0" collapsed="false">
      <c r="A117" s="5" t="s">
        <v>62</v>
      </c>
      <c r="B117" s="5" t="s">
        <v>14</v>
      </c>
      <c r="C117" s="5" t="s">
        <v>71</v>
      </c>
      <c r="D117" s="5" t="s">
        <v>36</v>
      </c>
      <c r="E117" s="21" t="n">
        <v>0.0156756281379473</v>
      </c>
      <c r="F117" s="21" t="n">
        <v>0.0157751197705944</v>
      </c>
      <c r="G117" s="22" t="n">
        <v>19</v>
      </c>
      <c r="H117" s="23" t="n">
        <f aca="false">IF(F117&gt;0,E117/F117,"")</f>
        <v>0.993693129808587</v>
      </c>
      <c r="I117" s="23" t="n">
        <f aca="false">IF(H117="","",TDIST(ABS(H117),G117-1,2))</f>
        <v>0.333543601506786</v>
      </c>
    </row>
    <row r="118" customFormat="false" ht="15" hidden="false" customHeight="false" outlineLevel="0" collapsed="false">
      <c r="A118" s="5" t="s">
        <v>62</v>
      </c>
      <c r="B118" s="5" t="s">
        <v>14</v>
      </c>
      <c r="C118" s="5" t="s">
        <v>63</v>
      </c>
      <c r="D118" s="5" t="s">
        <v>37</v>
      </c>
      <c r="E118" s="21" t="n">
        <v>0.162674495141315</v>
      </c>
      <c r="F118" s="21" t="n">
        <v>0.190579318801273</v>
      </c>
      <c r="G118" s="22" t="n">
        <v>19</v>
      </c>
      <c r="H118" s="23" t="n">
        <f aca="false">IF(F118&gt;0,E118/F118,"")</f>
        <v>0.853578951611977</v>
      </c>
      <c r="I118" s="23" t="n">
        <f aca="false">IF(H118="","",TDIST(ABS(H118),G118-1,2))</f>
        <v>0.404554834664853</v>
      </c>
    </row>
    <row r="119" customFormat="false" ht="15" hidden="false" customHeight="false" outlineLevel="0" collapsed="false">
      <c r="A119" s="5" t="s">
        <v>62</v>
      </c>
      <c r="B119" s="5" t="s">
        <v>14</v>
      </c>
      <c r="C119" s="5" t="s">
        <v>64</v>
      </c>
      <c r="D119" s="5" t="s">
        <v>37</v>
      </c>
      <c r="E119" s="21" t="n">
        <v>0.0765041123400904</v>
      </c>
      <c r="F119" s="21" t="n">
        <v>0.217370232157564</v>
      </c>
      <c r="G119" s="22" t="n">
        <v>19</v>
      </c>
      <c r="H119" s="23" t="n">
        <f aca="false">IF(F119&gt;0,E119/F119,"")</f>
        <v>0.351953032302212</v>
      </c>
      <c r="I119" s="23" t="n">
        <f aca="false">IF(H119="","",TDIST(ABS(H119),G119-1,2))</f>
        <v>0.728960272350799</v>
      </c>
    </row>
    <row r="120" customFormat="false" ht="15" hidden="false" customHeight="false" outlineLevel="0" collapsed="false">
      <c r="A120" s="5" t="s">
        <v>62</v>
      </c>
      <c r="B120" s="5" t="s">
        <v>14</v>
      </c>
      <c r="C120" s="5" t="s">
        <v>65</v>
      </c>
      <c r="D120" s="5" t="s">
        <v>37</v>
      </c>
      <c r="E120" s="21" t="n">
        <v>0.0829473506528392</v>
      </c>
      <c r="F120" s="21" t="n">
        <v>0.081285759292508</v>
      </c>
      <c r="G120" s="22" t="n">
        <v>19</v>
      </c>
      <c r="H120" s="23" t="n">
        <f aca="false">IF(F120&gt;0,E120/F120,"")</f>
        <v>1.0204413586684</v>
      </c>
      <c r="I120" s="23" t="n">
        <f aca="false">IF(H120="","",TDIST(ABS(H120),G120-1,2))</f>
        <v>0.321039327070397</v>
      </c>
    </row>
    <row r="121" customFormat="false" ht="15" hidden="false" customHeight="false" outlineLevel="0" collapsed="false">
      <c r="A121" s="5" t="s">
        <v>62</v>
      </c>
      <c r="B121" s="5" t="s">
        <v>14</v>
      </c>
      <c r="C121" s="5" t="s">
        <v>66</v>
      </c>
      <c r="D121" s="5" t="s">
        <v>37</v>
      </c>
      <c r="E121" s="21" t="n">
        <v>-0.145002374825505</v>
      </c>
      <c r="F121" s="21" t="n">
        <v>0.149124946217479</v>
      </c>
      <c r="G121" s="22" t="n">
        <v>19</v>
      </c>
      <c r="H121" s="23" t="n">
        <f aca="false">IF(F121&gt;0,E121/F121,"")</f>
        <v>-0.972354917828691</v>
      </c>
      <c r="I121" s="23" t="n">
        <f aca="false">IF(H121="","",TDIST(ABS(H121),G121-1,2))</f>
        <v>0.343760426515819</v>
      </c>
    </row>
    <row r="122" customFormat="false" ht="15" hidden="false" customHeight="false" outlineLevel="0" collapsed="false">
      <c r="A122" s="5" t="s">
        <v>62</v>
      </c>
      <c r="B122" s="5" t="s">
        <v>14</v>
      </c>
      <c r="C122" s="5" t="s">
        <v>67</v>
      </c>
      <c r="D122" s="5" t="s">
        <v>37</v>
      </c>
      <c r="E122" s="21" t="n">
        <v>0.560757971175012</v>
      </c>
      <c r="F122" s="21" t="n">
        <v>0.184271996772383</v>
      </c>
      <c r="G122" s="22" t="n">
        <v>19</v>
      </c>
      <c r="H122" s="23" t="n">
        <f aca="false">IF(F122&gt;0,E122/F122,"")</f>
        <v>3.04309922829823</v>
      </c>
      <c r="I122" s="23" t="n">
        <f aca="false">IF(H122="","",TDIST(ABS(H122),G122-1,2))</f>
        <v>0.00699695719083137</v>
      </c>
    </row>
    <row r="123" customFormat="false" ht="15" hidden="false" customHeight="false" outlineLevel="0" collapsed="false">
      <c r="A123" s="5" t="s">
        <v>62</v>
      </c>
      <c r="B123" s="5" t="s">
        <v>14</v>
      </c>
      <c r="C123" s="5" t="s">
        <v>68</v>
      </c>
      <c r="D123" s="5" t="s">
        <v>37</v>
      </c>
      <c r="E123" s="21" t="n">
        <v>-0.00238236701643582</v>
      </c>
      <c r="F123" s="21" t="n">
        <v>0.155668723538628</v>
      </c>
      <c r="G123" s="22" t="n">
        <v>19</v>
      </c>
      <c r="H123" s="23" t="n">
        <f aca="false">IF(F123&gt;0,E123/F123,"")</f>
        <v>-0.0153040826845648</v>
      </c>
      <c r="I123" s="23" t="n">
        <f aca="false">IF(H123="","",TDIST(ABS(H123),G123-1,2))</f>
        <v>0.987957942571771</v>
      </c>
    </row>
    <row r="124" customFormat="false" ht="15" hidden="false" customHeight="false" outlineLevel="0" collapsed="false">
      <c r="A124" s="5" t="s">
        <v>62</v>
      </c>
      <c r="B124" s="5" t="s">
        <v>14</v>
      </c>
      <c r="C124" s="5" t="s">
        <v>69</v>
      </c>
      <c r="D124" s="5" t="s">
        <v>37</v>
      </c>
      <c r="E124" s="21" t="n">
        <v>-0.00768152588294112</v>
      </c>
      <c r="F124" s="21" t="n">
        <v>0.139080510401539</v>
      </c>
      <c r="G124" s="22" t="n">
        <v>19</v>
      </c>
      <c r="H124" s="23" t="n">
        <f aca="false">IF(F124&gt;0,E124/F124,"")</f>
        <v>-0.0552307858287534</v>
      </c>
      <c r="I124" s="23" t="n">
        <f aca="false">IF(H124="","",TDIST(ABS(H124),G124-1,2))</f>
        <v>0.956563031821899</v>
      </c>
    </row>
    <row r="125" customFormat="false" ht="15" hidden="false" customHeight="false" outlineLevel="0" collapsed="false">
      <c r="A125" s="5" t="s">
        <v>62</v>
      </c>
      <c r="B125" s="5" t="s">
        <v>14</v>
      </c>
      <c r="C125" s="5" t="s">
        <v>70</v>
      </c>
      <c r="D125" s="5" t="s">
        <v>37</v>
      </c>
      <c r="E125" s="21" t="n">
        <v>-0.00807107365371649</v>
      </c>
      <c r="F125" s="21" t="n">
        <v>0.138843623346118</v>
      </c>
      <c r="G125" s="22" t="n">
        <v>19</v>
      </c>
      <c r="H125" s="23" t="n">
        <f aca="false">IF(F125&gt;0,E125/F125,"")</f>
        <v>-0.0581306757862148</v>
      </c>
      <c r="I125" s="23" t="n">
        <f aca="false">IF(H125="","",TDIST(ABS(H125),G125-1,2))</f>
        <v>0.954285018174952</v>
      </c>
    </row>
    <row r="126" customFormat="false" ht="15" hidden="false" customHeight="false" outlineLevel="0" collapsed="false">
      <c r="A126" s="5" t="s">
        <v>62</v>
      </c>
      <c r="B126" s="5" t="s">
        <v>14</v>
      </c>
      <c r="C126" s="5" t="s">
        <v>71</v>
      </c>
      <c r="D126" s="5" t="s">
        <v>37</v>
      </c>
      <c r="E126" s="21" t="n">
        <v>-0.0145087695811527</v>
      </c>
      <c r="F126" s="21" t="n">
        <v>0.0128215927716819</v>
      </c>
      <c r="G126" s="22" t="n">
        <v>19</v>
      </c>
      <c r="H126" s="23" t="n">
        <f aca="false">IF(F126&gt;0,E126/F126,"")</f>
        <v>-1.13158870660727</v>
      </c>
      <c r="I126" s="23" t="n">
        <f aca="false">IF(H126="","",TDIST(ABS(H126),G126-1,2))</f>
        <v>0.272658487395093</v>
      </c>
    </row>
    <row r="127" customFormat="false" ht="15" hidden="false" customHeight="false" outlineLevel="0" collapsed="false">
      <c r="A127" s="5" t="s">
        <v>62</v>
      </c>
      <c r="B127" s="5" t="s">
        <v>14</v>
      </c>
      <c r="C127" s="5" t="s">
        <v>63</v>
      </c>
      <c r="D127" s="5" t="s">
        <v>38</v>
      </c>
      <c r="E127" s="21" t="n">
        <v>-0.537122803959202</v>
      </c>
      <c r="F127" s="21" t="n">
        <v>0.13510625490989</v>
      </c>
      <c r="G127" s="22" t="n">
        <v>19</v>
      </c>
      <c r="H127" s="23" t="n">
        <f aca="false">IF(F127&gt;0,E127/F127,"")</f>
        <v>-3.97555838045723</v>
      </c>
      <c r="I127" s="23" t="n">
        <f aca="false">IF(H127="","",TDIST(ABS(H127),G127-1,2))</f>
        <v>0.00088681835505755</v>
      </c>
    </row>
    <row r="128" customFormat="false" ht="15" hidden="false" customHeight="false" outlineLevel="0" collapsed="false">
      <c r="A128" s="5" t="s">
        <v>62</v>
      </c>
      <c r="B128" s="5" t="s">
        <v>14</v>
      </c>
      <c r="C128" s="5" t="s">
        <v>64</v>
      </c>
      <c r="D128" s="5" t="s">
        <v>38</v>
      </c>
      <c r="E128" s="21" t="n">
        <v>-0.622722835518511</v>
      </c>
      <c r="F128" s="21" t="n">
        <v>0.162938829337698</v>
      </c>
      <c r="G128" s="22" t="n">
        <v>19</v>
      </c>
      <c r="H128" s="23" t="n">
        <f aca="false">IF(F128&gt;0,E128/F128,"")</f>
        <v>-3.82181974701617</v>
      </c>
      <c r="I128" s="23" t="n">
        <f aca="false">IF(H128="","",TDIST(ABS(H128),G128-1,2))</f>
        <v>0.00124914917336383</v>
      </c>
    </row>
    <row r="129" customFormat="false" ht="15" hidden="false" customHeight="false" outlineLevel="0" collapsed="false">
      <c r="A129" s="5" t="s">
        <v>62</v>
      </c>
      <c r="B129" s="5" t="s">
        <v>14</v>
      </c>
      <c r="C129" s="5" t="s">
        <v>65</v>
      </c>
      <c r="D129" s="5" t="s">
        <v>38</v>
      </c>
      <c r="E129" s="21" t="n">
        <v>-0.437467421570957</v>
      </c>
      <c r="F129" s="21" t="n">
        <v>0.181298105941407</v>
      </c>
      <c r="G129" s="22" t="n">
        <v>19</v>
      </c>
      <c r="H129" s="23" t="n">
        <f aca="false">IF(F129&gt;0,E129/F129,"")</f>
        <v>-2.41297292820224</v>
      </c>
      <c r="I129" s="23" t="n">
        <f aca="false">IF(H129="","",TDIST(ABS(H129),G129-1,2))</f>
        <v>0.0267055996133769</v>
      </c>
    </row>
    <row r="130" customFormat="false" ht="15" hidden="false" customHeight="false" outlineLevel="0" collapsed="false">
      <c r="A130" s="5" t="s">
        <v>62</v>
      </c>
      <c r="B130" s="5" t="s">
        <v>14</v>
      </c>
      <c r="C130" s="5" t="s">
        <v>66</v>
      </c>
      <c r="D130" s="5" t="s">
        <v>38</v>
      </c>
      <c r="E130" s="21" t="n">
        <v>-0.331574788154555</v>
      </c>
      <c r="F130" s="21" t="n">
        <v>0.262765762644449</v>
      </c>
      <c r="G130" s="22" t="n">
        <v>19</v>
      </c>
      <c r="H130" s="23" t="n">
        <f aca="false">IF(F130&gt;0,E130/F130,"")</f>
        <v>-1.26186450174337</v>
      </c>
      <c r="I130" s="23" t="n">
        <f aca="false">IF(H130="","",TDIST(ABS(H130),G130-1,2))</f>
        <v>0.22310446760474</v>
      </c>
    </row>
    <row r="131" customFormat="false" ht="15" hidden="false" customHeight="false" outlineLevel="0" collapsed="false">
      <c r="A131" s="5" t="s">
        <v>62</v>
      </c>
      <c r="B131" s="5" t="s">
        <v>14</v>
      </c>
      <c r="C131" s="5" t="s">
        <v>67</v>
      </c>
      <c r="D131" s="5" t="s">
        <v>38</v>
      </c>
      <c r="E131" s="21" t="n">
        <v>-1.08788780298276</v>
      </c>
      <c r="F131" s="21" t="n">
        <v>0.176679466865058</v>
      </c>
      <c r="G131" s="22" t="n">
        <v>19</v>
      </c>
      <c r="H131" s="23" t="n">
        <f aca="false">IF(F131&gt;0,E131/F131,"")</f>
        <v>-6.15740935993235</v>
      </c>
      <c r="I131" s="23" t="n">
        <f aca="false">IF(H131="","",TDIST(ABS(H131),G131-1,2))</f>
        <v>8.17738933100383E-006</v>
      </c>
    </row>
    <row r="132" customFormat="false" ht="15" hidden="false" customHeight="false" outlineLevel="0" collapsed="false">
      <c r="A132" s="5" t="s">
        <v>62</v>
      </c>
      <c r="B132" s="5" t="s">
        <v>14</v>
      </c>
      <c r="C132" s="5" t="s">
        <v>68</v>
      </c>
      <c r="D132" s="5" t="s">
        <v>38</v>
      </c>
      <c r="E132" s="21" t="n">
        <v>-1.24642614434059</v>
      </c>
      <c r="F132" s="21" t="n">
        <v>0.392506454148133</v>
      </c>
      <c r="G132" s="22" t="n">
        <v>19</v>
      </c>
      <c r="H132" s="23" t="n">
        <f aca="false">IF(F132&gt;0,E132/F132,"")</f>
        <v>-3.17555579320535</v>
      </c>
      <c r="I132" s="23" t="n">
        <f aca="false">IF(H132="","",TDIST(ABS(H132),G132-1,2))</f>
        <v>0.00523628869470174</v>
      </c>
    </row>
    <row r="133" customFormat="false" ht="15" hidden="false" customHeight="false" outlineLevel="0" collapsed="false">
      <c r="A133" s="5" t="s">
        <v>62</v>
      </c>
      <c r="B133" s="5" t="s">
        <v>14</v>
      </c>
      <c r="C133" s="5" t="s">
        <v>69</v>
      </c>
      <c r="D133" s="5" t="s">
        <v>39</v>
      </c>
      <c r="E133" s="21" t="n">
        <v>-0.73817711939198</v>
      </c>
      <c r="F133" s="21" t="n">
        <v>0.20153596101923</v>
      </c>
      <c r="G133" s="22" t="n">
        <v>19</v>
      </c>
      <c r="H133" s="23" t="n">
        <f aca="false">IF(F133&gt;0,E133/F133,"")</f>
        <v>-3.6627563421376</v>
      </c>
      <c r="I133" s="23" t="n">
        <f aca="false">IF(H133="","",TDIST(ABS(H133),G133-1,2))</f>
        <v>0.00178035179328387</v>
      </c>
    </row>
    <row r="134" customFormat="false" ht="15" hidden="false" customHeight="false" outlineLevel="0" collapsed="false">
      <c r="A134" s="5" t="s">
        <v>62</v>
      </c>
      <c r="B134" s="5" t="s">
        <v>14</v>
      </c>
      <c r="C134" s="5" t="s">
        <v>70</v>
      </c>
      <c r="D134" s="5" t="s">
        <v>39</v>
      </c>
      <c r="E134" s="21" t="n">
        <v>-0.500851249801255</v>
      </c>
      <c r="F134" s="21" t="n">
        <v>0.188734044100097</v>
      </c>
      <c r="G134" s="22" t="n">
        <v>19</v>
      </c>
      <c r="H134" s="23" t="n">
        <f aca="false">IF(F134&gt;0,E134/F134,"")</f>
        <v>-2.6537408880807</v>
      </c>
      <c r="I134" s="23" t="n">
        <f aca="false">IF(H134="","",TDIST(ABS(H134),G134-1,2))</f>
        <v>0.0161605900567703</v>
      </c>
    </row>
    <row r="135" customFormat="false" ht="15" hidden="false" customHeight="false" outlineLevel="0" collapsed="false">
      <c r="A135" s="5" t="s">
        <v>62</v>
      </c>
      <c r="B135" s="5" t="s">
        <v>14</v>
      </c>
      <c r="C135" s="5" t="s">
        <v>71</v>
      </c>
      <c r="D135" s="5" t="s">
        <v>39</v>
      </c>
      <c r="E135" s="21" t="n">
        <v>-0.398837170022583</v>
      </c>
      <c r="F135" s="21" t="n">
        <v>0.142241857095918</v>
      </c>
      <c r="G135" s="22" t="n">
        <v>19</v>
      </c>
      <c r="H135" s="23" t="n">
        <f aca="false">IF(F135&gt;0,E135/F135,"")</f>
        <v>-2.80393674664719</v>
      </c>
      <c r="I135" s="23" t="n">
        <f aca="false">IF(H135="","",TDIST(ABS(H135),G135-1,2))</f>
        <v>0.0117372749862162</v>
      </c>
    </row>
    <row r="136" customFormat="false" ht="15" hidden="false" customHeight="false" outlineLevel="0" collapsed="false">
      <c r="A136" s="5" t="s">
        <v>62</v>
      </c>
      <c r="B136" s="5" t="s">
        <v>14</v>
      </c>
      <c r="C136" s="5" t="s">
        <v>69</v>
      </c>
      <c r="D136" s="5" t="s">
        <v>40</v>
      </c>
      <c r="E136" s="21" t="n">
        <v>-0.232404327851912</v>
      </c>
      <c r="F136" s="21" t="n">
        <v>0.178588548387766</v>
      </c>
      <c r="G136" s="22" t="n">
        <v>19</v>
      </c>
      <c r="H136" s="23" t="n">
        <f aca="false">IF(F136&gt;0,E136/F136,"")</f>
        <v>-1.30133947529097</v>
      </c>
      <c r="I136" s="23" t="n">
        <f aca="false">IF(H136="","",TDIST(ABS(H136),G136-1,2))</f>
        <v>0.209553430214611</v>
      </c>
    </row>
    <row r="137" customFormat="false" ht="15" hidden="false" customHeight="false" outlineLevel="0" collapsed="false">
      <c r="A137" s="5" t="s">
        <v>62</v>
      </c>
      <c r="B137" s="5" t="s">
        <v>14</v>
      </c>
      <c r="C137" s="5" t="s">
        <v>70</v>
      </c>
      <c r="D137" s="5" t="s">
        <v>40</v>
      </c>
      <c r="E137" s="21" t="n">
        <v>-0.338603724888579</v>
      </c>
      <c r="F137" s="21" t="n">
        <v>0.160525213011594</v>
      </c>
      <c r="G137" s="22" t="n">
        <v>19</v>
      </c>
      <c r="H137" s="23" t="n">
        <f aca="false">IF(F137&gt;0,E137/F137,"")</f>
        <v>-2.10934917036443</v>
      </c>
      <c r="I137" s="23" t="n">
        <f aca="false">IF(H137="","",TDIST(ABS(H137),G137-1,2))</f>
        <v>0.0491805705510515</v>
      </c>
    </row>
    <row r="138" customFormat="false" ht="15" hidden="false" customHeight="false" outlineLevel="0" collapsed="false">
      <c r="A138" s="5" t="s">
        <v>62</v>
      </c>
      <c r="B138" s="5" t="s">
        <v>14</v>
      </c>
      <c r="C138" s="5" t="s">
        <v>71</v>
      </c>
      <c r="D138" s="5" t="s">
        <v>40</v>
      </c>
      <c r="E138" s="21" t="n">
        <v>-0.226405260505163</v>
      </c>
      <c r="F138" s="21" t="n">
        <v>0.19584746123541</v>
      </c>
      <c r="G138" s="22" t="n">
        <v>19</v>
      </c>
      <c r="H138" s="23" t="n">
        <f aca="false">IF(F138&gt;0,E138/F138,"")</f>
        <v>-1.15602856977055</v>
      </c>
      <c r="I138" s="23" t="n">
        <f aca="false">IF(H138="","",TDIST(ABS(H138),G138-1,2))</f>
        <v>0.262783526714544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2026-10-16T17:57:02Z</dcterms:created>
  <dc:creator>openpyxl</dc:creator>
  <dc:description/>
  <dc:language>en-US</dc:language>
  <cp:lastModifiedBy/>
  <dcterms:modified xsi:type="dcterms:W3CDTF">2026-10-16T17:57:02Z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