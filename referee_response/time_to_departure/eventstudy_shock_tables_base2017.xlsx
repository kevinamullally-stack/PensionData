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 study" sheetId="1" state="visible" r:id="rId3"/>
    <sheet name="Estima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<sst xmlns="http://schemas.openxmlformats.org/spreadsheetml/2006/main" count="325" uniqueCount="55">
  <si>
    <t xml:space="preserve">Table 5b: Event Study of Conflicted CIO Performance Around the Loglisci Shock (FY2017 Base Year)</t>
  </si>
  <si>
    <t xml:space="preserve">This table re-estimates the Table 5b event study for Peer-Adjusted Return and for Benchmark-Adjusted Return (the plan's return minus the updated policy benchmark: the benchmark return reported in the plan's financial report or, where none is stated, an inferred value graded A or B). Each regression includes Conflicted CIO interacted with indicators for fiscal years 2005-2016 (FY2017 is the omitted base year), and endpoint bins for Conflicted CIO in years before 2005 and after 2017; there is no standalone Conflicted CIO term, so each coefficient is the effect of conflict in that year relative to FY2017. The control variables are those in effect at Table 5b in the paper's code: the lagged return, Size, the lagged funding ratio, lagged allocations, Financial Center, lagged log CIO age and tenure, lagged sibling plans and the political-state indicator. The tests group the coefficients by the timing of the shock: pre-shock (the pre-2005 bin and FY2005-2008), shock period (FY2009-2013, when shock2 = 1) and late period (FY2014-2016 and the post-2017 bin). 'Pre-shock equal' tests that the pre-shock coefficients are equal to each other. 'Pre-shock minus shock period' is the mean of the FY2005-2008 coefficients minus the mean of the FY2009-2013 coefficients, which does not depend on the choice of base year. The standard errors are double clustered by plan and year. Coefficients marked with ***, **, and * are significant at the 1%, 5%, and 10% level, respectively.</t>
  </si>
  <si>
    <t xml:space="preserve">Peer-adjusted return</t>
  </si>
  <si>
    <t xml:space="preserve">Benchmark-adjusted return (updated benchmark)</t>
  </si>
  <si>
    <t xml:space="preserve">Year FE</t>
  </si>
  <si>
    <t xml:space="preserve">Plan FE</t>
  </si>
  <si>
    <t xml:space="preserve">Plan and year FE</t>
  </si>
  <si>
    <t xml:space="preserve">Conflicted CIO x FY&lt;2005</t>
  </si>
  <si>
    <t xml:space="preserve">Conflicted CIO x FY2005</t>
  </si>
  <si>
    <t xml:space="preserve">Conflicted CIO x FY2006</t>
  </si>
  <si>
    <t xml:space="preserve">Conflicted CIO x FY2007</t>
  </si>
  <si>
    <t xml:space="preserve">Conflicted CIO x FY2008</t>
  </si>
  <si>
    <t xml:space="preserve">Conflicted CIO x FY2009</t>
  </si>
  <si>
    <t xml:space="preserve">Conflicted CIO x FY2010</t>
  </si>
  <si>
    <t xml:space="preserve">Conflicted CIO x FY2011</t>
  </si>
  <si>
    <t xml:space="preserve">Conflicted CIO x FY2012</t>
  </si>
  <si>
    <t xml:space="preserve">Conflicted CIO x FY2013</t>
  </si>
  <si>
    <t xml:space="preserve">Conflicted CIO x FY2014</t>
  </si>
  <si>
    <t xml:space="preserve">Conflicted CIO x FY2015</t>
  </si>
  <si>
    <t xml:space="preserve">Conflicted CIO x FY2016</t>
  </si>
  <si>
    <t xml:space="preserve">Conflicted CIO x FY&gt;2017</t>
  </si>
  <si>
    <t xml:space="preserve">Pre-shock minus shock period</t>
  </si>
  <si>
    <t xml:space="preserve">p-value: pre-shock jointly zero</t>
  </si>
  <si>
    <t xml:space="preserve">p-value: pre-shock equal</t>
  </si>
  <si>
    <t xml:space="preserve">p-value: shock period jointly zero</t>
  </si>
  <si>
    <t xml:space="preserve">p-value: late period jointly zero</t>
  </si>
  <si>
    <t xml:space="preserve">Observations</t>
  </si>
  <si>
    <t xml:space="preserve">Adjusted R-squared</t>
  </si>
  <si>
    <t xml:space="preserve">No</t>
  </si>
  <si>
    <t xml:space="preserve">Yes</t>
  </si>
  <si>
    <t xml:space="preserve">Blue p-values are F-tests computed from the two-way clustered covariance (denominator df = clusters - 1). Coefficients and observations will match reghdfe; t-statistics and p-values can differ somewhat. Use the attached Stata code for the exact figures.</t>
  </si>
  <si>
    <t xml:space="preserve">Estimates behind the table. Blue = regression output (coefficient, SE, minimum cluster count). t and p are formulas; p uses the t distribution with (min clusters - 1) df. SE double clustered by plan and year, with the eigenvalue fix.</t>
  </si>
  <si>
    <t xml:space="preserve">Dependent variable</t>
  </si>
  <si>
    <t xml:space="preserve">Specification</t>
  </si>
  <si>
    <t xml:space="preserve">Term</t>
  </si>
  <si>
    <t xml:space="preserve">Coefficient</t>
  </si>
  <si>
    <t xml:space="preserve">SE</t>
  </si>
  <si>
    <t xml:space="preserve">Clusters (min)</t>
  </si>
  <si>
    <t xml:space="preserve">t</t>
  </si>
  <si>
    <t xml:space="preserve">p</t>
  </si>
  <si>
    <t xml:space="preserve">pre_bin</t>
  </si>
  <si>
    <t xml:space="preserve">conf_yr_2005</t>
  </si>
  <si>
    <t xml:space="preserve">conf_yr_2006</t>
  </si>
  <si>
    <t xml:space="preserve">conf_yr_2007</t>
  </si>
  <si>
    <t xml:space="preserve">conf_yr_2008</t>
  </si>
  <si>
    <t xml:space="preserve">conf_yr_2009</t>
  </si>
  <si>
    <t xml:space="preserve">conf_yr_2010</t>
  </si>
  <si>
    <t xml:space="preserve">conf_yr_2011</t>
  </si>
  <si>
    <t xml:space="preserve">conf_yr_2012</t>
  </si>
  <si>
    <t xml:space="preserve">conf_yr_2013</t>
  </si>
  <si>
    <t xml:space="preserve">conf_yr_2014</t>
  </si>
  <si>
    <t xml:space="preserve">conf_yr_2015</t>
  </si>
  <si>
    <t xml:space="preserve">conf_yr_2016</t>
  </si>
  <si>
    <t xml:space="preserve">post_bin</t>
  </si>
  <si>
    <t xml:space="preserve">pre-shock minus shock period</t>
  </si>
</sst>
</file>

<file path=xl/styles.xml><?xml version="1.0" encoding="utf-8"?>
<styleSheet xmlns="http://schemas.openxmlformats.org/spreadsheetml/2006/main">
  <numFmts count="4">
    <numFmt numFmtId="164" formatCode="General"/>
    <numFmt numFmtId="165" formatCode="0.000"/>
    <numFmt numFmtId="166" formatCode="#,##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4" min="2" style="0" width="13"/>
    <col collapsed="false" customWidth="true" hidden="false" outlineLevel="0" max="5" min="5" style="0" width="3"/>
    <col collapsed="false" customWidth="true" hidden="false" outlineLevel="0" max="8" min="6" style="0" width="13"/>
  </cols>
  <sheetData>
    <row r="1" customFormat="false" ht="15" hidden="false" customHeight="false" outlineLevel="0" collapsed="false">
      <c r="A1" s="1" t="s">
        <v>0</v>
      </c>
    </row>
    <row r="2" customFormat="false" ht="195.75" hidden="false" customHeight="true" outlineLevel="0" collapsed="false">
      <c r="A2" s="2" t="s">
        <v>1</v>
      </c>
      <c r="B2" s="2"/>
      <c r="C2" s="2"/>
      <c r="D2" s="2"/>
      <c r="E2" s="2"/>
      <c r="F2" s="2"/>
      <c r="G2" s="2"/>
      <c r="H2" s="2"/>
    </row>
    <row r="4" customFormat="false" ht="30" hidden="false" customHeight="true" outlineLevel="0" collapsed="false">
      <c r="A4" s="3"/>
      <c r="B4" s="4" t="s">
        <v>2</v>
      </c>
      <c r="C4" s="4"/>
      <c r="D4" s="4"/>
      <c r="F4" s="4" t="s">
        <v>3</v>
      </c>
      <c r="G4" s="4"/>
      <c r="H4" s="4"/>
    </row>
    <row r="5" customFormat="false" ht="30" hidden="false" customHeight="true" outlineLevel="0" collapsed="false">
      <c r="A5" s="5"/>
      <c r="B5" s="6" t="s">
        <v>4</v>
      </c>
      <c r="C5" s="6" t="s">
        <v>5</v>
      </c>
      <c r="D5" s="6" t="s">
        <v>6</v>
      </c>
      <c r="F5" s="6" t="s">
        <v>4</v>
      </c>
      <c r="G5" s="6" t="s">
        <v>5</v>
      </c>
      <c r="H5" s="6" t="s">
        <v>6</v>
      </c>
    </row>
    <row r="6" customFormat="false" ht="15" hidden="false" customHeight="false" outlineLevel="0" collapsed="false">
      <c r="A6" s="7" t="s">
        <v>7</v>
      </c>
      <c r="B6" s="8" t="str">
        <f aca="false">IF(Estimates!H4="","",TEXT(Estimates!D4,"0.000")&amp;IF(Estimates!H4&lt;0.01,"***",IF(Estimates!H4&lt;0.05,"**",IF(Estimates!H4&lt;0.1,"*",""))))</f>
        <v>-0.845***</v>
      </c>
      <c r="C6" s="8" t="str">
        <f aca="false">IF(Estimates!H5="","",TEXT(Estimates!D5,"0.000")&amp;IF(Estimates!H5&lt;0.01,"***",IF(Estimates!H5&lt;0.05,"**",IF(Estimates!H5&lt;0.1,"*",""))))</f>
        <v>-0.504</v>
      </c>
      <c r="D6" s="8" t="str">
        <f aca="false">IF(Estimates!H6="","",TEXT(Estimates!D6,"0.000")&amp;IF(Estimates!H6&lt;0.01,"***",IF(Estimates!H6&lt;0.05,"**",IF(Estimates!H6&lt;0.1,"*",""))))</f>
        <v>-0.678**</v>
      </c>
      <c r="F6" s="8" t="str">
        <f aca="false">IF(Estimates!H7="","",TEXT(Estimates!D7,"0.000")&amp;IF(Estimates!H7&lt;0.01,"***",IF(Estimates!H7&lt;0.05,"**",IF(Estimates!H7&lt;0.1,"*",""))))</f>
        <v>-0.805***</v>
      </c>
      <c r="G6" s="8" t="str">
        <f aca="false">IF(Estimates!H8="","",TEXT(Estimates!D8,"0.000")&amp;IF(Estimates!H8&lt;0.01,"***",IF(Estimates!H8&lt;0.05,"**",IF(Estimates!H8&lt;0.1,"*",""))))</f>
        <v>-0.591**</v>
      </c>
      <c r="H6" s="8" t="str">
        <f aca="false">IF(Estimates!H9="","",TEXT(Estimates!D9,"0.000")&amp;IF(Estimates!H9&lt;0.01,"***",IF(Estimates!H9&lt;0.05,"**",IF(Estimates!H9&lt;0.1,"*",""))))</f>
        <v>-0.692***</v>
      </c>
    </row>
    <row r="7" customFormat="false" ht="15" hidden="false" customHeight="false" outlineLevel="0" collapsed="false">
      <c r="B7" s="8" t="str">
        <f aca="false">IF(Estimates!G4="","","("&amp;TEXT(Estimates!G4,"0.00")&amp;")")</f>
        <v>(-4.89)</v>
      </c>
      <c r="C7" s="8" t="str">
        <f aca="false">IF(Estimates!G5="","","("&amp;TEXT(Estimates!G5,"0.00")&amp;")")</f>
        <v>(-1.62)</v>
      </c>
      <c r="D7" s="8" t="str">
        <f aca="false">IF(Estimates!G6="","","("&amp;TEXT(Estimates!G6,"0.00")&amp;")")</f>
        <v>(-2.18)</v>
      </c>
      <c r="F7" s="8" t="str">
        <f aca="false">IF(Estimates!G7="","","("&amp;TEXT(Estimates!G7,"0.00")&amp;")")</f>
        <v>(-8.48)</v>
      </c>
      <c r="G7" s="8" t="str">
        <f aca="false">IF(Estimates!G8="","","("&amp;TEXT(Estimates!G8,"0.00")&amp;")")</f>
        <v>(-2.11)</v>
      </c>
      <c r="H7" s="8" t="str">
        <f aca="false">IF(Estimates!G9="","","("&amp;TEXT(Estimates!G9,"0.00")&amp;")")</f>
        <v>(-4.91)</v>
      </c>
    </row>
    <row r="8" customFormat="false" ht="15" hidden="false" customHeight="false" outlineLevel="0" collapsed="false">
      <c r="A8" s="7" t="s">
        <v>8</v>
      </c>
      <c r="B8" s="8" t="str">
        <f aca="false">IF(Estimates!H10="","",TEXT(Estimates!D10,"0.000")&amp;IF(Estimates!H10&lt;0.01,"***",IF(Estimates!H10&lt;0.05,"**",IF(Estimates!H10&lt;0.1,"*",""))))</f>
        <v>-0.710**</v>
      </c>
      <c r="C8" s="8" t="str">
        <f aca="false">IF(Estimates!H11="","",TEXT(Estimates!D11,"0.000")&amp;IF(Estimates!H11&lt;0.01,"***",IF(Estimates!H11&lt;0.05,"**",IF(Estimates!H11&lt;0.1,"*",""))))</f>
        <v>-0.669*</v>
      </c>
      <c r="D8" s="8" t="str">
        <f aca="false">IF(Estimates!H12="","",TEXT(Estimates!D12,"0.000")&amp;IF(Estimates!H12&lt;0.01,"***",IF(Estimates!H12&lt;0.05,"**",IF(Estimates!H12&lt;0.1,"*",""))))</f>
        <v>-0.796**</v>
      </c>
      <c r="F8" s="8" t="str">
        <f aca="false">IF(Estimates!H13="","",TEXT(Estimates!D13,"0.000")&amp;IF(Estimates!H13&lt;0.01,"***",IF(Estimates!H13&lt;0.05,"**",IF(Estimates!H13&lt;0.1,"*",""))))</f>
        <v>-0.597**</v>
      </c>
      <c r="G8" s="8" t="str">
        <f aca="false">IF(Estimates!H14="","",TEXT(Estimates!D14,"0.000")&amp;IF(Estimates!H14&lt;0.01,"***",IF(Estimates!H14&lt;0.05,"**",IF(Estimates!H14&lt;0.1,"*",""))))</f>
        <v>-0.090</v>
      </c>
      <c r="H8" s="8" t="str">
        <f aca="false">IF(Estimates!H15="","",TEXT(Estimates!D15,"0.000")&amp;IF(Estimates!H15&lt;0.01,"***",IF(Estimates!H15&lt;0.05,"**",IF(Estimates!H15&lt;0.1,"*",""))))</f>
        <v>-0.512</v>
      </c>
    </row>
    <row r="9" customFormat="false" ht="15" hidden="false" customHeight="false" outlineLevel="0" collapsed="false">
      <c r="B9" s="8" t="str">
        <f aca="false">IF(Estimates!G10="","","("&amp;TEXT(Estimates!G10,"0.00")&amp;")")</f>
        <v>(-2.70)</v>
      </c>
      <c r="C9" s="8" t="str">
        <f aca="false">IF(Estimates!G11="","","("&amp;TEXT(Estimates!G11,"0.00")&amp;")")</f>
        <v>(-1.77)</v>
      </c>
      <c r="D9" s="8" t="str">
        <f aca="false">IF(Estimates!G12="","","("&amp;TEXT(Estimates!G12,"0.00")&amp;")")</f>
        <v>(-2.11)</v>
      </c>
      <c r="F9" s="8" t="str">
        <f aca="false">IF(Estimates!G13="","","("&amp;TEXT(Estimates!G13,"0.00")&amp;")")</f>
        <v>(-2.74)</v>
      </c>
      <c r="G9" s="8" t="str">
        <f aca="false">IF(Estimates!G14="","","("&amp;TEXT(Estimates!G14,"0.00")&amp;")")</f>
        <v>(-0.23)</v>
      </c>
      <c r="H9" s="8" t="str">
        <f aca="false">IF(Estimates!G15="","","("&amp;TEXT(Estimates!G15,"0.00")&amp;")")</f>
        <v>(-1.69)</v>
      </c>
    </row>
    <row r="10" customFormat="false" ht="15" hidden="false" customHeight="false" outlineLevel="0" collapsed="false">
      <c r="A10" s="7" t="s">
        <v>9</v>
      </c>
      <c r="B10" s="8" t="str">
        <f aca="false">IF(Estimates!H16="","",TEXT(Estimates!D16,"0.000")&amp;IF(Estimates!H16&lt;0.01,"***",IF(Estimates!H16&lt;0.05,"**",IF(Estimates!H16&lt;0.1,"*",""))))</f>
        <v>-1.846***</v>
      </c>
      <c r="C10" s="8" t="str">
        <f aca="false">IF(Estimates!H17="","",TEXT(Estimates!D17,"0.000")&amp;IF(Estimates!H17&lt;0.01,"***",IF(Estimates!H17&lt;0.05,"**",IF(Estimates!H17&lt;0.1,"*",""))))</f>
        <v>-1.401***</v>
      </c>
      <c r="D10" s="8" t="str">
        <f aca="false">IF(Estimates!H18="","",TEXT(Estimates!D18,"0.000")&amp;IF(Estimates!H18&lt;0.01,"***",IF(Estimates!H18&lt;0.05,"**",IF(Estimates!H18&lt;0.1,"*",""))))</f>
        <v>-1.987***</v>
      </c>
      <c r="F10" s="8" t="str">
        <f aca="false">IF(Estimates!H19="","",TEXT(Estimates!D19,"0.000")&amp;IF(Estimates!H19&lt;0.01,"***",IF(Estimates!H19&lt;0.05,"**",IF(Estimates!H19&lt;0.1,"*",""))))</f>
        <v>-0.719***</v>
      </c>
      <c r="G10" s="8" t="str">
        <f aca="false">IF(Estimates!H20="","",TEXT(Estimates!D20,"0.000")&amp;IF(Estimates!H20&lt;0.01,"***",IF(Estimates!H20&lt;0.05,"**",IF(Estimates!H20&lt;0.1,"*",""))))</f>
        <v>0.224</v>
      </c>
      <c r="H10" s="8" t="str">
        <f aca="false">IF(Estimates!H21="","",TEXT(Estimates!D21,"0.000")&amp;IF(Estimates!H21&lt;0.01,"***",IF(Estimates!H21&lt;0.05,"**",IF(Estimates!H21&lt;0.1,"*",""))))</f>
        <v>-0.514</v>
      </c>
    </row>
    <row r="11" customFormat="false" ht="15" hidden="false" customHeight="false" outlineLevel="0" collapsed="false">
      <c r="B11" s="8" t="str">
        <f aca="false">IF(Estimates!G16="","","("&amp;TEXT(Estimates!G16,"0.00")&amp;")")</f>
        <v>(-5.27)</v>
      </c>
      <c r="C11" s="8" t="str">
        <f aca="false">IF(Estimates!G17="","","("&amp;TEXT(Estimates!G17,"0.00")&amp;")")</f>
        <v>(-3.42)</v>
      </c>
      <c r="D11" s="8" t="str">
        <f aca="false">IF(Estimates!G18="","","("&amp;TEXT(Estimates!G18,"0.00")&amp;")")</f>
        <v>(-4.35)</v>
      </c>
      <c r="F11" s="8" t="str">
        <f aca="false">IF(Estimates!G19="","","("&amp;TEXT(Estimates!G19,"0.00")&amp;")")</f>
        <v>(-3.18)</v>
      </c>
      <c r="G11" s="8" t="str">
        <f aca="false">IF(Estimates!G20="","","("&amp;TEXT(Estimates!G20,"0.00")&amp;")")</f>
        <v>(0.69)</v>
      </c>
      <c r="H11" s="8" t="str">
        <f aca="false">IF(Estimates!G21="","","("&amp;TEXT(Estimates!G21,"0.00")&amp;")")</f>
        <v>(-1.67)</v>
      </c>
    </row>
    <row r="12" customFormat="false" ht="15" hidden="false" customHeight="false" outlineLevel="0" collapsed="false">
      <c r="A12" s="7" t="s">
        <v>10</v>
      </c>
      <c r="B12" s="8" t="str">
        <f aca="false">IF(Estimates!H22="","",TEXT(Estimates!D22,"0.000")&amp;IF(Estimates!H22&lt;0.01,"***",IF(Estimates!H22&lt;0.05,"**",IF(Estimates!H22&lt;0.1,"*",""))))</f>
        <v>-2.066***</v>
      </c>
      <c r="C12" s="8" t="str">
        <f aca="false">IF(Estimates!H23="","",TEXT(Estimates!D23,"0.000")&amp;IF(Estimates!H23&lt;0.01,"***",IF(Estimates!H23&lt;0.05,"**",IF(Estimates!H23&lt;0.1,"*",""))))</f>
        <v>-1.905***</v>
      </c>
      <c r="D12" s="8" t="str">
        <f aca="false">IF(Estimates!H24="","",TEXT(Estimates!D24,"0.000")&amp;IF(Estimates!H24&lt;0.01,"***",IF(Estimates!H24&lt;0.05,"**",IF(Estimates!H24&lt;0.1,"*",""))))</f>
        <v>-2.402***</v>
      </c>
      <c r="F12" s="8" t="str">
        <f aca="false">IF(Estimates!H25="","",TEXT(Estimates!D25,"0.000")&amp;IF(Estimates!H25&lt;0.01,"***",IF(Estimates!H25&lt;0.05,"**",IF(Estimates!H25&lt;0.1,"*",""))))</f>
        <v>-1.338***</v>
      </c>
      <c r="G12" s="8" t="str">
        <f aca="false">IF(Estimates!H26="","",TEXT(Estimates!D26,"0.000")&amp;IF(Estimates!H26&lt;0.01,"***",IF(Estimates!H26&lt;0.05,"**",IF(Estimates!H26&lt;0.1,"*",""))))</f>
        <v>-0.722**</v>
      </c>
      <c r="H12" s="8" t="str">
        <f aca="false">IF(Estimates!H27="","",TEXT(Estimates!D27,"0.000")&amp;IF(Estimates!H27&lt;0.01,"***",IF(Estimates!H27&lt;0.05,"**",IF(Estimates!H27&lt;0.1,"*",""))))</f>
        <v>-1.225***</v>
      </c>
    </row>
    <row r="13" customFormat="false" ht="15" hidden="false" customHeight="false" outlineLevel="0" collapsed="false">
      <c r="B13" s="8" t="str">
        <f aca="false">IF(Estimates!G22="","","("&amp;TEXT(Estimates!G22,"0.00")&amp;")")</f>
        <v>(-5.86)</v>
      </c>
      <c r="C13" s="8" t="str">
        <f aca="false">IF(Estimates!G23="","","("&amp;TEXT(Estimates!G23,"0.00")&amp;")")</f>
        <v>(-4.62)</v>
      </c>
      <c r="D13" s="8" t="str">
        <f aca="false">IF(Estimates!G24="","","("&amp;TEXT(Estimates!G24,"0.00")&amp;")")</f>
        <v>(-5.14)</v>
      </c>
      <c r="F13" s="8" t="str">
        <f aca="false">IF(Estimates!G25="","","("&amp;TEXT(Estimates!G25,"0.00")&amp;")")</f>
        <v>(-6.00)</v>
      </c>
      <c r="G13" s="8" t="str">
        <f aca="false">IF(Estimates!G26="","","("&amp;TEXT(Estimates!G26,"0.00")&amp;")")</f>
        <v>(-2.36)</v>
      </c>
      <c r="H13" s="8" t="str">
        <f aca="false">IF(Estimates!G27="","","("&amp;TEXT(Estimates!G27,"0.00")&amp;")")</f>
        <v>(-4.45)</v>
      </c>
    </row>
    <row r="14" customFormat="false" ht="15" hidden="false" customHeight="false" outlineLevel="0" collapsed="false">
      <c r="A14" s="7" t="s">
        <v>11</v>
      </c>
      <c r="B14" s="8" t="str">
        <f aca="false">IF(Estimates!H28="","",TEXT(Estimates!D28,"0.000")&amp;IF(Estimates!H28&lt;0.01,"***",IF(Estimates!H28&lt;0.05,"**",IF(Estimates!H28&lt;0.1,"*",""))))</f>
        <v>-0.526</v>
      </c>
      <c r="C14" s="8" t="str">
        <f aca="false">IF(Estimates!H29="","",TEXT(Estimates!D29,"0.000")&amp;IF(Estimates!H29&lt;0.01,"***",IF(Estimates!H29&lt;0.05,"**",IF(Estimates!H29&lt;0.1,"*",""))))</f>
        <v>-1.038**</v>
      </c>
      <c r="D14" s="8" t="str">
        <f aca="false">IF(Estimates!H30="","",TEXT(Estimates!D30,"0.000")&amp;IF(Estimates!H30&lt;0.01,"***",IF(Estimates!H30&lt;0.05,"**",IF(Estimates!H30&lt;0.1,"*",""))))</f>
        <v>-0.930*</v>
      </c>
      <c r="F14" s="8" t="str">
        <f aca="false">IF(Estimates!H31="","",TEXT(Estimates!D31,"0.000")&amp;IF(Estimates!H31&lt;0.01,"***",IF(Estimates!H31&lt;0.05,"**",IF(Estimates!H31&lt;0.1,"*",""))))</f>
        <v>-0.189</v>
      </c>
      <c r="G14" s="8" t="str">
        <f aca="false">IF(Estimates!H32="","",TEXT(Estimates!D32,"0.000")&amp;IF(Estimates!H32&lt;0.01,"***",IF(Estimates!H32&lt;0.05,"**",IF(Estimates!H32&lt;0.1,"*",""))))</f>
        <v>-0.710*</v>
      </c>
      <c r="H14" s="8" t="str">
        <f aca="false">IF(Estimates!H33="","",TEXT(Estimates!D33,"0.000")&amp;IF(Estimates!H33&lt;0.01,"***",IF(Estimates!H33&lt;0.05,"**",IF(Estimates!H33&lt;0.1,"*",""))))</f>
        <v>-0.075</v>
      </c>
    </row>
    <row r="15" customFormat="false" ht="15" hidden="false" customHeight="false" outlineLevel="0" collapsed="false">
      <c r="B15" s="8" t="str">
        <f aca="false">IF(Estimates!G28="","","("&amp;TEXT(Estimates!G28,"0.00")&amp;")")</f>
        <v>(-1.62)</v>
      </c>
      <c r="C15" s="8" t="str">
        <f aca="false">IF(Estimates!G29="","","("&amp;TEXT(Estimates!G29,"0.00")&amp;")")</f>
        <v>(-2.55)</v>
      </c>
      <c r="D15" s="8" t="str">
        <f aca="false">IF(Estimates!G30="","","("&amp;TEXT(Estimates!G30,"0.00")&amp;")")</f>
        <v>(-1.96)</v>
      </c>
      <c r="F15" s="8" t="str">
        <f aca="false">IF(Estimates!G31="","","("&amp;TEXT(Estimates!G31,"0.00")&amp;")")</f>
        <v>(-0.86)</v>
      </c>
      <c r="G15" s="8" t="str">
        <f aca="false">IF(Estimates!G32="","","("&amp;TEXT(Estimates!G32,"0.00")&amp;")")</f>
        <v>(-2.02)</v>
      </c>
      <c r="H15" s="8" t="str">
        <f aca="false">IF(Estimates!G33="","","("&amp;TEXT(Estimates!G33,"0.00")&amp;")")</f>
        <v>(-0.22)</v>
      </c>
    </row>
    <row r="16" customFormat="false" ht="15" hidden="false" customHeight="false" outlineLevel="0" collapsed="false">
      <c r="A16" s="7" t="s">
        <v>12</v>
      </c>
      <c r="B16" s="8" t="str">
        <f aca="false">IF(Estimates!H34="","",TEXT(Estimates!D34,"0.000")&amp;IF(Estimates!H34&lt;0.01,"***",IF(Estimates!H34&lt;0.05,"**",IF(Estimates!H34&lt;0.1,"*",""))))</f>
        <v>1.160***</v>
      </c>
      <c r="C16" s="8" t="str">
        <f aca="false">IF(Estimates!H35="","",TEXT(Estimates!D35,"0.000")&amp;IF(Estimates!H35&lt;0.01,"***",IF(Estimates!H35&lt;0.05,"**",IF(Estimates!H35&lt;0.1,"*",""))))</f>
        <v>-0.148</v>
      </c>
      <c r="D16" s="8" t="str">
        <f aca="false">IF(Estimates!H36="","",TEXT(Estimates!D36,"0.000")&amp;IF(Estimates!H36&lt;0.01,"***",IF(Estimates!H36&lt;0.05,"**",IF(Estimates!H36&lt;0.1,"*",""))))</f>
        <v>0.853*</v>
      </c>
      <c r="F16" s="8" t="str">
        <f aca="false">IF(Estimates!H37="","",TEXT(Estimates!D37,"0.000")&amp;IF(Estimates!H37&lt;0.01,"***",IF(Estimates!H37&lt;0.05,"**",IF(Estimates!H37&lt;0.1,"*",""))))</f>
        <v>0.342</v>
      </c>
      <c r="G16" s="8" t="str">
        <f aca="false">IF(Estimates!H38="","",TEXT(Estimates!D38,"0.000")&amp;IF(Estimates!H38&lt;0.01,"***",IF(Estimates!H38&lt;0.05,"**",IF(Estimates!H38&lt;0.1,"*",""))))</f>
        <v>-1.413***</v>
      </c>
      <c r="H16" s="8" t="str">
        <f aca="false">IF(Estimates!H39="","",TEXT(Estimates!D39,"0.000")&amp;IF(Estimates!H39&lt;0.01,"***",IF(Estimates!H39&lt;0.05,"**",IF(Estimates!H39&lt;0.1,"*",""))))</f>
        <v>0.476</v>
      </c>
    </row>
    <row r="17" customFormat="false" ht="15" hidden="false" customHeight="false" outlineLevel="0" collapsed="false">
      <c r="B17" s="8" t="str">
        <f aca="false">IF(Estimates!G34="","","("&amp;TEXT(Estimates!G34,"0.00")&amp;")")</f>
        <v>(3.99)</v>
      </c>
      <c r="C17" s="8" t="str">
        <f aca="false">IF(Estimates!G35="","","("&amp;TEXT(Estimates!G35,"0.00")&amp;")")</f>
        <v>(-0.32)</v>
      </c>
      <c r="D17" s="8" t="str">
        <f aca="false">IF(Estimates!G36="","","("&amp;TEXT(Estimates!G36,"0.00")&amp;")")</f>
        <v>(1.74)</v>
      </c>
      <c r="F17" s="8" t="str">
        <f aca="false">IF(Estimates!G37="","","("&amp;TEXT(Estimates!G37,"0.00")&amp;")")</f>
        <v>(1.36)</v>
      </c>
      <c r="G17" s="8" t="str">
        <f aca="false">IF(Estimates!G38="","","("&amp;TEXT(Estimates!G38,"0.00")&amp;")")</f>
        <v>(-3.29)</v>
      </c>
      <c r="H17" s="8" t="str">
        <f aca="false">IF(Estimates!G39="","","("&amp;TEXT(Estimates!G39,"0.00")&amp;")")</f>
        <v>(1.22)</v>
      </c>
    </row>
    <row r="18" customFormat="false" ht="15" hidden="false" customHeight="false" outlineLevel="0" collapsed="false">
      <c r="A18" s="7" t="s">
        <v>13</v>
      </c>
      <c r="B18" s="8" t="str">
        <f aca="false">IF(Estimates!H40="","",TEXT(Estimates!D40,"0.000")&amp;IF(Estimates!H40&lt;0.01,"***",IF(Estimates!H40&lt;0.05,"**",IF(Estimates!H40&lt;0.1,"*",""))))</f>
        <v>-0.327</v>
      </c>
      <c r="C18" s="8" t="str">
        <f aca="false">IF(Estimates!H41="","",TEXT(Estimates!D41,"0.000")&amp;IF(Estimates!H41&lt;0.01,"***",IF(Estimates!H41&lt;0.05,"**",IF(Estimates!H41&lt;0.1,"*",""))))</f>
        <v>-0.624*</v>
      </c>
      <c r="D18" s="8" t="str">
        <f aca="false">IF(Estimates!H42="","",TEXT(Estimates!D42,"0.000")&amp;IF(Estimates!H42&lt;0.01,"***",IF(Estimates!H42&lt;0.05,"**",IF(Estimates!H42&lt;0.1,"*",""))))</f>
        <v>-0.610*</v>
      </c>
      <c r="F18" s="8" t="str">
        <f aca="false">IF(Estimates!H43="","",TEXT(Estimates!D43,"0.000")&amp;IF(Estimates!H43&lt;0.01,"***",IF(Estimates!H43&lt;0.05,"**",IF(Estimates!H43&lt;0.1,"*",""))))</f>
        <v>-0.081</v>
      </c>
      <c r="G18" s="8" t="str">
        <f aca="false">IF(Estimates!H44="","",TEXT(Estimates!D44,"0.000")&amp;IF(Estimates!H44&lt;0.01,"***",IF(Estimates!H44&lt;0.05,"**",IF(Estimates!H44&lt;0.1,"*",""))))</f>
        <v>0.701</v>
      </c>
      <c r="H18" s="8" t="str">
        <f aca="false">IF(Estimates!H45="","",TEXT(Estimates!D45,"0.000")&amp;IF(Estimates!H45&lt;0.01,"***",IF(Estimates!H45&lt;0.05,"**",IF(Estimates!H45&lt;0.1,"*",""))))</f>
        <v>-0.067</v>
      </c>
    </row>
    <row r="19" customFormat="false" ht="15" hidden="false" customHeight="false" outlineLevel="0" collapsed="false">
      <c r="B19" s="8" t="str">
        <f aca="false">IF(Estimates!G40="","","("&amp;TEXT(Estimates!G40,"0.00")&amp;")")</f>
        <v>(-1.26)</v>
      </c>
      <c r="C19" s="8" t="str">
        <f aca="false">IF(Estimates!G41="","","("&amp;TEXT(Estimates!G41,"0.00")&amp;")")</f>
        <v>(-1.76)</v>
      </c>
      <c r="D19" s="8" t="str">
        <f aca="false">IF(Estimates!G42="","","("&amp;TEXT(Estimates!G42,"0.00")&amp;")")</f>
        <v>(-1.87)</v>
      </c>
      <c r="F19" s="8" t="str">
        <f aca="false">IF(Estimates!G43="","","("&amp;TEXT(Estimates!G43,"0.00")&amp;")")</f>
        <v>(-0.34)</v>
      </c>
      <c r="G19" s="8" t="str">
        <f aca="false">IF(Estimates!G44="","","("&amp;TEXT(Estimates!G44,"0.00")&amp;")")</f>
        <v>(1.59)</v>
      </c>
      <c r="H19" s="8" t="str">
        <f aca="false">IF(Estimates!G45="","","("&amp;TEXT(Estimates!G45,"0.00")&amp;")")</f>
        <v>(-0.25)</v>
      </c>
    </row>
    <row r="20" customFormat="false" ht="15" hidden="false" customHeight="false" outlineLevel="0" collapsed="false">
      <c r="A20" s="7" t="s">
        <v>14</v>
      </c>
      <c r="B20" s="8" t="str">
        <f aca="false">IF(Estimates!H46="","",TEXT(Estimates!D46,"0.000")&amp;IF(Estimates!H46&lt;0.01,"***",IF(Estimates!H46&lt;0.05,"**",IF(Estimates!H46&lt;0.1,"*",""))))</f>
        <v>-0.276</v>
      </c>
      <c r="C20" s="8" t="str">
        <f aca="false">IF(Estimates!H47="","",TEXT(Estimates!D47,"0.000")&amp;IF(Estimates!H47&lt;0.01,"***",IF(Estimates!H47&lt;0.05,"**",IF(Estimates!H47&lt;0.1,"*",""))))</f>
        <v>-1.142**</v>
      </c>
      <c r="D20" s="8" t="str">
        <f aca="false">IF(Estimates!H48="","",TEXT(Estimates!D48,"0.000")&amp;IF(Estimates!H48&lt;0.01,"***",IF(Estimates!H48&lt;0.05,"**",IF(Estimates!H48&lt;0.1,"*",""))))</f>
        <v>-0.686*</v>
      </c>
      <c r="F20" s="8" t="str">
        <f aca="false">IF(Estimates!H49="","",TEXT(Estimates!D49,"0.000")&amp;IF(Estimates!H49&lt;0.01,"***",IF(Estimates!H49&lt;0.05,"**",IF(Estimates!H49&lt;0.1,"*",""))))</f>
        <v>-0.196</v>
      </c>
      <c r="G20" s="8" t="str">
        <f aca="false">IF(Estimates!H50="","",TEXT(Estimates!D50,"0.000")&amp;IF(Estimates!H50&lt;0.01,"***",IF(Estimates!H50&lt;0.05,"**",IF(Estimates!H50&lt;0.1,"*",""))))</f>
        <v>-0.602***</v>
      </c>
      <c r="H20" s="8" t="str">
        <f aca="false">IF(Estimates!H51="","",TEXT(Estimates!D51,"0.000")&amp;IF(Estimates!H51&lt;0.01,"***",IF(Estimates!H51&lt;0.05,"**",IF(Estimates!H51&lt;0.1,"*",""))))</f>
        <v>-0.170</v>
      </c>
    </row>
    <row r="21" customFormat="false" ht="15" hidden="false" customHeight="false" outlineLevel="0" collapsed="false">
      <c r="B21" s="8" t="str">
        <f aca="false">IF(Estimates!G46="","","("&amp;TEXT(Estimates!G46,"0.00")&amp;")")</f>
        <v>(-1.02)</v>
      </c>
      <c r="C21" s="8" t="str">
        <f aca="false">IF(Estimates!G47="","","("&amp;TEXT(Estimates!G47,"0.00")&amp;")")</f>
        <v>(-2.71)</v>
      </c>
      <c r="D21" s="8" t="str">
        <f aca="false">IF(Estimates!G48="","","("&amp;TEXT(Estimates!G48,"0.00")&amp;")")</f>
        <v>(-1.76)</v>
      </c>
      <c r="F21" s="8" t="str">
        <f aca="false">IF(Estimates!G49="","","("&amp;TEXT(Estimates!G49,"0.00")&amp;")")</f>
        <v>(-0.86)</v>
      </c>
      <c r="G21" s="8" t="str">
        <f aca="false">IF(Estimates!G50="","","("&amp;TEXT(Estimates!G50,"0.00")&amp;")")</f>
        <v>(-3.16)</v>
      </c>
      <c r="H21" s="8" t="str">
        <f aca="false">IF(Estimates!G51="","","("&amp;TEXT(Estimates!G51,"0.00")&amp;")")</f>
        <v>(-0.71)</v>
      </c>
    </row>
    <row r="22" customFormat="false" ht="15" hidden="false" customHeight="false" outlineLevel="0" collapsed="false">
      <c r="A22" s="7" t="s">
        <v>15</v>
      </c>
      <c r="B22" s="8" t="str">
        <f aca="false">IF(Estimates!H52="","",TEXT(Estimates!D52,"0.000")&amp;IF(Estimates!H52&lt;0.01,"***",IF(Estimates!H52&lt;0.05,"**",IF(Estimates!H52&lt;0.1,"*",""))))</f>
        <v>-0.252</v>
      </c>
      <c r="C22" s="8" t="str">
        <f aca="false">IF(Estimates!H53="","",TEXT(Estimates!D53,"0.000")&amp;IF(Estimates!H53&lt;0.01,"***",IF(Estimates!H53&lt;0.05,"**",IF(Estimates!H53&lt;0.1,"*",""))))</f>
        <v>-0.983**</v>
      </c>
      <c r="D22" s="8" t="str">
        <f aca="false">IF(Estimates!H54="","",TEXT(Estimates!D54,"0.000")&amp;IF(Estimates!H54&lt;0.01,"***",IF(Estimates!H54&lt;0.05,"**",IF(Estimates!H54&lt;0.1,"*",""))))</f>
        <v>-0.358</v>
      </c>
      <c r="F22" s="8" t="str">
        <f aca="false">IF(Estimates!H55="","",TEXT(Estimates!D55,"0.000")&amp;IF(Estimates!H55&lt;0.01,"***",IF(Estimates!H55&lt;0.05,"**",IF(Estimates!H55&lt;0.1,"*",""))))</f>
        <v>-0.380*</v>
      </c>
      <c r="G22" s="8" t="str">
        <f aca="false">IF(Estimates!H56="","",TEXT(Estimates!D56,"0.000")&amp;IF(Estimates!H56&lt;0.01,"***",IF(Estimates!H56&lt;0.05,"**",IF(Estimates!H56&lt;0.1,"*",""))))</f>
        <v>-0.931***</v>
      </c>
      <c r="H22" s="8" t="str">
        <f aca="false">IF(Estimates!H57="","",TEXT(Estimates!D57,"0.000")&amp;IF(Estimates!H57&lt;0.01,"***",IF(Estimates!H57&lt;0.05,"**",IF(Estimates!H57&lt;0.1,"*",""))))</f>
        <v>-0.201</v>
      </c>
    </row>
    <row r="23" customFormat="false" ht="15" hidden="false" customHeight="false" outlineLevel="0" collapsed="false">
      <c r="B23" s="8" t="str">
        <f aca="false">IF(Estimates!G52="","","("&amp;TEXT(Estimates!G52,"0.00")&amp;")")</f>
        <v>(-1.28)</v>
      </c>
      <c r="C23" s="8" t="str">
        <f aca="false">IF(Estimates!G53="","","("&amp;TEXT(Estimates!G53,"0.00")&amp;")")</f>
        <v>(-2.73)</v>
      </c>
      <c r="D23" s="8" t="str">
        <f aca="false">IF(Estimates!G54="","","("&amp;TEXT(Estimates!G54,"0.00")&amp;")")</f>
        <v>(-1.28)</v>
      </c>
      <c r="F23" s="8" t="str">
        <f aca="false">IF(Estimates!G55="","","("&amp;TEXT(Estimates!G55,"0.00")&amp;")")</f>
        <v>(-1.76)</v>
      </c>
      <c r="G23" s="8" t="str">
        <f aca="false">IF(Estimates!G56="","","("&amp;TEXT(Estimates!G56,"0.00")&amp;")")</f>
        <v>(-2.96)</v>
      </c>
      <c r="H23" s="8" t="str">
        <f aca="false">IF(Estimates!G57="","","("&amp;TEXT(Estimates!G57,"0.00")&amp;")")</f>
        <v>(-0.68)</v>
      </c>
    </row>
    <row r="24" customFormat="false" ht="15" hidden="false" customHeight="false" outlineLevel="0" collapsed="false">
      <c r="A24" s="7" t="s">
        <v>16</v>
      </c>
      <c r="B24" s="8" t="str">
        <f aca="false">IF(Estimates!H58="","",TEXT(Estimates!D58,"0.000")&amp;IF(Estimates!H58&lt;0.01,"***",IF(Estimates!H58&lt;0.05,"**",IF(Estimates!H58&lt;0.1,"*",""))))</f>
        <v>0.274</v>
      </c>
      <c r="C24" s="8" t="str">
        <f aca="false">IF(Estimates!H59="","",TEXT(Estimates!D59,"0.000")&amp;IF(Estimates!H59&lt;0.01,"***",IF(Estimates!H59&lt;0.05,"**",IF(Estimates!H59&lt;0.1,"*",""))))</f>
        <v>-0.515*</v>
      </c>
      <c r="D24" s="8" t="str">
        <f aca="false">IF(Estimates!H60="","",TEXT(Estimates!D60,"0.000")&amp;IF(Estimates!H60&lt;0.01,"***",IF(Estimates!H60&lt;0.05,"**",IF(Estimates!H60&lt;0.1,"*",""))))</f>
        <v>-0.007</v>
      </c>
      <c r="F24" s="8" t="str">
        <f aca="false">IF(Estimates!H61="","",TEXT(Estimates!D61,"0.000")&amp;IF(Estimates!H61&lt;0.01,"***",IF(Estimates!H61&lt;0.05,"**",IF(Estimates!H61&lt;0.1,"*",""))))</f>
        <v>-0.372**</v>
      </c>
      <c r="G24" s="8" t="str">
        <f aca="false">IF(Estimates!H62="","",TEXT(Estimates!D62,"0.000")&amp;IF(Estimates!H62&lt;0.01,"***",IF(Estimates!H62&lt;0.05,"**",IF(Estimates!H62&lt;0.1,"*",""))))</f>
        <v>0.208</v>
      </c>
      <c r="H24" s="8" t="str">
        <f aca="false">IF(Estimates!H63="","",TEXT(Estimates!D63,"0.000")&amp;IF(Estimates!H63&lt;0.01,"***",IF(Estimates!H63&lt;0.05,"**",IF(Estimates!H63&lt;0.1,"*",""))))</f>
        <v>-0.354</v>
      </c>
    </row>
    <row r="25" customFormat="false" ht="15" hidden="false" customHeight="false" outlineLevel="0" collapsed="false">
      <c r="B25" s="8" t="str">
        <f aca="false">IF(Estimates!G58="","","("&amp;TEXT(Estimates!G58,"0.00")&amp;")")</f>
        <v>(1.51)</v>
      </c>
      <c r="C25" s="8" t="str">
        <f aca="false">IF(Estimates!G59="","","("&amp;TEXT(Estimates!G59,"0.00")&amp;")")</f>
        <v>(-1.92)</v>
      </c>
      <c r="D25" s="8" t="str">
        <f aca="false">IF(Estimates!G60="","","("&amp;TEXT(Estimates!G60,"0.00")&amp;")")</f>
        <v>(-0.03)</v>
      </c>
      <c r="F25" s="8" t="str">
        <f aca="false">IF(Estimates!G61="","","("&amp;TEXT(Estimates!G61,"0.00")&amp;")")</f>
        <v>(-2.54)</v>
      </c>
      <c r="G25" s="8" t="str">
        <f aca="false">IF(Estimates!G62="","","("&amp;TEXT(Estimates!G62,"0.00")&amp;")")</f>
        <v>(0.77)</v>
      </c>
      <c r="H25" s="8" t="str">
        <f aca="false">IF(Estimates!G63="","","("&amp;TEXT(Estimates!G63,"0.00")&amp;")")</f>
        <v>(-1.41)</v>
      </c>
    </row>
    <row r="26" customFormat="false" ht="15" hidden="false" customHeight="false" outlineLevel="0" collapsed="false">
      <c r="A26" s="7" t="s">
        <v>17</v>
      </c>
      <c r="B26" s="8" t="str">
        <f aca="false">IF(Estimates!H64="","",TEXT(Estimates!D64,"0.000")&amp;IF(Estimates!H64&lt;0.01,"***",IF(Estimates!H64&lt;0.05,"**",IF(Estimates!H64&lt;0.1,"*",""))))</f>
        <v>-0.471**</v>
      </c>
      <c r="C26" s="8" t="str">
        <f aca="false">IF(Estimates!H65="","",TEXT(Estimates!D65,"0.000")&amp;IF(Estimates!H65&lt;0.01,"***",IF(Estimates!H65&lt;0.05,"**",IF(Estimates!H65&lt;0.1,"*",""))))</f>
        <v>-0.570*</v>
      </c>
      <c r="D26" s="8" t="str">
        <f aca="false">IF(Estimates!H66="","",TEXT(Estimates!D66,"0.000")&amp;IF(Estimates!H66&lt;0.01,"***",IF(Estimates!H66&lt;0.05,"**",IF(Estimates!H66&lt;0.1,"*",""))))</f>
        <v>-0.652*</v>
      </c>
      <c r="F26" s="8" t="str">
        <f aca="false">IF(Estimates!H67="","",TEXT(Estimates!D67,"0.000")&amp;IF(Estimates!H67&lt;0.01,"***",IF(Estimates!H67&lt;0.05,"**",IF(Estimates!H67&lt;0.1,"*",""))))</f>
        <v>0.226</v>
      </c>
      <c r="G26" s="8" t="str">
        <f aca="false">IF(Estimates!H68="","",TEXT(Estimates!D68,"0.000")&amp;IF(Estimates!H68&lt;0.01,"***",IF(Estimates!H68&lt;0.05,"**",IF(Estimates!H68&lt;0.1,"*",""))))</f>
        <v>0.391</v>
      </c>
      <c r="H26" s="8" t="str">
        <f aca="false">IF(Estimates!H69="","",TEXT(Estimates!D69,"0.000")&amp;IF(Estimates!H69&lt;0.01,"***",IF(Estimates!H69&lt;0.05,"**",IF(Estimates!H69&lt;0.1,"*",""))))</f>
        <v>0.451*</v>
      </c>
    </row>
    <row r="27" customFormat="false" ht="15" hidden="false" customHeight="false" outlineLevel="0" collapsed="false">
      <c r="B27" s="8" t="str">
        <f aca="false">IF(Estimates!G64="","","("&amp;TEXT(Estimates!G64,"0.00")&amp;")")</f>
        <v>(-2.61)</v>
      </c>
      <c r="C27" s="8" t="str">
        <f aca="false">IF(Estimates!G65="","","("&amp;TEXT(Estimates!G65,"0.00")&amp;")")</f>
        <v>(-1.79)</v>
      </c>
      <c r="D27" s="8" t="str">
        <f aca="false">IF(Estimates!G66="","","("&amp;TEXT(Estimates!G66,"0.00")&amp;")")</f>
        <v>(-2.02)</v>
      </c>
      <c r="F27" s="8" t="str">
        <f aca="false">IF(Estimates!G67="","","("&amp;TEXT(Estimates!G67,"0.00")&amp;")")</f>
        <v>(0.98)</v>
      </c>
      <c r="G27" s="8" t="str">
        <f aca="false">IF(Estimates!G68="","","("&amp;TEXT(Estimates!G68,"0.00")&amp;")")</f>
        <v>(1.63)</v>
      </c>
      <c r="H27" s="8" t="str">
        <f aca="false">IF(Estimates!G69="","","("&amp;TEXT(Estimates!G69,"0.00")&amp;")")</f>
        <v>(1.74)</v>
      </c>
    </row>
    <row r="28" customFormat="false" ht="15" hidden="false" customHeight="false" outlineLevel="0" collapsed="false">
      <c r="A28" s="7" t="s">
        <v>18</v>
      </c>
      <c r="B28" s="8" t="str">
        <f aca="false">IF(Estimates!H70="","",TEXT(Estimates!D70,"0.000")&amp;IF(Estimates!H70&lt;0.01,"***",IF(Estimates!H70&lt;0.05,"**",IF(Estimates!H70&lt;0.1,"*",""))))</f>
        <v>-0.502**</v>
      </c>
      <c r="C28" s="8" t="str">
        <f aca="false">IF(Estimates!H71="","",TEXT(Estimates!D71,"0.000")&amp;IF(Estimates!H71&lt;0.01,"***",IF(Estimates!H71&lt;0.05,"**",IF(Estimates!H71&lt;0.1,"*",""))))</f>
        <v>-0.485</v>
      </c>
      <c r="D28" s="8" t="str">
        <f aca="false">IF(Estimates!H72="","",TEXT(Estimates!D72,"0.000")&amp;IF(Estimates!H72&lt;0.01,"***",IF(Estimates!H72&lt;0.05,"**",IF(Estimates!H72&lt;0.1,"*",""))))</f>
        <v>-0.562</v>
      </c>
      <c r="F28" s="8" t="str">
        <f aca="false">IF(Estimates!H73="","",TEXT(Estimates!D73,"0.000")&amp;IF(Estimates!H73&lt;0.01,"***",IF(Estimates!H73&lt;0.05,"**",IF(Estimates!H73&lt;0.1,"*",""))))</f>
        <v>-0.680***</v>
      </c>
      <c r="G28" s="8" t="str">
        <f aca="false">IF(Estimates!H74="","",TEXT(Estimates!D74,"0.000")&amp;IF(Estimates!H74&lt;0.01,"***",IF(Estimates!H74&lt;0.05,"**",IF(Estimates!H74&lt;0.1,"*",""))))</f>
        <v>-0.236</v>
      </c>
      <c r="H28" s="8" t="str">
        <f aca="false">IF(Estimates!H75="","",TEXT(Estimates!D75,"0.000")&amp;IF(Estimates!H75&lt;0.01,"***",IF(Estimates!H75&lt;0.05,"**",IF(Estimates!H75&lt;0.1,"*",""))))</f>
        <v>-0.315</v>
      </c>
    </row>
    <row r="29" customFormat="false" ht="15" hidden="false" customHeight="false" outlineLevel="0" collapsed="false">
      <c r="B29" s="8" t="str">
        <f aca="false">IF(Estimates!G70="","","("&amp;TEXT(Estimates!G70,"0.00")&amp;")")</f>
        <v>(-2.57)</v>
      </c>
      <c r="C29" s="8" t="str">
        <f aca="false">IF(Estimates!G71="","","("&amp;TEXT(Estimates!G71,"0.00")&amp;")")</f>
        <v>(-1.37)</v>
      </c>
      <c r="D29" s="8" t="str">
        <f aca="false">IF(Estimates!G72="","","("&amp;TEXT(Estimates!G72,"0.00")&amp;")")</f>
        <v>(-1.52)</v>
      </c>
      <c r="F29" s="8" t="str">
        <f aca="false">IF(Estimates!G73="","","("&amp;TEXT(Estimates!G73,"0.00")&amp;")")</f>
        <v>(-4.11)</v>
      </c>
      <c r="G29" s="8" t="str">
        <f aca="false">IF(Estimates!G74="","","("&amp;TEXT(Estimates!G74,"0.00")&amp;")")</f>
        <v>(-0.87)</v>
      </c>
      <c r="H29" s="8" t="str">
        <f aca="false">IF(Estimates!G75="","","("&amp;TEXT(Estimates!G75,"0.00")&amp;")")</f>
        <v>(-1.44)</v>
      </c>
    </row>
    <row r="30" customFormat="false" ht="15" hidden="false" customHeight="false" outlineLevel="0" collapsed="false">
      <c r="A30" s="7" t="s">
        <v>19</v>
      </c>
      <c r="B30" s="8" t="str">
        <f aca="false">IF(Estimates!H76="","",TEXT(Estimates!D76,"0.000")&amp;IF(Estimates!H76&lt;0.01,"***",IF(Estimates!H76&lt;0.05,"**",IF(Estimates!H76&lt;0.1,"*",""))))</f>
        <v>-1.208***</v>
      </c>
      <c r="C30" s="8" t="str">
        <f aca="false">IF(Estimates!H77="","",TEXT(Estimates!D77,"0.000")&amp;IF(Estimates!H77&lt;0.01,"***",IF(Estimates!H77&lt;0.05,"**",IF(Estimates!H77&lt;0.1,"*",""))))</f>
        <v>-0.536</v>
      </c>
      <c r="D30" s="8" t="str">
        <f aca="false">IF(Estimates!H78="","",TEXT(Estimates!D78,"0.000")&amp;IF(Estimates!H78&lt;0.01,"***",IF(Estimates!H78&lt;0.05,"**",IF(Estimates!H78&lt;0.1,"*",""))))</f>
        <v>-1.047**</v>
      </c>
      <c r="F30" s="8" t="str">
        <f aca="false">IF(Estimates!H79="","",TEXT(Estimates!D79,"0.000")&amp;IF(Estimates!H79&lt;0.01,"***",IF(Estimates!H79&lt;0.05,"**",IF(Estimates!H79&lt;0.1,"*",""))))</f>
        <v>-0.549**</v>
      </c>
      <c r="G30" s="8" t="str">
        <f aca="false">IF(Estimates!H80="","",TEXT(Estimates!D80,"0.000")&amp;IF(Estimates!H80&lt;0.01,"***",IF(Estimates!H80&lt;0.05,"**",IF(Estimates!H80&lt;0.1,"*",""))))</f>
        <v>-0.517</v>
      </c>
      <c r="H30" s="8" t="str">
        <f aca="false">IF(Estimates!H81="","",TEXT(Estimates!D81,"0.000")&amp;IF(Estimates!H81&lt;0.01,"***",IF(Estimates!H81&lt;0.05,"**",IF(Estimates!H81&lt;0.1,"*",""))))</f>
        <v>0.138</v>
      </c>
    </row>
    <row r="31" customFormat="false" ht="15" hidden="false" customHeight="false" outlineLevel="0" collapsed="false">
      <c r="B31" s="8" t="str">
        <f aca="false">IF(Estimates!G76="","","("&amp;TEXT(Estimates!G76,"0.00")&amp;")")</f>
        <v>(-5.25)</v>
      </c>
      <c r="C31" s="8" t="str">
        <f aca="false">IF(Estimates!G77="","","("&amp;TEXT(Estimates!G77,"0.00")&amp;")")</f>
        <v>(-1.36)</v>
      </c>
      <c r="D31" s="8" t="str">
        <f aca="false">IF(Estimates!G78="","","("&amp;TEXT(Estimates!G78,"0.00")&amp;")")</f>
        <v>(-2.29)</v>
      </c>
      <c r="F31" s="8" t="str">
        <f aca="false">IF(Estimates!G79="","","("&amp;TEXT(Estimates!G79,"0.00")&amp;")")</f>
        <v>(-2.80)</v>
      </c>
      <c r="G31" s="8" t="str">
        <f aca="false">IF(Estimates!G80="","","("&amp;TEXT(Estimates!G80,"0.00")&amp;")")</f>
        <v>(-1.52)</v>
      </c>
      <c r="H31" s="8" t="str">
        <f aca="false">IF(Estimates!G81="","","("&amp;TEXT(Estimates!G81,"0.00")&amp;")")</f>
        <v>(0.43)</v>
      </c>
    </row>
    <row r="32" customFormat="false" ht="15" hidden="false" customHeight="false" outlineLevel="0" collapsed="false">
      <c r="A32" s="7" t="s">
        <v>20</v>
      </c>
      <c r="B32" s="8" t="str">
        <f aca="false">IF(Estimates!H82="","",TEXT(Estimates!D82,"0.000")&amp;IF(Estimates!H82&lt;0.01,"***",IF(Estimates!H82&lt;0.05,"**",IF(Estimates!H82&lt;0.1,"*",""))))</f>
        <v>0.533</v>
      </c>
      <c r="C32" s="8" t="str">
        <f aca="false">IF(Estimates!H83="","",TEXT(Estimates!D83,"0.000")&amp;IF(Estimates!H83&lt;0.01,"***",IF(Estimates!H83&lt;0.05,"**",IF(Estimates!H83&lt;0.1,"*",""))))</f>
        <v>0.717</v>
      </c>
      <c r="D32" s="8" t="str">
        <f aca="false">IF(Estimates!H84="","",TEXT(Estimates!D84,"0.000")&amp;IF(Estimates!H84&lt;0.01,"***",IF(Estimates!H84&lt;0.05,"**",IF(Estimates!H84&lt;0.1,"*",""))))</f>
        <v>0.235</v>
      </c>
      <c r="F32" s="8" t="str">
        <f aca="false">IF(Estimates!H85="","",TEXT(Estimates!D85,"0.000")&amp;IF(Estimates!H85&lt;0.01,"***",IF(Estimates!H85&lt;0.05,"**",IF(Estimates!H85&lt;0.1,"*",""))))</f>
        <v>0.462</v>
      </c>
      <c r="G32" s="8" t="str">
        <f aca="false">IF(Estimates!H86="","",TEXT(Estimates!D86,"0.000")&amp;IF(Estimates!H86&lt;0.01,"***",IF(Estimates!H86&lt;0.05,"**",IF(Estimates!H86&lt;0.1,"*",""))))</f>
        <v>0.518</v>
      </c>
      <c r="H32" s="8" t="str">
        <f aca="false">IF(Estimates!H87="","",TEXT(Estimates!D87,"0.000")&amp;IF(Estimates!H87&lt;0.01,"***",IF(Estimates!H87&lt;0.05,"**",IF(Estimates!H87&lt;0.1,"*",""))))</f>
        <v>0.497</v>
      </c>
    </row>
    <row r="33" customFormat="false" ht="15" hidden="false" customHeight="false" outlineLevel="0" collapsed="false">
      <c r="B33" s="8" t="str">
        <f aca="false">IF(Estimates!G82="","","("&amp;TEXT(Estimates!G82,"0.00")&amp;")")</f>
        <v>(1.45)</v>
      </c>
      <c r="C33" s="8" t="str">
        <f aca="false">IF(Estimates!G83="","","("&amp;TEXT(Estimates!G83,"0.00")&amp;")")</f>
        <v>(1.08)</v>
      </c>
      <c r="D33" s="8" t="str">
        <f aca="false">IF(Estimates!G84="","","("&amp;TEXT(Estimates!G84,"0.00")&amp;")")</f>
        <v>(0.35)</v>
      </c>
      <c r="F33" s="8" t="str">
        <f aca="false">IF(Estimates!G85="","","("&amp;TEXT(Estimates!G85,"0.00")&amp;")")</f>
        <v>(1.04)</v>
      </c>
      <c r="G33" s="8" t="str">
        <f aca="false">IF(Estimates!G86="","","("&amp;TEXT(Estimates!G86,"0.00")&amp;")")</f>
        <v>(1.41)</v>
      </c>
      <c r="H33" s="8" t="str">
        <f aca="false">IF(Estimates!G87="","","("&amp;TEXT(Estimates!G87,"0.00")&amp;")")</f>
        <v>(0.96)</v>
      </c>
    </row>
    <row r="35" customFormat="false" ht="15" hidden="false" customHeight="false" outlineLevel="0" collapsed="false">
      <c r="A35" s="9" t="s">
        <v>21</v>
      </c>
      <c r="B35" s="10" t="str">
        <f aca="false">IF(Estimates!H88="","",TEXT(Estimates!D88,"0.000")&amp;IF(Estimates!H88&lt;0.01,"***",IF(Estimates!H88&lt;0.05,"**",IF(Estimates!H88&lt;0.1,"*",""))))</f>
        <v>-1.403***</v>
      </c>
      <c r="C35" s="10" t="str">
        <f aca="false">IF(Estimates!H89="","",TEXT(Estimates!D89,"0.000")&amp;IF(Estimates!H89&lt;0.01,"***",IF(Estimates!H89&lt;0.05,"**",IF(Estimates!H89&lt;0.1,"*",""))))</f>
        <v>-0.571*</v>
      </c>
      <c r="D35" s="10" t="str">
        <f aca="false">IF(Estimates!H90="","",TEXT(Estimates!D90,"0.000")&amp;IF(Estimates!H90&lt;0.01,"***",IF(Estimates!H90&lt;0.05,"**",IF(Estimates!H90&lt;0.1,"*",""))))</f>
        <v>-1.367***</v>
      </c>
      <c r="F35" s="10" t="str">
        <f aca="false">IF(Estimates!H91="","",TEXT(Estimates!D91,"0.000")&amp;IF(Estimates!H91&lt;0.01,"***",IF(Estimates!H91&lt;0.05,"**",IF(Estimates!H91&lt;0.1,"*",""))))</f>
        <v>-0.573***</v>
      </c>
      <c r="G35" s="10" t="str">
        <f aca="false">IF(Estimates!H92="","",TEXT(Estimates!D92,"0.000")&amp;IF(Estimates!H92&lt;0.01,"***",IF(Estimates!H92&lt;0.05,"**",IF(Estimates!H92&lt;0.1,"*",""))))</f>
        <v>0.083</v>
      </c>
      <c r="H35" s="10" t="str">
        <f aca="false">IF(Estimates!H93="","",TEXT(Estimates!D93,"0.000")&amp;IF(Estimates!H93&lt;0.01,"***",IF(Estimates!H93&lt;0.05,"**",IF(Estimates!H93&lt;0.1,"*",""))))</f>
        <v>-0.518*</v>
      </c>
    </row>
    <row r="36" customFormat="false" ht="15" hidden="false" customHeight="false" outlineLevel="0" collapsed="false">
      <c r="B36" s="10" t="str">
        <f aca="false">IF(Estimates!G88="","","("&amp;TEXT(Estimates!G88,"0.00")&amp;")")</f>
        <v>(-4.59)</v>
      </c>
      <c r="C36" s="10" t="str">
        <f aca="false">IF(Estimates!G89="","","("&amp;TEXT(Estimates!G89,"0.00")&amp;")")</f>
        <v>(-1.96)</v>
      </c>
      <c r="D36" s="10" t="str">
        <f aca="false">IF(Estimates!G90="","","("&amp;TEXT(Estimates!G90,"0.00")&amp;")")</f>
        <v>(-3.92)</v>
      </c>
      <c r="F36" s="10" t="str">
        <f aca="false">IF(Estimates!G91="","","("&amp;TEXT(Estimates!G91,"0.00")&amp;")")</f>
        <v>(-3.09)</v>
      </c>
      <c r="G36" s="10" t="str">
        <f aca="false">IF(Estimates!G92="","","("&amp;TEXT(Estimates!G92,"0.00")&amp;")")</f>
        <v>(0.25)</v>
      </c>
      <c r="H36" s="10" t="str">
        <f aca="false">IF(Estimates!G93="","","("&amp;TEXT(Estimates!G93,"0.00")&amp;")")</f>
        <v>(-1.79)</v>
      </c>
    </row>
    <row r="38" customFormat="false" ht="15" hidden="false" customHeight="false" outlineLevel="0" collapsed="false">
      <c r="A38" s="7" t="s">
        <v>22</v>
      </c>
      <c r="B38" s="11" t="n">
        <v>1.69095642059998E-005</v>
      </c>
      <c r="C38" s="11" t="n">
        <v>8.93812315349251E-005</v>
      </c>
      <c r="D38" s="11" t="n">
        <v>0.000128634337826361</v>
      </c>
      <c r="F38" s="11" t="n">
        <v>3.86011371829121E-007</v>
      </c>
      <c r="G38" s="11" t="n">
        <v>0.00535083121926142</v>
      </c>
      <c r="H38" s="11" t="n">
        <v>8.38298196049784E-008</v>
      </c>
    </row>
    <row r="39" customFormat="false" ht="15" hidden="false" customHeight="false" outlineLevel="0" collapsed="false">
      <c r="A39" s="7" t="s">
        <v>23</v>
      </c>
      <c r="B39" s="11" t="n">
        <v>2.42144062056176E-005</v>
      </c>
      <c r="C39" s="11" t="n">
        <v>5.42220741042345E-005</v>
      </c>
      <c r="D39" s="11" t="n">
        <v>0.00109195908539357</v>
      </c>
      <c r="F39" s="11" t="n">
        <v>0.000329060994315632</v>
      </c>
      <c r="G39" s="11" t="n">
        <v>0.00487948888592524</v>
      </c>
      <c r="H39" s="11" t="n">
        <v>0.00227736732953711</v>
      </c>
    </row>
    <row r="40" customFormat="false" ht="15" hidden="false" customHeight="false" outlineLevel="0" collapsed="false">
      <c r="A40" s="7" t="s">
        <v>24</v>
      </c>
      <c r="B40" s="11" t="n">
        <v>0.000589668442389465</v>
      </c>
      <c r="C40" s="11" t="n">
        <v>0.000320799312782705</v>
      </c>
      <c r="D40" s="11" t="n">
        <v>3.29247781628483E-005</v>
      </c>
      <c r="F40" s="11" t="n">
        <v>0.0476131724268708</v>
      </c>
      <c r="G40" s="11" t="n">
        <v>0.000104992326948394</v>
      </c>
      <c r="H40" s="11" t="n">
        <v>0.605888254977911</v>
      </c>
    </row>
    <row r="41" customFormat="false" ht="15" hidden="false" customHeight="false" outlineLevel="0" collapsed="false">
      <c r="A41" s="7" t="s">
        <v>25</v>
      </c>
      <c r="B41" s="11" t="n">
        <v>1.90067184471689E-005</v>
      </c>
      <c r="C41" s="11" t="n">
        <v>1.61050735010977E-005</v>
      </c>
      <c r="D41" s="11" t="n">
        <v>0.00174597302947277</v>
      </c>
      <c r="F41" s="11" t="n">
        <v>0.000911895289769615</v>
      </c>
      <c r="G41" s="11" t="n">
        <v>0.0027711467018885</v>
      </c>
      <c r="H41" s="11" t="n">
        <v>0.0215155278983808</v>
      </c>
    </row>
    <row r="42" customFormat="false" ht="15" hidden="false" customHeight="false" outlineLevel="0" collapsed="false">
      <c r="A42" s="7" t="s">
        <v>26</v>
      </c>
      <c r="B42" s="12" t="n">
        <v>1566</v>
      </c>
      <c r="C42" s="12" t="n">
        <v>1565</v>
      </c>
      <c r="D42" s="12" t="n">
        <v>1565</v>
      </c>
      <c r="F42" s="12" t="n">
        <v>1395</v>
      </c>
      <c r="G42" s="12" t="n">
        <v>1394</v>
      </c>
      <c r="H42" s="12" t="n">
        <v>1394</v>
      </c>
    </row>
    <row r="43" customFormat="false" ht="15" hidden="false" customHeight="false" outlineLevel="0" collapsed="false">
      <c r="A43" s="7" t="s">
        <v>27</v>
      </c>
      <c r="B43" s="13" t="n">
        <v>0.0726884565706323</v>
      </c>
      <c r="C43" s="13" t="n">
        <v>0.0780292182981721</v>
      </c>
      <c r="D43" s="13" t="n">
        <v>0.098563334223008</v>
      </c>
      <c r="F43" s="13" t="n">
        <v>0.13489277871234</v>
      </c>
      <c r="G43" s="13" t="n">
        <v>0.0307054803667041</v>
      </c>
      <c r="H43" s="13" t="n">
        <v>0.131680218458099</v>
      </c>
    </row>
    <row r="44" customFormat="false" ht="15" hidden="false" customHeight="false" outlineLevel="0" collapsed="false">
      <c r="A44" s="7" t="s">
        <v>5</v>
      </c>
      <c r="B44" s="14" t="s">
        <v>28</v>
      </c>
      <c r="C44" s="14" t="s">
        <v>29</v>
      </c>
      <c r="D44" s="14" t="s">
        <v>29</v>
      </c>
      <c r="F44" s="14" t="s">
        <v>28</v>
      </c>
      <c r="G44" s="14" t="s">
        <v>29</v>
      </c>
      <c r="H44" s="14" t="s">
        <v>29</v>
      </c>
    </row>
    <row r="45" customFormat="false" ht="15" hidden="false" customHeight="false" outlineLevel="0" collapsed="false">
      <c r="A45" s="15" t="s">
        <v>4</v>
      </c>
      <c r="B45" s="6" t="s">
        <v>29</v>
      </c>
      <c r="C45" s="6" t="s">
        <v>28</v>
      </c>
      <c r="D45" s="6" t="s">
        <v>29</v>
      </c>
      <c r="E45" s="5"/>
      <c r="F45" s="6" t="s">
        <v>29</v>
      </c>
      <c r="G45" s="6" t="s">
        <v>28</v>
      </c>
      <c r="H45" s="6" t="s">
        <v>29</v>
      </c>
    </row>
    <row r="47" customFormat="false" ht="30" hidden="false" customHeight="true" outlineLevel="0" collapsed="false">
      <c r="A47" s="16" t="s">
        <v>30</v>
      </c>
      <c r="B47" s="16"/>
      <c r="C47" s="16"/>
      <c r="D47" s="16"/>
      <c r="E47" s="16"/>
      <c r="F47" s="16"/>
      <c r="G47" s="16"/>
      <c r="H47" s="16"/>
    </row>
  </sheetData>
  <mergeCells count="4">
    <mergeCell ref="A2:H2"/>
    <mergeCell ref="B4:D4"/>
    <mergeCell ref="F4:H4"/>
    <mergeCell ref="A47:H4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16"/>
  </cols>
  <sheetData>
    <row r="1" customFormat="false" ht="15" hidden="false" customHeight="false" outlineLevel="0" collapsed="false">
      <c r="A1" s="9" t="s">
        <v>31</v>
      </c>
    </row>
    <row r="3" customFormat="false" ht="15" hidden="false" customHeight="false" outlineLevel="0" collapsed="false">
      <c r="A3" s="1" t="s">
        <v>32</v>
      </c>
      <c r="B3" s="1" t="s">
        <v>33</v>
      </c>
      <c r="C3" s="1" t="s">
        <v>34</v>
      </c>
      <c r="D3" s="1" t="s">
        <v>35</v>
      </c>
      <c r="E3" s="1" t="s">
        <v>36</v>
      </c>
      <c r="F3" s="1" t="s">
        <v>37</v>
      </c>
      <c r="G3" s="1" t="s">
        <v>38</v>
      </c>
      <c r="H3" s="1" t="s">
        <v>39</v>
      </c>
    </row>
    <row r="4" customFormat="false" ht="15" hidden="false" customHeight="false" outlineLevel="0" collapsed="false">
      <c r="A4" s="7" t="s">
        <v>2</v>
      </c>
      <c r="B4" s="7" t="s">
        <v>4</v>
      </c>
      <c r="C4" s="7" t="s">
        <v>40</v>
      </c>
      <c r="D4" s="17" t="n">
        <v>-0.844969845902194</v>
      </c>
      <c r="E4" s="17" t="n">
        <v>0.172689783730239</v>
      </c>
      <c r="F4" s="18" t="n">
        <v>19</v>
      </c>
      <c r="G4" s="19" t="n">
        <f aca="false">IF(E4&gt;0,D4/E4,"")</f>
        <v>-4.89299266957293</v>
      </c>
      <c r="H4" s="19" t="n">
        <f aca="false">IF(G4="","",TDIST(ABS(G4),F4-1,2))</f>
        <v>0.000117100363965507</v>
      </c>
    </row>
    <row r="5" customFormat="false" ht="15" hidden="false" customHeight="false" outlineLevel="0" collapsed="false">
      <c r="A5" s="7" t="s">
        <v>2</v>
      </c>
      <c r="B5" s="7" t="s">
        <v>5</v>
      </c>
      <c r="C5" s="7" t="s">
        <v>40</v>
      </c>
      <c r="D5" s="17" t="n">
        <v>-0.504299190247159</v>
      </c>
      <c r="E5" s="17" t="n">
        <v>0.310385433891586</v>
      </c>
      <c r="F5" s="18" t="n">
        <v>19</v>
      </c>
      <c r="G5" s="19" t="n">
        <f aca="false">IF(E5&gt;0,D5/E5,"")</f>
        <v>-1.62475147085448</v>
      </c>
      <c r="H5" s="19" t="n">
        <f aca="false">IF(G5="","",TDIST(ABS(G5),F5-1,2))</f>
        <v>0.121596535692986</v>
      </c>
    </row>
    <row r="6" customFormat="false" ht="15" hidden="false" customHeight="false" outlineLevel="0" collapsed="false">
      <c r="A6" s="7" t="s">
        <v>2</v>
      </c>
      <c r="B6" s="7" t="s">
        <v>6</v>
      </c>
      <c r="C6" s="7" t="s">
        <v>40</v>
      </c>
      <c r="D6" s="17" t="n">
        <v>-0.678069255357055</v>
      </c>
      <c r="E6" s="17" t="n">
        <v>0.310428572618246</v>
      </c>
      <c r="F6" s="18" t="n">
        <v>19</v>
      </c>
      <c r="G6" s="19" t="n">
        <f aca="false">IF(E6&gt;0,D6/E6,"")</f>
        <v>-2.18430040005023</v>
      </c>
      <c r="H6" s="19" t="n">
        <f aca="false">IF(G6="","",TDIST(ABS(G6),F6-1,2))</f>
        <v>0.0424133188780691</v>
      </c>
    </row>
    <row r="7" customFormat="false" ht="15" hidden="false" customHeight="false" outlineLevel="0" collapsed="false">
      <c r="A7" s="7" t="s">
        <v>3</v>
      </c>
      <c r="B7" s="7" t="s">
        <v>4</v>
      </c>
      <c r="C7" s="7" t="s">
        <v>40</v>
      </c>
      <c r="D7" s="17" t="n">
        <v>-0.805333729996592</v>
      </c>
      <c r="E7" s="17" t="n">
        <v>0.0950127105731509</v>
      </c>
      <c r="F7" s="18" t="n">
        <v>19</v>
      </c>
      <c r="G7" s="19" t="n">
        <f aca="false">IF(E7&gt;0,D7/E7,"")</f>
        <v>-8.47606309870047</v>
      </c>
      <c r="H7" s="19" t="n">
        <f aca="false">IF(G7="","",TDIST(ABS(G7),F7-1,2))</f>
        <v>1.06560171009653E-007</v>
      </c>
    </row>
    <row r="8" customFormat="false" ht="15" hidden="false" customHeight="false" outlineLevel="0" collapsed="false">
      <c r="A8" s="7" t="s">
        <v>3</v>
      </c>
      <c r="B8" s="7" t="s">
        <v>5</v>
      </c>
      <c r="C8" s="7" t="s">
        <v>40</v>
      </c>
      <c r="D8" s="17" t="n">
        <v>-0.591262200374383</v>
      </c>
      <c r="E8" s="17" t="n">
        <v>0.279720600735482</v>
      </c>
      <c r="F8" s="18" t="n">
        <v>19</v>
      </c>
      <c r="G8" s="19" t="n">
        <f aca="false">IF(E8&gt;0,D8/E8,"")</f>
        <v>-2.11375994052548</v>
      </c>
      <c r="H8" s="19" t="n">
        <f aca="false">IF(G8="","",TDIST(ABS(G8),F8-1,2))</f>
        <v>0.0487565679839002</v>
      </c>
    </row>
    <row r="9" customFormat="false" ht="15" hidden="false" customHeight="false" outlineLevel="0" collapsed="false">
      <c r="A9" s="7" t="s">
        <v>3</v>
      </c>
      <c r="B9" s="7" t="s">
        <v>6</v>
      </c>
      <c r="C9" s="7" t="s">
        <v>40</v>
      </c>
      <c r="D9" s="17" t="n">
        <v>-0.692034363558593</v>
      </c>
      <c r="E9" s="17" t="n">
        <v>0.141080056375228</v>
      </c>
      <c r="F9" s="18" t="n">
        <v>19</v>
      </c>
      <c r="G9" s="19" t="n">
        <f aca="false">IF(E9&gt;0,D9/E9,"")</f>
        <v>-4.90526004411283</v>
      </c>
      <c r="H9" s="19" t="n">
        <f aca="false">IF(G9="","",TDIST(ABS(G9),F9-1,2))</f>
        <v>0.000114018910315694</v>
      </c>
    </row>
    <row r="10" customFormat="false" ht="15" hidden="false" customHeight="false" outlineLevel="0" collapsed="false">
      <c r="A10" s="7" t="s">
        <v>2</v>
      </c>
      <c r="B10" s="7" t="s">
        <v>4</v>
      </c>
      <c r="C10" s="7" t="s">
        <v>41</v>
      </c>
      <c r="D10" s="17" t="n">
        <v>-0.709858597983828</v>
      </c>
      <c r="E10" s="17" t="n">
        <v>0.263099448118509</v>
      </c>
      <c r="F10" s="18" t="n">
        <v>19</v>
      </c>
      <c r="G10" s="19" t="n">
        <f aca="false">IF(E10&gt;0,D10/E10,"")</f>
        <v>-2.6980619041971</v>
      </c>
      <c r="H10" s="19" t="n">
        <f aca="false">IF(G10="","",TDIST(ABS(G10),F10-1,2))</f>
        <v>0.01471208905699</v>
      </c>
    </row>
    <row r="11" customFormat="false" ht="15" hidden="false" customHeight="false" outlineLevel="0" collapsed="false">
      <c r="A11" s="7" t="s">
        <v>2</v>
      </c>
      <c r="B11" s="7" t="s">
        <v>5</v>
      </c>
      <c r="C11" s="7" t="s">
        <v>41</v>
      </c>
      <c r="D11" s="17" t="n">
        <v>-0.66938891578787</v>
      </c>
      <c r="E11" s="17" t="n">
        <v>0.37887218799956</v>
      </c>
      <c r="F11" s="18" t="n">
        <v>19</v>
      </c>
      <c r="G11" s="19" t="n">
        <f aca="false">IF(E11&gt;0,D11/E11,"")</f>
        <v>-1.76679349128854</v>
      </c>
      <c r="H11" s="19" t="n">
        <f aca="false">IF(G11="","",TDIST(ABS(G11),F11-1,2))</f>
        <v>0.0942144796636705</v>
      </c>
    </row>
    <row r="12" customFormat="false" ht="15" hidden="false" customHeight="false" outlineLevel="0" collapsed="false">
      <c r="A12" s="7" t="s">
        <v>2</v>
      </c>
      <c r="B12" s="7" t="s">
        <v>6</v>
      </c>
      <c r="C12" s="7" t="s">
        <v>41</v>
      </c>
      <c r="D12" s="17" t="n">
        <v>-0.796153325525416</v>
      </c>
      <c r="E12" s="17" t="n">
        <v>0.378063949202553</v>
      </c>
      <c r="F12" s="18" t="n">
        <v>19</v>
      </c>
      <c r="G12" s="19" t="n">
        <f aca="false">IF(E12&gt;0,D12/E12,"")</f>
        <v>-2.10586946257303</v>
      </c>
      <c r="H12" s="19" t="n">
        <f aca="false">IF(G12="","",TDIST(ABS(G12),F12-1,2))</f>
        <v>0.049517435257805</v>
      </c>
    </row>
    <row r="13" customFormat="false" ht="15" hidden="false" customHeight="false" outlineLevel="0" collapsed="false">
      <c r="A13" s="7" t="s">
        <v>3</v>
      </c>
      <c r="B13" s="7" t="s">
        <v>4</v>
      </c>
      <c r="C13" s="7" t="s">
        <v>41</v>
      </c>
      <c r="D13" s="17" t="n">
        <v>-0.597224574054586</v>
      </c>
      <c r="E13" s="17" t="n">
        <v>0.217680186374134</v>
      </c>
      <c r="F13" s="18" t="n">
        <v>19</v>
      </c>
      <c r="G13" s="19" t="n">
        <f aca="false">IF(E13&gt;0,D13/E13,"")</f>
        <v>-2.74358720470827</v>
      </c>
      <c r="H13" s="19" t="n">
        <f aca="false">IF(G13="","",TDIST(ABS(G13),F13-1,2))</f>
        <v>0.0133537524673503</v>
      </c>
    </row>
    <row r="14" customFormat="false" ht="15" hidden="false" customHeight="false" outlineLevel="0" collapsed="false">
      <c r="A14" s="7" t="s">
        <v>3</v>
      </c>
      <c r="B14" s="7" t="s">
        <v>5</v>
      </c>
      <c r="C14" s="7" t="s">
        <v>41</v>
      </c>
      <c r="D14" s="17" t="n">
        <v>-0.0896084238742746</v>
      </c>
      <c r="E14" s="17" t="n">
        <v>0.393393723157434</v>
      </c>
      <c r="F14" s="18" t="n">
        <v>19</v>
      </c>
      <c r="G14" s="19" t="n">
        <f aca="false">IF(E14&gt;0,D14/E14,"")</f>
        <v>-0.227783054480546</v>
      </c>
      <c r="H14" s="19" t="n">
        <f aca="false">IF(G14="","",TDIST(ABS(G14),F14-1,2))</f>
        <v>0.822382267657799</v>
      </c>
    </row>
    <row r="15" customFormat="false" ht="15" hidden="false" customHeight="false" outlineLevel="0" collapsed="false">
      <c r="A15" s="7" t="s">
        <v>3</v>
      </c>
      <c r="B15" s="7" t="s">
        <v>6</v>
      </c>
      <c r="C15" s="7" t="s">
        <v>41</v>
      </c>
      <c r="D15" s="17" t="n">
        <v>-0.511537557325122</v>
      </c>
      <c r="E15" s="17" t="n">
        <v>0.303572907075519</v>
      </c>
      <c r="F15" s="18" t="n">
        <v>19</v>
      </c>
      <c r="G15" s="19" t="n">
        <f aca="false">IF(E15&gt;0,D15/E15,"")</f>
        <v>-1.68505668787455</v>
      </c>
      <c r="H15" s="19" t="n">
        <f aca="false">IF(G15="","",TDIST(ABS(G15),F15-1,2))</f>
        <v>0.109236041708969</v>
      </c>
    </row>
    <row r="16" customFormat="false" ht="15" hidden="false" customHeight="false" outlineLevel="0" collapsed="false">
      <c r="A16" s="7" t="s">
        <v>2</v>
      </c>
      <c r="B16" s="7" t="s">
        <v>4</v>
      </c>
      <c r="C16" s="7" t="s">
        <v>42</v>
      </c>
      <c r="D16" s="17" t="n">
        <v>-1.84596660546656</v>
      </c>
      <c r="E16" s="17" t="n">
        <v>0.350105380742587</v>
      </c>
      <c r="F16" s="18" t="n">
        <v>19</v>
      </c>
      <c r="G16" s="19" t="n">
        <f aca="false">IF(E16&gt;0,D16/E16,"")</f>
        <v>-5.27260278477068</v>
      </c>
      <c r="H16" s="19" t="n">
        <f aca="false">IF(G16="","",TDIST(ABS(G16),F16-1,2))</f>
        <v>5.1660623383535E-005</v>
      </c>
    </row>
    <row r="17" customFormat="false" ht="15" hidden="false" customHeight="false" outlineLevel="0" collapsed="false">
      <c r="A17" s="7" t="s">
        <v>2</v>
      </c>
      <c r="B17" s="7" t="s">
        <v>5</v>
      </c>
      <c r="C17" s="7" t="s">
        <v>42</v>
      </c>
      <c r="D17" s="17" t="n">
        <v>-1.40089960605006</v>
      </c>
      <c r="E17" s="17" t="n">
        <v>0.409236881989856</v>
      </c>
      <c r="F17" s="18" t="n">
        <v>19</v>
      </c>
      <c r="G17" s="19" t="n">
        <f aca="false">IF(E17&gt;0,D17/E17,"")</f>
        <v>-3.42319978404288</v>
      </c>
      <c r="H17" s="19" t="n">
        <f aca="false">IF(G17="","",TDIST(ABS(G17),F17-1,2))</f>
        <v>0.00303161840425237</v>
      </c>
    </row>
    <row r="18" customFormat="false" ht="15" hidden="false" customHeight="false" outlineLevel="0" collapsed="false">
      <c r="A18" s="7" t="s">
        <v>2</v>
      </c>
      <c r="B18" s="7" t="s">
        <v>6</v>
      </c>
      <c r="C18" s="7" t="s">
        <v>42</v>
      </c>
      <c r="D18" s="17" t="n">
        <v>-1.98729381979983</v>
      </c>
      <c r="E18" s="17" t="n">
        <v>0.45697610218182</v>
      </c>
      <c r="F18" s="18" t="n">
        <v>19</v>
      </c>
      <c r="G18" s="19" t="n">
        <f aca="false">IF(E18&gt;0,D18/E18,"")</f>
        <v>-4.34879156768058</v>
      </c>
      <c r="H18" s="19" t="n">
        <f aca="false">IF(G18="","",TDIST(ABS(G18),F18-1,2))</f>
        <v>0.000386920897731875</v>
      </c>
    </row>
    <row r="19" customFormat="false" ht="15" hidden="false" customHeight="false" outlineLevel="0" collapsed="false">
      <c r="A19" s="7" t="s">
        <v>3</v>
      </c>
      <c r="B19" s="7" t="s">
        <v>4</v>
      </c>
      <c r="C19" s="7" t="s">
        <v>42</v>
      </c>
      <c r="D19" s="17" t="n">
        <v>-0.718901504292285</v>
      </c>
      <c r="E19" s="17" t="n">
        <v>0.226159716898326</v>
      </c>
      <c r="F19" s="18" t="n">
        <v>19</v>
      </c>
      <c r="G19" s="19" t="n">
        <f aca="false">IF(E19&gt;0,D19/E19,"")</f>
        <v>-3.17873365845908</v>
      </c>
      <c r="H19" s="19" t="n">
        <f aca="false">IF(G19="","",TDIST(ABS(G19),F19-1,2))</f>
        <v>0.00519987448662959</v>
      </c>
    </row>
    <row r="20" customFormat="false" ht="15" hidden="false" customHeight="false" outlineLevel="0" collapsed="false">
      <c r="A20" s="7" t="s">
        <v>3</v>
      </c>
      <c r="B20" s="7" t="s">
        <v>5</v>
      </c>
      <c r="C20" s="7" t="s">
        <v>42</v>
      </c>
      <c r="D20" s="17" t="n">
        <v>0.224091204373044</v>
      </c>
      <c r="E20" s="17" t="n">
        <v>0.326464883919058</v>
      </c>
      <c r="F20" s="18" t="n">
        <v>19</v>
      </c>
      <c r="G20" s="19" t="n">
        <f aca="false">IF(E20&gt;0,D20/E20,"")</f>
        <v>0.686417484425687</v>
      </c>
      <c r="H20" s="19" t="n">
        <f aca="false">IF(G20="","",TDIST(ABS(G20),F20-1,2))</f>
        <v>0.501197345591017</v>
      </c>
    </row>
    <row r="21" customFormat="false" ht="15" hidden="false" customHeight="false" outlineLevel="0" collapsed="false">
      <c r="A21" s="7" t="s">
        <v>3</v>
      </c>
      <c r="B21" s="7" t="s">
        <v>6</v>
      </c>
      <c r="C21" s="7" t="s">
        <v>42</v>
      </c>
      <c r="D21" s="17" t="n">
        <v>-0.514049863429902</v>
      </c>
      <c r="E21" s="17" t="n">
        <v>0.308154513650727</v>
      </c>
      <c r="F21" s="18" t="n">
        <v>19</v>
      </c>
      <c r="G21" s="19" t="n">
        <f aca="false">IF(E21&gt;0,D21/E21,"")</f>
        <v>-1.66815620300322</v>
      </c>
      <c r="H21" s="19" t="n">
        <f aca="false">IF(G21="","",TDIST(ABS(G21),F21-1,2))</f>
        <v>0.112586645520253</v>
      </c>
    </row>
    <row r="22" customFormat="false" ht="15" hidden="false" customHeight="false" outlineLevel="0" collapsed="false">
      <c r="A22" s="7" t="s">
        <v>2</v>
      </c>
      <c r="B22" s="7" t="s">
        <v>4</v>
      </c>
      <c r="C22" s="7" t="s">
        <v>43</v>
      </c>
      <c r="D22" s="17" t="n">
        <v>-2.0664109355072</v>
      </c>
      <c r="E22" s="17" t="n">
        <v>0.352500117132081</v>
      </c>
      <c r="F22" s="18" t="n">
        <v>19</v>
      </c>
      <c r="G22" s="19" t="n">
        <f aca="false">IF(E22&gt;0,D22/E22,"")</f>
        <v>-5.86215673435627</v>
      </c>
      <c r="H22" s="19" t="n">
        <f aca="false">IF(G22="","",TDIST(ABS(G22),F22-1,2))</f>
        <v>1.49643239123721E-005</v>
      </c>
    </row>
    <row r="23" customFormat="false" ht="15" hidden="false" customHeight="false" outlineLevel="0" collapsed="false">
      <c r="A23" s="7" t="s">
        <v>2</v>
      </c>
      <c r="B23" s="7" t="s">
        <v>5</v>
      </c>
      <c r="C23" s="7" t="s">
        <v>43</v>
      </c>
      <c r="D23" s="17" t="n">
        <v>-1.90485139792402</v>
      </c>
      <c r="E23" s="17" t="n">
        <v>0.412360812423087</v>
      </c>
      <c r="F23" s="18" t="n">
        <v>19</v>
      </c>
      <c r="G23" s="19" t="n">
        <f aca="false">IF(E23&gt;0,D23/E23,"")</f>
        <v>-4.61938026247175</v>
      </c>
      <c r="H23" s="19" t="n">
        <f aca="false">IF(G23="","",TDIST(ABS(G23),F23-1,2))</f>
        <v>0.000212980667481042</v>
      </c>
    </row>
    <row r="24" customFormat="false" ht="15" hidden="false" customHeight="false" outlineLevel="0" collapsed="false">
      <c r="A24" s="7" t="s">
        <v>2</v>
      </c>
      <c r="B24" s="7" t="s">
        <v>6</v>
      </c>
      <c r="C24" s="7" t="s">
        <v>43</v>
      </c>
      <c r="D24" s="17" t="n">
        <v>-2.40158937828058</v>
      </c>
      <c r="E24" s="17" t="n">
        <v>0.467108830642626</v>
      </c>
      <c r="F24" s="18" t="n">
        <v>19</v>
      </c>
      <c r="G24" s="19" t="n">
        <f aca="false">IF(E24&gt;0,D24/E24,"")</f>
        <v>-5.14139151464251</v>
      </c>
      <c r="H24" s="19" t="n">
        <f aca="false">IF(G24="","",TDIST(ABS(G24),F24-1,2))</f>
        <v>6.84349586846547E-005</v>
      </c>
    </row>
    <row r="25" customFormat="false" ht="15" hidden="false" customHeight="false" outlineLevel="0" collapsed="false">
      <c r="A25" s="7" t="s">
        <v>3</v>
      </c>
      <c r="B25" s="7" t="s">
        <v>4</v>
      </c>
      <c r="C25" s="7" t="s">
        <v>43</v>
      </c>
      <c r="D25" s="17" t="n">
        <v>-1.33771468795008</v>
      </c>
      <c r="E25" s="17" t="n">
        <v>0.222788412081515</v>
      </c>
      <c r="F25" s="18" t="n">
        <v>19</v>
      </c>
      <c r="G25" s="19" t="n">
        <f aca="false">IF(E25&gt;0,D25/E25,"")</f>
        <v>-6.00441771388285</v>
      </c>
      <c r="H25" s="19" t="n">
        <f aca="false">IF(G25="","",TDIST(ABS(G25),F25-1,2))</f>
        <v>1.11684787083276E-005</v>
      </c>
    </row>
    <row r="26" customFormat="false" ht="15" hidden="false" customHeight="false" outlineLevel="0" collapsed="false">
      <c r="A26" s="7" t="s">
        <v>3</v>
      </c>
      <c r="B26" s="7" t="s">
        <v>5</v>
      </c>
      <c r="C26" s="7" t="s">
        <v>43</v>
      </c>
      <c r="D26" s="17" t="n">
        <v>-0.722109830892526</v>
      </c>
      <c r="E26" s="17" t="n">
        <v>0.306580589949023</v>
      </c>
      <c r="F26" s="18" t="n">
        <v>19</v>
      </c>
      <c r="G26" s="19" t="n">
        <f aca="false">IF(E26&gt;0,D26/E26,"")</f>
        <v>-2.35536708639185</v>
      </c>
      <c r="H26" s="19" t="n">
        <f aca="false">IF(G26="","",TDIST(ABS(G26),F26-1,2))</f>
        <v>0.0300497958036116</v>
      </c>
    </row>
    <row r="27" customFormat="false" ht="15" hidden="false" customHeight="false" outlineLevel="0" collapsed="false">
      <c r="A27" s="7" t="s">
        <v>3</v>
      </c>
      <c r="B27" s="7" t="s">
        <v>6</v>
      </c>
      <c r="C27" s="7" t="s">
        <v>43</v>
      </c>
      <c r="D27" s="17" t="n">
        <v>-1.2250678440684</v>
      </c>
      <c r="E27" s="17" t="n">
        <v>0.275062773590619</v>
      </c>
      <c r="F27" s="18" t="n">
        <v>19</v>
      </c>
      <c r="G27" s="19" t="n">
        <f aca="false">IF(E27&gt;0,D27/E27,"")</f>
        <v>-4.45377550759266</v>
      </c>
      <c r="H27" s="19" t="n">
        <f aca="false">IF(G27="","",TDIST(ABS(G27),F27-1,2))</f>
        <v>0.000306750833412346</v>
      </c>
    </row>
    <row r="28" customFormat="false" ht="15" hidden="false" customHeight="false" outlineLevel="0" collapsed="false">
      <c r="A28" s="7" t="s">
        <v>2</v>
      </c>
      <c r="B28" s="7" t="s">
        <v>4</v>
      </c>
      <c r="C28" s="7" t="s">
        <v>44</v>
      </c>
      <c r="D28" s="17" t="n">
        <v>-0.526327768398134</v>
      </c>
      <c r="E28" s="17" t="n">
        <v>0.323912181383242</v>
      </c>
      <c r="F28" s="18" t="n">
        <v>19</v>
      </c>
      <c r="G28" s="19" t="n">
        <f aca="false">IF(E28&gt;0,D28/E28,"")</f>
        <v>-1.62490884458402</v>
      </c>
      <c r="H28" s="19" t="n">
        <f aca="false">IF(G28="","",TDIST(ABS(G28),F28-1,2))</f>
        <v>0.121562793318748</v>
      </c>
    </row>
    <row r="29" customFormat="false" ht="15" hidden="false" customHeight="false" outlineLevel="0" collapsed="false">
      <c r="A29" s="7" t="s">
        <v>2</v>
      </c>
      <c r="B29" s="7" t="s">
        <v>5</v>
      </c>
      <c r="C29" s="7" t="s">
        <v>44</v>
      </c>
      <c r="D29" s="17" t="n">
        <v>-1.03808055434168</v>
      </c>
      <c r="E29" s="17" t="n">
        <v>0.40651823043902</v>
      </c>
      <c r="F29" s="18" t="n">
        <v>19</v>
      </c>
      <c r="G29" s="19" t="n">
        <f aca="false">IF(E29&gt;0,D29/E29,"")</f>
        <v>-2.55358917906486</v>
      </c>
      <c r="H29" s="19" t="n">
        <f aca="false">IF(G29="","",TDIST(ABS(G29),F29-1,2))</f>
        <v>0.0199494686086664</v>
      </c>
    </row>
    <row r="30" customFormat="false" ht="15" hidden="false" customHeight="false" outlineLevel="0" collapsed="false">
      <c r="A30" s="7" t="s">
        <v>2</v>
      </c>
      <c r="B30" s="7" t="s">
        <v>6</v>
      </c>
      <c r="C30" s="7" t="s">
        <v>44</v>
      </c>
      <c r="D30" s="17" t="n">
        <v>-0.929732790432214</v>
      </c>
      <c r="E30" s="17" t="n">
        <v>0.475094207873145</v>
      </c>
      <c r="F30" s="18" t="n">
        <v>19</v>
      </c>
      <c r="G30" s="19" t="n">
        <f aca="false">IF(E30&gt;0,D30/E30,"")</f>
        <v>-1.95694406503997</v>
      </c>
      <c r="H30" s="19" t="n">
        <f aca="false">IF(G30="","",TDIST(ABS(G30),F30-1,2))</f>
        <v>0.0660477276231192</v>
      </c>
    </row>
    <row r="31" customFormat="false" ht="15" hidden="false" customHeight="false" outlineLevel="0" collapsed="false">
      <c r="A31" s="7" t="s">
        <v>3</v>
      </c>
      <c r="B31" s="7" t="s">
        <v>4</v>
      </c>
      <c r="C31" s="7" t="s">
        <v>44</v>
      </c>
      <c r="D31" s="17" t="n">
        <v>-0.189495845205483</v>
      </c>
      <c r="E31" s="17" t="n">
        <v>0.221348642021253</v>
      </c>
      <c r="F31" s="18" t="n">
        <v>19</v>
      </c>
      <c r="G31" s="19" t="n">
        <f aca="false">IF(E31&gt;0,D31/E31,"")</f>
        <v>-0.856096714554445</v>
      </c>
      <c r="H31" s="19" t="n">
        <f aca="false">IF(G31="","",TDIST(ABS(G31),F31-1,2))</f>
        <v>0.403197330058856</v>
      </c>
    </row>
    <row r="32" customFormat="false" ht="15" hidden="false" customHeight="false" outlineLevel="0" collapsed="false">
      <c r="A32" s="7" t="s">
        <v>3</v>
      </c>
      <c r="B32" s="7" t="s">
        <v>5</v>
      </c>
      <c r="C32" s="7" t="s">
        <v>44</v>
      </c>
      <c r="D32" s="17" t="n">
        <v>-0.710362785044212</v>
      </c>
      <c r="E32" s="17" t="n">
        <v>0.352500047186841</v>
      </c>
      <c r="F32" s="18" t="n">
        <v>19</v>
      </c>
      <c r="G32" s="19" t="n">
        <f aca="false">IF(E32&gt;0,D32/E32,"")</f>
        <v>-2.01521330483025</v>
      </c>
      <c r="H32" s="19" t="n">
        <f aca="false">IF(G32="","",TDIST(ABS(G32),F32-1,2))</f>
        <v>0.0590655426917996</v>
      </c>
    </row>
    <row r="33" customFormat="false" ht="15" hidden="false" customHeight="false" outlineLevel="0" collapsed="false">
      <c r="A33" s="7" t="s">
        <v>3</v>
      </c>
      <c r="B33" s="7" t="s">
        <v>6</v>
      </c>
      <c r="C33" s="7" t="s">
        <v>44</v>
      </c>
      <c r="D33" s="17" t="n">
        <v>-0.0751019071842397</v>
      </c>
      <c r="E33" s="17" t="n">
        <v>0.33565905573666</v>
      </c>
      <c r="F33" s="18" t="n">
        <v>19</v>
      </c>
      <c r="G33" s="19" t="n">
        <f aca="false">IF(E33&gt;0,D33/E33,"")</f>
        <v>-0.223744617941012</v>
      </c>
      <c r="H33" s="19" t="n">
        <f aca="false">IF(G33="","",TDIST(ABS(G33),F33-1,2))</f>
        <v>0.825475824068572</v>
      </c>
    </row>
    <row r="34" customFormat="false" ht="15" hidden="false" customHeight="false" outlineLevel="0" collapsed="false">
      <c r="A34" s="7" t="s">
        <v>2</v>
      </c>
      <c r="B34" s="7" t="s">
        <v>4</v>
      </c>
      <c r="C34" s="7" t="s">
        <v>45</v>
      </c>
      <c r="D34" s="17" t="n">
        <v>1.15985610662936</v>
      </c>
      <c r="E34" s="17" t="n">
        <v>0.29044926453526</v>
      </c>
      <c r="F34" s="18" t="n">
        <v>19</v>
      </c>
      <c r="G34" s="19" t="n">
        <f aca="false">IF(E34&gt;0,D34/E34,"")</f>
        <v>3.99331741633161</v>
      </c>
      <c r="H34" s="19" t="n">
        <f aca="false">IF(G34="","",TDIST(ABS(G34),F34-1,2))</f>
        <v>0.00085242269869226</v>
      </c>
    </row>
    <row r="35" customFormat="false" ht="15" hidden="false" customHeight="false" outlineLevel="0" collapsed="false">
      <c r="A35" s="7" t="s">
        <v>2</v>
      </c>
      <c r="B35" s="7" t="s">
        <v>5</v>
      </c>
      <c r="C35" s="7" t="s">
        <v>45</v>
      </c>
      <c r="D35" s="17" t="n">
        <v>-0.147818138271888</v>
      </c>
      <c r="E35" s="17" t="n">
        <v>0.464363988173988</v>
      </c>
      <c r="F35" s="18" t="n">
        <v>19</v>
      </c>
      <c r="G35" s="19" t="n">
        <f aca="false">IF(E35&gt;0,D35/E35,"")</f>
        <v>-0.318323862393274</v>
      </c>
      <c r="H35" s="19" t="n">
        <f aca="false">IF(G35="","",TDIST(ABS(G35),F35-1,2))</f>
        <v>0.753903019356097</v>
      </c>
    </row>
    <row r="36" customFormat="false" ht="15" hidden="false" customHeight="false" outlineLevel="0" collapsed="false">
      <c r="A36" s="7" t="s">
        <v>2</v>
      </c>
      <c r="B36" s="7" t="s">
        <v>6</v>
      </c>
      <c r="C36" s="7" t="s">
        <v>45</v>
      </c>
      <c r="D36" s="17" t="n">
        <v>0.853497547605445</v>
      </c>
      <c r="E36" s="17" t="n">
        <v>0.491201826418037</v>
      </c>
      <c r="F36" s="18" t="n">
        <v>19</v>
      </c>
      <c r="G36" s="19" t="n">
        <f aca="false">IF(E36&gt;0,D36/E36,"")</f>
        <v>1.73756997979702</v>
      </c>
      <c r="H36" s="19" t="n">
        <f aca="false">IF(G36="","",TDIST(ABS(G36),F36-1,2))</f>
        <v>0.0993658233023838</v>
      </c>
    </row>
    <row r="37" customFormat="false" ht="15" hidden="false" customHeight="false" outlineLevel="0" collapsed="false">
      <c r="A37" s="7" t="s">
        <v>3</v>
      </c>
      <c r="B37" s="7" t="s">
        <v>4</v>
      </c>
      <c r="C37" s="7" t="s">
        <v>45</v>
      </c>
      <c r="D37" s="17" t="n">
        <v>0.34204660227345</v>
      </c>
      <c r="E37" s="17" t="n">
        <v>0.251901929463854</v>
      </c>
      <c r="F37" s="18" t="n">
        <v>19</v>
      </c>
      <c r="G37" s="19" t="n">
        <f aca="false">IF(E37&gt;0,D37/E37,"")</f>
        <v>1.35785622206809</v>
      </c>
      <c r="H37" s="19" t="n">
        <f aca="false">IF(G37="","",TDIST(ABS(G37),F37-1,2))</f>
        <v>0.191288608612027</v>
      </c>
    </row>
    <row r="38" customFormat="false" ht="15" hidden="false" customHeight="false" outlineLevel="0" collapsed="false">
      <c r="A38" s="7" t="s">
        <v>3</v>
      </c>
      <c r="B38" s="7" t="s">
        <v>5</v>
      </c>
      <c r="C38" s="7" t="s">
        <v>45</v>
      </c>
      <c r="D38" s="17" t="n">
        <v>-1.41280422295096</v>
      </c>
      <c r="E38" s="17" t="n">
        <v>0.42984202571902</v>
      </c>
      <c r="F38" s="18" t="n">
        <v>19</v>
      </c>
      <c r="G38" s="19" t="n">
        <f aca="false">IF(E38&gt;0,D38/E38,"")</f>
        <v>-3.28679872701531</v>
      </c>
      <c r="H38" s="19" t="n">
        <f aca="false">IF(G38="","",TDIST(ABS(G38),F38-1,2))</f>
        <v>0.00409899938957365</v>
      </c>
    </row>
    <row r="39" customFormat="false" ht="15" hidden="false" customHeight="false" outlineLevel="0" collapsed="false">
      <c r="A39" s="7" t="s">
        <v>3</v>
      </c>
      <c r="B39" s="7" t="s">
        <v>6</v>
      </c>
      <c r="C39" s="7" t="s">
        <v>45</v>
      </c>
      <c r="D39" s="17" t="n">
        <v>0.475611273211261</v>
      </c>
      <c r="E39" s="17" t="n">
        <v>0.390838012501045</v>
      </c>
      <c r="F39" s="18" t="n">
        <v>19</v>
      </c>
      <c r="G39" s="19" t="n">
        <f aca="false">IF(E39&gt;0,D39/E39,"")</f>
        <v>1.21690126855302</v>
      </c>
      <c r="H39" s="19" t="n">
        <f aca="false">IF(G39="","",TDIST(ABS(G39),F39-1,2))</f>
        <v>0.23935723679229</v>
      </c>
    </row>
    <row r="40" customFormat="false" ht="15" hidden="false" customHeight="false" outlineLevel="0" collapsed="false">
      <c r="A40" s="7" t="s">
        <v>2</v>
      </c>
      <c r="B40" s="7" t="s">
        <v>4</v>
      </c>
      <c r="C40" s="7" t="s">
        <v>46</v>
      </c>
      <c r="D40" s="17" t="n">
        <v>-0.326678180612791</v>
      </c>
      <c r="E40" s="17" t="n">
        <v>0.25889143599736</v>
      </c>
      <c r="F40" s="18" t="n">
        <v>19</v>
      </c>
      <c r="G40" s="19" t="n">
        <f aca="false">IF(E40&gt;0,D40/E40,"")</f>
        <v>-1.26183463487036</v>
      </c>
      <c r="H40" s="19" t="n">
        <f aca="false">IF(G40="","",TDIST(ABS(G40),F40-1,2))</f>
        <v>0.223114972357604</v>
      </c>
    </row>
    <row r="41" customFormat="false" ht="15" hidden="false" customHeight="false" outlineLevel="0" collapsed="false">
      <c r="A41" s="7" t="s">
        <v>2</v>
      </c>
      <c r="B41" s="7" t="s">
        <v>5</v>
      </c>
      <c r="C41" s="7" t="s">
        <v>46</v>
      </c>
      <c r="D41" s="17" t="n">
        <v>-0.623761349262197</v>
      </c>
      <c r="E41" s="17" t="n">
        <v>0.353454602766709</v>
      </c>
      <c r="F41" s="18" t="n">
        <v>19</v>
      </c>
      <c r="G41" s="19" t="n">
        <f aca="false">IF(E41&gt;0,D41/E41,"")</f>
        <v>-1.76475661762396</v>
      </c>
      <c r="H41" s="19" t="n">
        <f aca="false">IF(G41="","",TDIST(ABS(G41),F41-1,2))</f>
        <v>0.0945658542677039</v>
      </c>
    </row>
    <row r="42" customFormat="false" ht="15" hidden="false" customHeight="false" outlineLevel="0" collapsed="false">
      <c r="A42" s="7" t="s">
        <v>2</v>
      </c>
      <c r="B42" s="7" t="s">
        <v>6</v>
      </c>
      <c r="C42" s="7" t="s">
        <v>46</v>
      </c>
      <c r="D42" s="17" t="n">
        <v>-0.610208278771287</v>
      </c>
      <c r="E42" s="17" t="n">
        <v>0.32665048675979</v>
      </c>
      <c r="F42" s="18" t="n">
        <v>19</v>
      </c>
      <c r="G42" s="19" t="n">
        <f aca="false">IF(E42&gt;0,D42/E42,"")</f>
        <v>-1.86807705331851</v>
      </c>
      <c r="H42" s="19" t="n">
        <f aca="false">IF(G42="","",TDIST(ABS(G42),F42-1,2))</f>
        <v>0.078118727296969</v>
      </c>
    </row>
    <row r="43" customFormat="false" ht="15" hidden="false" customHeight="false" outlineLevel="0" collapsed="false">
      <c r="A43" s="7" t="s">
        <v>3</v>
      </c>
      <c r="B43" s="7" t="s">
        <v>4</v>
      </c>
      <c r="C43" s="7" t="s">
        <v>46</v>
      </c>
      <c r="D43" s="17" t="n">
        <v>-0.0806868943505329</v>
      </c>
      <c r="E43" s="17" t="n">
        <v>0.235757194907586</v>
      </c>
      <c r="F43" s="18" t="n">
        <v>19</v>
      </c>
      <c r="G43" s="19" t="n">
        <f aca="false">IF(E43&gt;0,D43/E43,"")</f>
        <v>-0.342245734566707</v>
      </c>
      <c r="H43" s="19" t="n">
        <f aca="false">IF(G43="","",TDIST(ABS(G43),F43-1,2))</f>
        <v>0.736129712226636</v>
      </c>
    </row>
    <row r="44" customFormat="false" ht="15" hidden="false" customHeight="false" outlineLevel="0" collapsed="false">
      <c r="A44" s="7" t="s">
        <v>3</v>
      </c>
      <c r="B44" s="7" t="s">
        <v>5</v>
      </c>
      <c r="C44" s="7" t="s">
        <v>46</v>
      </c>
      <c r="D44" s="17" t="n">
        <v>0.700747993728743</v>
      </c>
      <c r="E44" s="17" t="n">
        <v>0.439642359108343</v>
      </c>
      <c r="F44" s="18" t="n">
        <v>19</v>
      </c>
      <c r="G44" s="19" t="n">
        <f aca="false">IF(E44&gt;0,D44/E44,"")</f>
        <v>1.59390463455332</v>
      </c>
      <c r="H44" s="19" t="n">
        <f aca="false">IF(G44="","",TDIST(ABS(G44),F44-1,2))</f>
        <v>0.128365374426581</v>
      </c>
    </row>
    <row r="45" customFormat="false" ht="15" hidden="false" customHeight="false" outlineLevel="0" collapsed="false">
      <c r="A45" s="7" t="s">
        <v>3</v>
      </c>
      <c r="B45" s="7" t="s">
        <v>6</v>
      </c>
      <c r="C45" s="7" t="s">
        <v>46</v>
      </c>
      <c r="D45" s="17" t="n">
        <v>-0.0670643121499798</v>
      </c>
      <c r="E45" s="17" t="n">
        <v>0.271542567512581</v>
      </c>
      <c r="F45" s="18" t="n">
        <v>19</v>
      </c>
      <c r="G45" s="19" t="n">
        <f aca="false">IF(E45&gt;0,D45/E45,"")</f>
        <v>-0.246975318692428</v>
      </c>
      <c r="H45" s="19" t="n">
        <f aca="false">IF(G45="","",TDIST(ABS(G45),F45-1,2))</f>
        <v>0.807722221499912</v>
      </c>
    </row>
    <row r="46" customFormat="false" ht="15" hidden="false" customHeight="false" outlineLevel="0" collapsed="false">
      <c r="A46" s="7" t="s">
        <v>2</v>
      </c>
      <c r="B46" s="7" t="s">
        <v>4</v>
      </c>
      <c r="C46" s="7" t="s">
        <v>47</v>
      </c>
      <c r="D46" s="17" t="n">
        <v>-0.27613636940312</v>
      </c>
      <c r="E46" s="17" t="n">
        <v>0.269455024399531</v>
      </c>
      <c r="F46" s="18" t="n">
        <v>19</v>
      </c>
      <c r="G46" s="19" t="n">
        <f aca="false">IF(E46&gt;0,D46/E46,"")</f>
        <v>-1.02479577071713</v>
      </c>
      <c r="H46" s="19" t="n">
        <f aca="false">IF(G46="","",TDIST(ABS(G46),F46-1,2))</f>
        <v>0.319035555638722</v>
      </c>
    </row>
    <row r="47" customFormat="false" ht="15" hidden="false" customHeight="false" outlineLevel="0" collapsed="false">
      <c r="A47" s="7" t="s">
        <v>2</v>
      </c>
      <c r="B47" s="7" t="s">
        <v>5</v>
      </c>
      <c r="C47" s="7" t="s">
        <v>47</v>
      </c>
      <c r="D47" s="17" t="n">
        <v>-1.14177806231449</v>
      </c>
      <c r="E47" s="17" t="n">
        <v>0.422036187624518</v>
      </c>
      <c r="F47" s="18" t="n">
        <v>19</v>
      </c>
      <c r="G47" s="19" t="n">
        <f aca="false">IF(E47&gt;0,D47/E47,"")</f>
        <v>-2.70540322321916</v>
      </c>
      <c r="H47" s="19" t="n">
        <f aca="false">IF(G47="","",TDIST(ABS(G47),F47-1,2))</f>
        <v>0.014484454867048</v>
      </c>
    </row>
    <row r="48" customFormat="false" ht="15" hidden="false" customHeight="false" outlineLevel="0" collapsed="false">
      <c r="A48" s="7" t="s">
        <v>2</v>
      </c>
      <c r="B48" s="7" t="s">
        <v>6</v>
      </c>
      <c r="C48" s="7" t="s">
        <v>47</v>
      </c>
      <c r="D48" s="17" t="n">
        <v>-0.685668220102889</v>
      </c>
      <c r="E48" s="17" t="n">
        <v>0.389150961457548</v>
      </c>
      <c r="F48" s="18" t="n">
        <v>19</v>
      </c>
      <c r="G48" s="19" t="n">
        <f aca="false">IF(E48&gt;0,D48/E48,"")</f>
        <v>-1.76195946563963</v>
      </c>
      <c r="H48" s="19" t="n">
        <f aca="false">IF(G48="","",TDIST(ABS(G48),F48-1,2))</f>
        <v>0.0950502377142257</v>
      </c>
    </row>
    <row r="49" customFormat="false" ht="15" hidden="false" customHeight="false" outlineLevel="0" collapsed="false">
      <c r="A49" s="7" t="s">
        <v>3</v>
      </c>
      <c r="B49" s="7" t="s">
        <v>4</v>
      </c>
      <c r="C49" s="7" t="s">
        <v>47</v>
      </c>
      <c r="D49" s="17" t="n">
        <v>-0.196298936652621</v>
      </c>
      <c r="E49" s="17" t="n">
        <v>0.228466459138702</v>
      </c>
      <c r="F49" s="18" t="n">
        <v>19</v>
      </c>
      <c r="G49" s="19" t="n">
        <f aca="false">IF(E49&gt;0,D49/E49,"")</f>
        <v>-0.859202429068365</v>
      </c>
      <c r="H49" s="19" t="n">
        <f aca="false">IF(G49="","",TDIST(ABS(G49),F49-1,2))</f>
        <v>0.401526902970863</v>
      </c>
    </row>
    <row r="50" customFormat="false" ht="15" hidden="false" customHeight="false" outlineLevel="0" collapsed="false">
      <c r="A50" s="7" t="s">
        <v>3</v>
      </c>
      <c r="B50" s="7" t="s">
        <v>5</v>
      </c>
      <c r="C50" s="7" t="s">
        <v>47</v>
      </c>
      <c r="D50" s="17" t="n">
        <v>-0.601582134337207</v>
      </c>
      <c r="E50" s="17" t="n">
        <v>0.190420377920413</v>
      </c>
      <c r="F50" s="18" t="n">
        <v>19</v>
      </c>
      <c r="G50" s="19" t="n">
        <f aca="false">IF(E50&gt;0,D50/E50,"")</f>
        <v>-3.15923191050825</v>
      </c>
      <c r="H50" s="19" t="n">
        <f aca="false">IF(G50="","",TDIST(ABS(G50),F50-1,2))</f>
        <v>0.00542730680774961</v>
      </c>
    </row>
    <row r="51" customFormat="false" ht="15" hidden="false" customHeight="false" outlineLevel="0" collapsed="false">
      <c r="A51" s="7" t="s">
        <v>3</v>
      </c>
      <c r="B51" s="7" t="s">
        <v>6</v>
      </c>
      <c r="C51" s="7" t="s">
        <v>47</v>
      </c>
      <c r="D51" s="17" t="n">
        <v>-0.170428339886358</v>
      </c>
      <c r="E51" s="17" t="n">
        <v>0.238876135173414</v>
      </c>
      <c r="F51" s="18" t="n">
        <v>19</v>
      </c>
      <c r="G51" s="19" t="n">
        <f aca="false">IF(E51&gt;0,D51/E51,"")</f>
        <v>-0.713459047563016</v>
      </c>
      <c r="H51" s="19" t="n">
        <f aca="false">IF(G51="","",TDIST(ABS(G51),F51-1,2))</f>
        <v>0.484710237973831</v>
      </c>
    </row>
    <row r="52" customFormat="false" ht="15" hidden="false" customHeight="false" outlineLevel="0" collapsed="false">
      <c r="A52" s="7" t="s">
        <v>2</v>
      </c>
      <c r="B52" s="7" t="s">
        <v>4</v>
      </c>
      <c r="C52" s="7" t="s">
        <v>48</v>
      </c>
      <c r="D52" s="17" t="n">
        <v>-0.252017615176209</v>
      </c>
      <c r="E52" s="17" t="n">
        <v>0.197602093456475</v>
      </c>
      <c r="F52" s="18" t="n">
        <v>19</v>
      </c>
      <c r="G52" s="19" t="n">
        <f aca="false">IF(E52&gt;0,D52/E52,"")</f>
        <v>-1.27537927745548</v>
      </c>
      <c r="H52" s="19" t="n">
        <f aca="false">IF(G52="","",TDIST(ABS(G52),F52-1,2))</f>
        <v>0.218390354203919</v>
      </c>
    </row>
    <row r="53" customFormat="false" ht="15" hidden="false" customHeight="false" outlineLevel="0" collapsed="false">
      <c r="A53" s="7" t="s">
        <v>2</v>
      </c>
      <c r="B53" s="7" t="s">
        <v>5</v>
      </c>
      <c r="C53" s="7" t="s">
        <v>48</v>
      </c>
      <c r="D53" s="17" t="n">
        <v>-0.982972395326906</v>
      </c>
      <c r="E53" s="17" t="n">
        <v>0.359412531227062</v>
      </c>
      <c r="F53" s="18" t="n">
        <v>19</v>
      </c>
      <c r="G53" s="19" t="n">
        <f aca="false">IF(E53&gt;0,D53/E53,"")</f>
        <v>-2.73494191193324</v>
      </c>
      <c r="H53" s="19" t="n">
        <f aca="false">IF(G53="","",TDIST(ABS(G53),F53-1,2))</f>
        <v>0.0136021090466831</v>
      </c>
    </row>
    <row r="54" customFormat="false" ht="15" hidden="false" customHeight="false" outlineLevel="0" collapsed="false">
      <c r="A54" s="7" t="s">
        <v>2</v>
      </c>
      <c r="B54" s="7" t="s">
        <v>6</v>
      </c>
      <c r="C54" s="7" t="s">
        <v>48</v>
      </c>
      <c r="D54" s="17" t="n">
        <v>-0.358356813917405</v>
      </c>
      <c r="E54" s="17" t="n">
        <v>0.279106553603608</v>
      </c>
      <c r="F54" s="18" t="n">
        <v>19</v>
      </c>
      <c r="G54" s="19" t="n">
        <f aca="false">IF(E54&gt;0,D54/E54,"")</f>
        <v>-1.28394267096411</v>
      </c>
      <c r="H54" s="19" t="n">
        <f aca="false">IF(G54="","",TDIST(ABS(G54),F54-1,2))</f>
        <v>0.215443753414517</v>
      </c>
    </row>
    <row r="55" customFormat="false" ht="15" hidden="false" customHeight="false" outlineLevel="0" collapsed="false">
      <c r="A55" s="7" t="s">
        <v>3</v>
      </c>
      <c r="B55" s="7" t="s">
        <v>4</v>
      </c>
      <c r="C55" s="7" t="s">
        <v>48</v>
      </c>
      <c r="D55" s="17" t="n">
        <v>-0.379569701737372</v>
      </c>
      <c r="E55" s="17" t="n">
        <v>0.215869764950403</v>
      </c>
      <c r="F55" s="18" t="n">
        <v>19</v>
      </c>
      <c r="G55" s="19" t="n">
        <f aca="false">IF(E55&gt;0,D55/E55,"")</f>
        <v>-1.75832730361558</v>
      </c>
      <c r="H55" s="19" t="n">
        <f aca="false">IF(G55="","",TDIST(ABS(G55),F55-1,2))</f>
        <v>0.0956824355835192</v>
      </c>
    </row>
    <row r="56" customFormat="false" ht="15" hidden="false" customHeight="false" outlineLevel="0" collapsed="false">
      <c r="A56" s="7" t="s">
        <v>3</v>
      </c>
      <c r="B56" s="7" t="s">
        <v>5</v>
      </c>
      <c r="C56" s="7" t="s">
        <v>48</v>
      </c>
      <c r="D56" s="17" t="n">
        <v>-0.930916646080121</v>
      </c>
      <c r="E56" s="17" t="n">
        <v>0.314369907183293</v>
      </c>
      <c r="F56" s="18" t="n">
        <v>19</v>
      </c>
      <c r="G56" s="19" t="n">
        <f aca="false">IF(E56&gt;0,D56/E56,"")</f>
        <v>-2.96121424095898</v>
      </c>
      <c r="H56" s="19" t="n">
        <f aca="false">IF(G56="","",TDIST(ABS(G56),F56-1,2))</f>
        <v>0.00836085999986708</v>
      </c>
    </row>
    <row r="57" customFormat="false" ht="15" hidden="false" customHeight="false" outlineLevel="0" collapsed="false">
      <c r="A57" s="7" t="s">
        <v>3</v>
      </c>
      <c r="B57" s="7" t="s">
        <v>6</v>
      </c>
      <c r="C57" s="7" t="s">
        <v>48</v>
      </c>
      <c r="D57" s="17" t="n">
        <v>-0.201322069070891</v>
      </c>
      <c r="E57" s="17" t="n">
        <v>0.296988998260883</v>
      </c>
      <c r="F57" s="18" t="n">
        <v>19</v>
      </c>
      <c r="G57" s="19" t="n">
        <f aca="false">IF(E57&gt;0,D57/E57,"")</f>
        <v>-0.677877194945934</v>
      </c>
      <c r="H57" s="19" t="n">
        <f aca="false">IF(G57="","",TDIST(ABS(G57),F57-1,2))</f>
        <v>0.50647062710332</v>
      </c>
    </row>
    <row r="58" customFormat="false" ht="15" hidden="false" customHeight="false" outlineLevel="0" collapsed="false">
      <c r="A58" s="7" t="s">
        <v>2</v>
      </c>
      <c r="B58" s="7" t="s">
        <v>4</v>
      </c>
      <c r="C58" s="7" t="s">
        <v>49</v>
      </c>
      <c r="D58" s="17" t="n">
        <v>0.273703697396437</v>
      </c>
      <c r="E58" s="17" t="n">
        <v>0.180978547816476</v>
      </c>
      <c r="F58" s="18" t="n">
        <v>19</v>
      </c>
      <c r="G58" s="19" t="n">
        <f aca="false">IF(E58&gt;0,D58/E58,"")</f>
        <v>1.51235436850776</v>
      </c>
      <c r="H58" s="19" t="n">
        <f aca="false">IF(G58="","",TDIST(ABS(G58),F58-1,2))</f>
        <v>0.147802670144486</v>
      </c>
    </row>
    <row r="59" customFormat="false" ht="15" hidden="false" customHeight="false" outlineLevel="0" collapsed="false">
      <c r="A59" s="7" t="s">
        <v>2</v>
      </c>
      <c r="B59" s="7" t="s">
        <v>5</v>
      </c>
      <c r="C59" s="7" t="s">
        <v>49</v>
      </c>
      <c r="D59" s="17" t="n">
        <v>-0.514927434630827</v>
      </c>
      <c r="E59" s="17" t="n">
        <v>0.267605196449191</v>
      </c>
      <c r="F59" s="18" t="n">
        <v>19</v>
      </c>
      <c r="G59" s="19" t="n">
        <f aca="false">IF(E59&gt;0,D59/E59,"")</f>
        <v>-1.9242056636542</v>
      </c>
      <c r="H59" s="19" t="n">
        <f aca="false">IF(G59="","",TDIST(ABS(G59),F59-1,2))</f>
        <v>0.0702864724077056</v>
      </c>
    </row>
    <row r="60" customFormat="false" ht="15" hidden="false" customHeight="false" outlineLevel="0" collapsed="false">
      <c r="A60" s="7" t="s">
        <v>2</v>
      </c>
      <c r="B60" s="7" t="s">
        <v>6</v>
      </c>
      <c r="C60" s="7" t="s">
        <v>49</v>
      </c>
      <c r="D60" s="17" t="n">
        <v>-0.00709397974526897</v>
      </c>
      <c r="E60" s="17" t="n">
        <v>0.282489685349118</v>
      </c>
      <c r="F60" s="18" t="n">
        <v>19</v>
      </c>
      <c r="G60" s="19" t="n">
        <f aca="false">IF(E60&gt;0,D60/E60,"")</f>
        <v>-0.0251123496296928</v>
      </c>
      <c r="H60" s="19" t="n">
        <f aca="false">IF(G60="","",TDIST(ABS(G60),F60-1,2))</f>
        <v>0.980241659995939</v>
      </c>
    </row>
    <row r="61" customFormat="false" ht="15" hidden="false" customHeight="false" outlineLevel="0" collapsed="false">
      <c r="A61" s="7" t="s">
        <v>3</v>
      </c>
      <c r="B61" s="7" t="s">
        <v>4</v>
      </c>
      <c r="C61" s="7" t="s">
        <v>49</v>
      </c>
      <c r="D61" s="17" t="n">
        <v>-0.372254136458121</v>
      </c>
      <c r="E61" s="17" t="n">
        <v>0.146839177053931</v>
      </c>
      <c r="F61" s="18" t="n">
        <v>19</v>
      </c>
      <c r="G61" s="19" t="n">
        <f aca="false">IF(E61&gt;0,D61/E61,"")</f>
        <v>-2.53511456497335</v>
      </c>
      <c r="H61" s="19" t="n">
        <f aca="false">IF(G61="","",TDIST(ABS(G61),F61-1,2))</f>
        <v>0.0207346072183617</v>
      </c>
    </row>
    <row r="62" customFormat="false" ht="15" hidden="false" customHeight="false" outlineLevel="0" collapsed="false">
      <c r="A62" s="7" t="s">
        <v>3</v>
      </c>
      <c r="B62" s="7" t="s">
        <v>5</v>
      </c>
      <c r="C62" s="7" t="s">
        <v>49</v>
      </c>
      <c r="D62" s="17" t="n">
        <v>0.207570273563192</v>
      </c>
      <c r="E62" s="17" t="n">
        <v>0.268435357661439</v>
      </c>
      <c r="F62" s="18" t="n">
        <v>19</v>
      </c>
      <c r="G62" s="19" t="n">
        <f aca="false">IF(E62&gt;0,D62/E62,"")</f>
        <v>0.773259809629802</v>
      </c>
      <c r="H62" s="19" t="n">
        <f aca="false">IF(G62="","",TDIST(ABS(G62),F62-1,2))</f>
        <v>0.449404907184764</v>
      </c>
    </row>
    <row r="63" customFormat="false" ht="15" hidden="false" customHeight="false" outlineLevel="0" collapsed="false">
      <c r="A63" s="7" t="s">
        <v>3</v>
      </c>
      <c r="B63" s="7" t="s">
        <v>6</v>
      </c>
      <c r="C63" s="7" t="s">
        <v>49</v>
      </c>
      <c r="D63" s="17" t="n">
        <v>-0.354014431994872</v>
      </c>
      <c r="E63" s="17" t="n">
        <v>0.251397474484483</v>
      </c>
      <c r="F63" s="18" t="n">
        <v>19</v>
      </c>
      <c r="G63" s="19" t="n">
        <f aca="false">IF(E63&gt;0,D63/E63,"")</f>
        <v>-1.40818611133949</v>
      </c>
      <c r="H63" s="19" t="n">
        <f aca="false">IF(G63="","",TDIST(ABS(G63),F63-1,2))</f>
        <v>0.176113763982904</v>
      </c>
    </row>
    <row r="64" customFormat="false" ht="15" hidden="false" customHeight="false" outlineLevel="0" collapsed="false">
      <c r="A64" s="7" t="s">
        <v>2</v>
      </c>
      <c r="B64" s="7" t="s">
        <v>4</v>
      </c>
      <c r="C64" s="7" t="s">
        <v>50</v>
      </c>
      <c r="D64" s="17" t="n">
        <v>-0.470968514802015</v>
      </c>
      <c r="E64" s="17" t="n">
        <v>0.18076719923935</v>
      </c>
      <c r="F64" s="18" t="n">
        <v>19</v>
      </c>
      <c r="G64" s="19" t="n">
        <f aca="false">IF(E64&gt;0,D64/E64,"")</f>
        <v>-2.6053870214497</v>
      </c>
      <c r="H64" s="19" t="n">
        <f aca="false">IF(G64="","",TDIST(ABS(G64),F64-1,2))</f>
        <v>0.0178954871963096</v>
      </c>
    </row>
    <row r="65" customFormat="false" ht="15" hidden="false" customHeight="false" outlineLevel="0" collapsed="false">
      <c r="A65" s="7" t="s">
        <v>2</v>
      </c>
      <c r="B65" s="7" t="s">
        <v>5</v>
      </c>
      <c r="C65" s="7" t="s">
        <v>50</v>
      </c>
      <c r="D65" s="17" t="n">
        <v>-0.569680985135461</v>
      </c>
      <c r="E65" s="17" t="n">
        <v>0.317745964457984</v>
      </c>
      <c r="F65" s="18" t="n">
        <v>19</v>
      </c>
      <c r="G65" s="19" t="n">
        <f aca="false">IF(E65&gt;0,D65/E65,"")</f>
        <v>-1.79288188949065</v>
      </c>
      <c r="H65" s="19" t="n">
        <f aca="false">IF(G65="","",TDIST(ABS(G65),F65-1,2))</f>
        <v>0.0898135190388357</v>
      </c>
    </row>
    <row r="66" customFormat="false" ht="15" hidden="false" customHeight="false" outlineLevel="0" collapsed="false">
      <c r="A66" s="7" t="s">
        <v>2</v>
      </c>
      <c r="B66" s="7" t="s">
        <v>6</v>
      </c>
      <c r="C66" s="7" t="s">
        <v>50</v>
      </c>
      <c r="D66" s="17" t="n">
        <v>-0.652099107754912</v>
      </c>
      <c r="E66" s="17" t="n">
        <v>0.322275251347705</v>
      </c>
      <c r="F66" s="18" t="n">
        <v>19</v>
      </c>
      <c r="G66" s="19" t="n">
        <f aca="false">IF(E66&gt;0,D66/E66,"")</f>
        <v>-2.02342285058482</v>
      </c>
      <c r="H66" s="19" t="n">
        <f aca="false">IF(G66="","",TDIST(ABS(G66),F66-1,2))</f>
        <v>0.0581370658960352</v>
      </c>
    </row>
    <row r="67" customFormat="false" ht="15" hidden="false" customHeight="false" outlineLevel="0" collapsed="false">
      <c r="A67" s="7" t="s">
        <v>3</v>
      </c>
      <c r="B67" s="7" t="s">
        <v>4</v>
      </c>
      <c r="C67" s="7" t="s">
        <v>50</v>
      </c>
      <c r="D67" s="17" t="n">
        <v>0.226164398491455</v>
      </c>
      <c r="E67" s="17" t="n">
        <v>0.23050228955423</v>
      </c>
      <c r="F67" s="18" t="n">
        <v>19</v>
      </c>
      <c r="G67" s="19" t="n">
        <f aca="false">IF(E67&gt;0,D67/E67,"")</f>
        <v>0.981180702928527</v>
      </c>
      <c r="H67" s="19" t="n">
        <f aca="false">IF(G67="","",TDIST(ABS(G67),F67-1,2))</f>
        <v>0.339508568190509</v>
      </c>
    </row>
    <row r="68" customFormat="false" ht="15" hidden="false" customHeight="false" outlineLevel="0" collapsed="false">
      <c r="A68" s="7" t="s">
        <v>3</v>
      </c>
      <c r="B68" s="7" t="s">
        <v>5</v>
      </c>
      <c r="C68" s="7" t="s">
        <v>50</v>
      </c>
      <c r="D68" s="17" t="n">
        <v>0.391091732992591</v>
      </c>
      <c r="E68" s="17" t="n">
        <v>0.239444313660863</v>
      </c>
      <c r="F68" s="18" t="n">
        <v>19</v>
      </c>
      <c r="G68" s="19" t="n">
        <f aca="false">IF(E68&gt;0,D68/E68,"")</f>
        <v>1.63333063547507</v>
      </c>
      <c r="H68" s="19" t="n">
        <f aca="false">IF(G68="","",TDIST(ABS(G68),F68-1,2))</f>
        <v>0.119768635325016</v>
      </c>
    </row>
    <row r="69" customFormat="false" ht="15" hidden="false" customHeight="false" outlineLevel="0" collapsed="false">
      <c r="A69" s="7" t="s">
        <v>3</v>
      </c>
      <c r="B69" s="7" t="s">
        <v>6</v>
      </c>
      <c r="C69" s="7" t="s">
        <v>50</v>
      </c>
      <c r="D69" s="17" t="n">
        <v>0.450867157588717</v>
      </c>
      <c r="E69" s="17" t="n">
        <v>0.259570262133307</v>
      </c>
      <c r="F69" s="18" t="n">
        <v>19</v>
      </c>
      <c r="G69" s="19" t="n">
        <f aca="false">IF(E69&gt;0,D69/E69,"")</f>
        <v>1.73697539110688</v>
      </c>
      <c r="H69" s="19" t="n">
        <f aca="false">IF(G69="","",TDIST(ABS(G69),F69-1,2))</f>
        <v>0.0994731173700555</v>
      </c>
    </row>
    <row r="70" customFormat="false" ht="15" hidden="false" customHeight="false" outlineLevel="0" collapsed="false">
      <c r="A70" s="7" t="s">
        <v>2</v>
      </c>
      <c r="B70" s="7" t="s">
        <v>4</v>
      </c>
      <c r="C70" s="7" t="s">
        <v>51</v>
      </c>
      <c r="D70" s="17" t="n">
        <v>-0.50235376851913</v>
      </c>
      <c r="E70" s="17" t="n">
        <v>0.195725482171753</v>
      </c>
      <c r="F70" s="18" t="n">
        <v>19</v>
      </c>
      <c r="G70" s="19" t="n">
        <f aca="false">IF(E70&gt;0,D70/E70,"")</f>
        <v>-2.56662424813088</v>
      </c>
      <c r="H70" s="19" t="n">
        <f aca="false">IF(G70="","",TDIST(ABS(G70),F70-1,2))</f>
        <v>0.0194125129901156</v>
      </c>
    </row>
    <row r="71" customFormat="false" ht="15" hidden="false" customHeight="false" outlineLevel="0" collapsed="false">
      <c r="A71" s="7" t="s">
        <v>2</v>
      </c>
      <c r="B71" s="7" t="s">
        <v>5</v>
      </c>
      <c r="C71" s="7" t="s">
        <v>51</v>
      </c>
      <c r="D71" s="17" t="n">
        <v>-0.485264002303535</v>
      </c>
      <c r="E71" s="17" t="n">
        <v>0.355089724026164</v>
      </c>
      <c r="F71" s="18" t="n">
        <v>19</v>
      </c>
      <c r="G71" s="19" t="n">
        <f aca="false">IF(E71&gt;0,D71/E71,"")</f>
        <v>-1.36659545311928</v>
      </c>
      <c r="H71" s="19" t="n">
        <f aca="false">IF(G71="","",TDIST(ABS(G71),F71-1,2))</f>
        <v>0.188581076438959</v>
      </c>
    </row>
    <row r="72" customFormat="false" ht="15" hidden="false" customHeight="false" outlineLevel="0" collapsed="false">
      <c r="A72" s="7" t="s">
        <v>2</v>
      </c>
      <c r="B72" s="7" t="s">
        <v>6</v>
      </c>
      <c r="C72" s="7" t="s">
        <v>51</v>
      </c>
      <c r="D72" s="17" t="n">
        <v>-0.561599696355592</v>
      </c>
      <c r="E72" s="17" t="n">
        <v>0.370313915119056</v>
      </c>
      <c r="F72" s="18" t="n">
        <v>19</v>
      </c>
      <c r="G72" s="19" t="n">
        <f aca="false">IF(E72&gt;0,D72/E72,"")</f>
        <v>-1.51655034668367</v>
      </c>
      <c r="H72" s="19" t="n">
        <f aca="false">IF(G72="","",TDIST(ABS(G72),F72-1,2))</f>
        <v>0.14674602484161</v>
      </c>
    </row>
    <row r="73" customFormat="false" ht="15" hidden="false" customHeight="false" outlineLevel="0" collapsed="false">
      <c r="A73" s="7" t="s">
        <v>3</v>
      </c>
      <c r="B73" s="7" t="s">
        <v>4</v>
      </c>
      <c r="C73" s="7" t="s">
        <v>51</v>
      </c>
      <c r="D73" s="17" t="n">
        <v>-0.67980881433999</v>
      </c>
      <c r="E73" s="17" t="n">
        <v>0.165452896542099</v>
      </c>
      <c r="F73" s="18" t="n">
        <v>19</v>
      </c>
      <c r="G73" s="19" t="n">
        <f aca="false">IF(E73&gt;0,D73/E73,"")</f>
        <v>-4.10877554003424</v>
      </c>
      <c r="H73" s="19" t="n">
        <f aca="false">IF(G73="","",TDIST(ABS(G73),F73-1,2))</f>
        <v>0.000659224538739577</v>
      </c>
    </row>
    <row r="74" customFormat="false" ht="15" hidden="false" customHeight="false" outlineLevel="0" collapsed="false">
      <c r="A74" s="7" t="s">
        <v>3</v>
      </c>
      <c r="B74" s="7" t="s">
        <v>5</v>
      </c>
      <c r="C74" s="7" t="s">
        <v>51</v>
      </c>
      <c r="D74" s="17" t="n">
        <v>-0.236430448843713</v>
      </c>
      <c r="E74" s="17" t="n">
        <v>0.272044614065989</v>
      </c>
      <c r="F74" s="18" t="n">
        <v>19</v>
      </c>
      <c r="G74" s="19" t="n">
        <f aca="false">IF(E74&gt;0,D74/E74,"")</f>
        <v>-0.869087041680463</v>
      </c>
      <c r="H74" s="19" t="n">
        <f aca="false">IF(G74="","",TDIST(ABS(G74),F74-1,2))</f>
        <v>0.396240461687088</v>
      </c>
    </row>
    <row r="75" customFormat="false" ht="15" hidden="false" customHeight="false" outlineLevel="0" collapsed="false">
      <c r="A75" s="7" t="s">
        <v>3</v>
      </c>
      <c r="B75" s="7" t="s">
        <v>6</v>
      </c>
      <c r="C75" s="7" t="s">
        <v>51</v>
      </c>
      <c r="D75" s="17" t="n">
        <v>-0.314797436720653</v>
      </c>
      <c r="E75" s="17" t="n">
        <v>0.218014630768764</v>
      </c>
      <c r="F75" s="18" t="n">
        <v>19</v>
      </c>
      <c r="G75" s="19" t="n">
        <f aca="false">IF(E75&gt;0,D75/E75,"")</f>
        <v>-1.44392803185095</v>
      </c>
      <c r="H75" s="19" t="n">
        <f aca="false">IF(G75="","",TDIST(ABS(G75),F75-1,2))</f>
        <v>0.165939937876025</v>
      </c>
    </row>
    <row r="76" customFormat="false" ht="15" hidden="false" customHeight="false" outlineLevel="0" collapsed="false">
      <c r="A76" s="7" t="s">
        <v>2</v>
      </c>
      <c r="B76" s="7" t="s">
        <v>4</v>
      </c>
      <c r="C76" s="7" t="s">
        <v>52</v>
      </c>
      <c r="D76" s="17" t="n">
        <v>-1.20809086872087</v>
      </c>
      <c r="E76" s="17" t="n">
        <v>0.230329907850374</v>
      </c>
      <c r="F76" s="18" t="n">
        <v>19</v>
      </c>
      <c r="G76" s="19" t="n">
        <f aca="false">IF(E76&gt;0,D76/E76,"")</f>
        <v>-5.24504559566647</v>
      </c>
      <c r="H76" s="19" t="n">
        <f aca="false">IF(G76="","",TDIST(ABS(G76),F76-1,2))</f>
        <v>5.47949321325954E-005</v>
      </c>
    </row>
    <row r="77" customFormat="false" ht="15" hidden="false" customHeight="false" outlineLevel="0" collapsed="false">
      <c r="A77" s="7" t="s">
        <v>2</v>
      </c>
      <c r="B77" s="7" t="s">
        <v>5</v>
      </c>
      <c r="C77" s="7" t="s">
        <v>52</v>
      </c>
      <c r="D77" s="17" t="n">
        <v>-0.536091543146988</v>
      </c>
      <c r="E77" s="17" t="n">
        <v>0.393015458862908</v>
      </c>
      <c r="F77" s="18" t="n">
        <v>19</v>
      </c>
      <c r="G77" s="19" t="n">
        <f aca="false">IF(E77&gt;0,D77/E77,"")</f>
        <v>-1.36404696318571</v>
      </c>
      <c r="H77" s="19" t="n">
        <f aca="false">IF(G77="","",TDIST(ABS(G77),F77-1,2))</f>
        <v>0.189367448757204</v>
      </c>
    </row>
    <row r="78" customFormat="false" ht="15" hidden="false" customHeight="false" outlineLevel="0" collapsed="false">
      <c r="A78" s="7" t="s">
        <v>2</v>
      </c>
      <c r="B78" s="7" t="s">
        <v>6</v>
      </c>
      <c r="C78" s="7" t="s">
        <v>52</v>
      </c>
      <c r="D78" s="17" t="n">
        <v>-1.04652397634014</v>
      </c>
      <c r="E78" s="17" t="n">
        <v>0.456382391636868</v>
      </c>
      <c r="F78" s="18" t="n">
        <v>19</v>
      </c>
      <c r="G78" s="19" t="n">
        <f aca="false">IF(E78&gt;0,D78/E78,"")</f>
        <v>-2.29308578840357</v>
      </c>
      <c r="H78" s="19" t="n">
        <f aca="false">IF(G78="","",TDIST(ABS(G78),F78-1,2))</f>
        <v>0.0341017885736485</v>
      </c>
    </row>
    <row r="79" customFormat="false" ht="15" hidden="false" customHeight="false" outlineLevel="0" collapsed="false">
      <c r="A79" s="7" t="s">
        <v>3</v>
      </c>
      <c r="B79" s="7" t="s">
        <v>4</v>
      </c>
      <c r="C79" s="7" t="s">
        <v>52</v>
      </c>
      <c r="D79" s="17" t="n">
        <v>-0.5489234490219</v>
      </c>
      <c r="E79" s="17" t="n">
        <v>0.196318061934281</v>
      </c>
      <c r="F79" s="18" t="n">
        <v>19</v>
      </c>
      <c r="G79" s="19" t="n">
        <f aca="false">IF(E79&gt;0,D79/E79,"")</f>
        <v>-2.79609244107991</v>
      </c>
      <c r="H79" s="19" t="n">
        <f aca="false">IF(G79="","",TDIST(ABS(G79),F79-1,2))</f>
        <v>0.011936235593023</v>
      </c>
    </row>
    <row r="80" customFormat="false" ht="15" hidden="false" customHeight="false" outlineLevel="0" collapsed="false">
      <c r="A80" s="7" t="s">
        <v>3</v>
      </c>
      <c r="B80" s="7" t="s">
        <v>5</v>
      </c>
      <c r="C80" s="7" t="s">
        <v>52</v>
      </c>
      <c r="D80" s="17" t="n">
        <v>-0.517185776424605</v>
      </c>
      <c r="E80" s="17" t="n">
        <v>0.340312201081704</v>
      </c>
      <c r="F80" s="18" t="n">
        <v>19</v>
      </c>
      <c r="G80" s="19" t="n">
        <f aca="false">IF(E80&gt;0,D80/E80,"")</f>
        <v>-1.51973915357927</v>
      </c>
      <c r="H80" s="19" t="n">
        <f aca="false">IF(G80="","",TDIST(ABS(G80),F80-1,2))</f>
        <v>0.145947206258223</v>
      </c>
    </row>
    <row r="81" customFormat="false" ht="15" hidden="false" customHeight="false" outlineLevel="0" collapsed="false">
      <c r="A81" s="7" t="s">
        <v>3</v>
      </c>
      <c r="B81" s="7" t="s">
        <v>6</v>
      </c>
      <c r="C81" s="7" t="s">
        <v>52</v>
      </c>
      <c r="D81" s="17" t="n">
        <v>0.137549333662585</v>
      </c>
      <c r="E81" s="17" t="n">
        <v>0.320285407375651</v>
      </c>
      <c r="F81" s="18" t="n">
        <v>19</v>
      </c>
      <c r="G81" s="19" t="n">
        <f aca="false">IF(E81&gt;0,D81/E81,"")</f>
        <v>0.42945863437749</v>
      </c>
      <c r="H81" s="19" t="n">
        <f aca="false">IF(G81="","",TDIST(ABS(G81),F81-1,2))</f>
        <v>0.672686122889971</v>
      </c>
    </row>
    <row r="82" customFormat="false" ht="15" hidden="false" customHeight="false" outlineLevel="0" collapsed="false">
      <c r="A82" s="7" t="s">
        <v>2</v>
      </c>
      <c r="B82" s="7" t="s">
        <v>4</v>
      </c>
      <c r="C82" s="7" t="s">
        <v>53</v>
      </c>
      <c r="D82" s="17" t="n">
        <v>0.532548691348808</v>
      </c>
      <c r="E82" s="17" t="n">
        <v>0.367936378162679</v>
      </c>
      <c r="F82" s="18" t="n">
        <v>19</v>
      </c>
      <c r="G82" s="19" t="n">
        <f aca="false">IF(E82&gt;0,D82/E82,"")</f>
        <v>1.4473934162426</v>
      </c>
      <c r="H82" s="19" t="n">
        <f aca="false">IF(G82="","",TDIST(ABS(G82),F82-1,2))</f>
        <v>0.164979530014707</v>
      </c>
    </row>
    <row r="83" customFormat="false" ht="15" hidden="false" customHeight="false" outlineLevel="0" collapsed="false">
      <c r="A83" s="7" t="s">
        <v>2</v>
      </c>
      <c r="B83" s="7" t="s">
        <v>5</v>
      </c>
      <c r="C83" s="7" t="s">
        <v>53</v>
      </c>
      <c r="D83" s="17" t="n">
        <v>0.716987931137293</v>
      </c>
      <c r="E83" s="17" t="n">
        <v>0.663654203585483</v>
      </c>
      <c r="F83" s="18" t="n">
        <v>19</v>
      </c>
      <c r="G83" s="19" t="n">
        <f aca="false">IF(E83&gt;0,D83/E83,"")</f>
        <v>1.08036373048444</v>
      </c>
      <c r="H83" s="19" t="n">
        <f aca="false">IF(G83="","",TDIST(ABS(G83),F83-1,2))</f>
        <v>0.294243742431121</v>
      </c>
    </row>
    <row r="84" customFormat="false" ht="15" hidden="false" customHeight="false" outlineLevel="0" collapsed="false">
      <c r="A84" s="7" t="s">
        <v>2</v>
      </c>
      <c r="B84" s="7" t="s">
        <v>6</v>
      </c>
      <c r="C84" s="7" t="s">
        <v>53</v>
      </c>
      <c r="D84" s="17" t="n">
        <v>0.235091943394539</v>
      </c>
      <c r="E84" s="17" t="n">
        <v>0.675792648162991</v>
      </c>
      <c r="F84" s="18" t="n">
        <v>19</v>
      </c>
      <c r="G84" s="19" t="n">
        <f aca="false">IF(E84&gt;0,D84/E84,"")</f>
        <v>0.347875852206427</v>
      </c>
      <c r="H84" s="19" t="n">
        <f aca="false">IF(G84="","",TDIST(ABS(G84),F84-1,2))</f>
        <v>0.731968434978313</v>
      </c>
    </row>
    <row r="85" customFormat="false" ht="15" hidden="false" customHeight="false" outlineLevel="0" collapsed="false">
      <c r="A85" s="7" t="s">
        <v>3</v>
      </c>
      <c r="B85" s="7" t="s">
        <v>4</v>
      </c>
      <c r="C85" s="7" t="s">
        <v>53</v>
      </c>
      <c r="D85" s="17" t="n">
        <v>0.462252873306617</v>
      </c>
      <c r="E85" s="17" t="n">
        <v>0.444287701931111</v>
      </c>
      <c r="F85" s="18" t="n">
        <v>19</v>
      </c>
      <c r="G85" s="19" t="n">
        <f aca="false">IF(E85&gt;0,D85/E85,"")</f>
        <v>1.04043589614887</v>
      </c>
      <c r="H85" s="19" t="n">
        <f aca="false">IF(G85="","",TDIST(ABS(G85),F85-1,2))</f>
        <v>0.311911766490985</v>
      </c>
    </row>
    <row r="86" customFormat="false" ht="15" hidden="false" customHeight="false" outlineLevel="0" collapsed="false">
      <c r="A86" s="7" t="s">
        <v>3</v>
      </c>
      <c r="B86" s="7" t="s">
        <v>5</v>
      </c>
      <c r="C86" s="7" t="s">
        <v>53</v>
      </c>
      <c r="D86" s="17" t="n">
        <v>0.517965418925685</v>
      </c>
      <c r="E86" s="17" t="n">
        <v>0.36674865882032</v>
      </c>
      <c r="F86" s="18" t="n">
        <v>19</v>
      </c>
      <c r="G86" s="19" t="n">
        <f aca="false">IF(E86&gt;0,D86/E86,"")</f>
        <v>1.41231714545806</v>
      </c>
      <c r="H86" s="19" t="n">
        <f aca="false">IF(G86="","",TDIST(ABS(G86),F86-1,2))</f>
        <v>0.174912652476862</v>
      </c>
    </row>
    <row r="87" customFormat="false" ht="15" hidden="false" customHeight="false" outlineLevel="0" collapsed="false">
      <c r="A87" s="7" t="s">
        <v>3</v>
      </c>
      <c r="B87" s="7" t="s">
        <v>6</v>
      </c>
      <c r="C87" s="7" t="s">
        <v>53</v>
      </c>
      <c r="D87" s="17" t="n">
        <v>0.497218837955645</v>
      </c>
      <c r="E87" s="17" t="n">
        <v>0.515695262485193</v>
      </c>
      <c r="F87" s="18" t="n">
        <v>19</v>
      </c>
      <c r="G87" s="19" t="n">
        <f aca="false">IF(E87&gt;0,D87/E87,"")</f>
        <v>0.964171816431843</v>
      </c>
      <c r="H87" s="19" t="n">
        <f aca="false">IF(G87="","",TDIST(ABS(G87),F87-1,2))</f>
        <v>0.347735503397446</v>
      </c>
    </row>
    <row r="88" customFormat="false" ht="15" hidden="false" customHeight="false" outlineLevel="0" collapsed="false">
      <c r="A88" s="7" t="s">
        <v>2</v>
      </c>
      <c r="B88" s="7" t="s">
        <v>4</v>
      </c>
      <c r="C88" s="7" t="s">
        <v>54</v>
      </c>
      <c r="D88" s="17" t="n">
        <v>-1.40288650460567</v>
      </c>
      <c r="E88" s="17" t="n">
        <v>0.305850651288691</v>
      </c>
      <c r="F88" s="18" t="n">
        <v>19</v>
      </c>
      <c r="G88" s="19" t="n">
        <f aca="false">IF(E88&gt;0,D88/E88,"")</f>
        <v>-4.58683510626724</v>
      </c>
      <c r="H88" s="19" t="n">
        <f aca="false">IF(G88="","",TDIST(ABS(G88),F88-1,2))</f>
        <v>0.000228777317952159</v>
      </c>
    </row>
    <row r="89" customFormat="false" ht="15" hidden="false" customHeight="false" outlineLevel="0" collapsed="false">
      <c r="A89" s="7" t="s">
        <v>2</v>
      </c>
      <c r="B89" s="7" t="s">
        <v>5</v>
      </c>
      <c r="C89" s="7" t="s">
        <v>54</v>
      </c>
      <c r="D89" s="17" t="n">
        <v>-0.571053642564645</v>
      </c>
      <c r="E89" s="17" t="n">
        <v>0.291552654283145</v>
      </c>
      <c r="F89" s="18" t="n">
        <v>19</v>
      </c>
      <c r="G89" s="19" t="n">
        <f aca="false">IF(E89&gt;0,D89/E89,"")</f>
        <v>-1.95866384399319</v>
      </c>
      <c r="H89" s="19" t="n">
        <f aca="false">IF(G89="","",TDIST(ABS(G89),F89-1,2))</f>
        <v>0.0658315075087587</v>
      </c>
    </row>
    <row r="90" customFormat="false" ht="15" hidden="false" customHeight="false" outlineLevel="0" collapsed="false">
      <c r="A90" s="7" t="s">
        <v>2</v>
      </c>
      <c r="B90" s="7" t="s">
        <v>6</v>
      </c>
      <c r="C90" s="7" t="s">
        <v>54</v>
      </c>
      <c r="D90" s="17" t="n">
        <v>-1.36712637952323</v>
      </c>
      <c r="E90" s="17" t="n">
        <v>0.348876617708994</v>
      </c>
      <c r="F90" s="18" t="n">
        <v>19</v>
      </c>
      <c r="G90" s="19" t="n">
        <f aca="false">IF(E90&gt;0,D90/E90,"")</f>
        <v>-3.9186529280778</v>
      </c>
      <c r="H90" s="19" t="n">
        <f aca="false">IF(G90="","",TDIST(ABS(G90),F90-1,2))</f>
        <v>0.00100669127691846</v>
      </c>
    </row>
    <row r="91" customFormat="false" ht="15" hidden="false" customHeight="false" outlineLevel="0" collapsed="false">
      <c r="A91" s="7" t="s">
        <v>3</v>
      </c>
      <c r="B91" s="7" t="s">
        <v>4</v>
      </c>
      <c r="C91" s="7" t="s">
        <v>54</v>
      </c>
      <c r="D91" s="17" t="n">
        <v>-0.573481539490568</v>
      </c>
      <c r="E91" s="17" t="n">
        <v>0.18566630021813</v>
      </c>
      <c r="F91" s="18" t="n">
        <v>19</v>
      </c>
      <c r="G91" s="19" t="n">
        <f aca="false">IF(E91&gt;0,D91/E91,"")</f>
        <v>-3.08877560880361</v>
      </c>
      <c r="H91" s="19" t="n">
        <f aca="false">IF(G91="","",TDIST(ABS(G91),F91-1,2))</f>
        <v>0.00633286556278634</v>
      </c>
    </row>
    <row r="92" customFormat="false" ht="15" hidden="false" customHeight="false" outlineLevel="0" collapsed="false">
      <c r="A92" s="7" t="s">
        <v>3</v>
      </c>
      <c r="B92" s="7" t="s">
        <v>5</v>
      </c>
      <c r="C92" s="7" t="s">
        <v>54</v>
      </c>
      <c r="D92" s="17" t="n">
        <v>0.0828994883557774</v>
      </c>
      <c r="E92" s="17" t="n">
        <v>0.338318319065492</v>
      </c>
      <c r="F92" s="18" t="n">
        <v>19</v>
      </c>
      <c r="G92" s="19" t="n">
        <f aca="false">IF(E92&gt;0,D92/E92,"")</f>
        <v>0.245033992202265</v>
      </c>
      <c r="H92" s="19" t="n">
        <f aca="false">IF(G92="","",TDIST(ABS(G92),F92-1,2))</f>
        <v>0.809201880395116</v>
      </c>
    </row>
    <row r="93" customFormat="false" ht="15" hidden="false" customHeight="false" outlineLevel="0" collapsed="false">
      <c r="A93" s="7" t="s">
        <v>3</v>
      </c>
      <c r="B93" s="7" t="s">
        <v>6</v>
      </c>
      <c r="C93" s="7" t="s">
        <v>54</v>
      </c>
      <c r="D93" s="17" t="n">
        <v>-0.517995717023748</v>
      </c>
      <c r="E93" s="17" t="n">
        <v>0.28916286897704</v>
      </c>
      <c r="F93" s="18" t="n">
        <v>19</v>
      </c>
      <c r="G93" s="19" t="n">
        <f aca="false">IF(E93&gt;0,D93/E93,"")</f>
        <v>-1.7913631817814</v>
      </c>
      <c r="H93" s="19" t="n">
        <f aca="false">IF(G93="","",TDIST(ABS(G93),F93-1,2))</f>
        <v>0.0900647115685203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2026-10-19T20:23:39Z</dcterms:created>
  <dc:creator>openpyxl</dc:creator>
  <dc:description/>
  <dc:language>en-US</dc:language>
  <cp:lastModifiedBy/>
  <dcterms:modified xsi:type="dcterms:W3CDTF">2026-10-19T20:23:39Z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